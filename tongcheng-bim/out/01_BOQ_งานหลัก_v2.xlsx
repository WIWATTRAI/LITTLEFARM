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สรุป" sheetId="1" state="visible" r:id="rId1"/>
    <sheet xmlns:r="http://schemas.openxmlformats.org/officeDocument/2006/relationships" name="1-งานเตรียมการ" sheetId="2" state="visible" r:id="rId2"/>
    <sheet xmlns:r="http://schemas.openxmlformats.org/officeDocument/2006/relationships" name="2-งานโครงสร้าง" sheetId="3" state="visible" r:id="rId3"/>
    <sheet xmlns:r="http://schemas.openxmlformats.org/officeDocument/2006/relationships" name="3-งานสถาปัตยกรรม" sheetId="4" state="visible" r:id="rId4"/>
    <sheet xmlns:r="http://schemas.openxmlformats.org/officeDocument/2006/relationships" name="4-งานบริเวณ" sheetId="5" state="visible" r:id="rId5"/>
    <sheet xmlns:r="http://schemas.openxmlformats.org/officeDocument/2006/relationships" name="5-งานระบบ" sheetId="6" state="visible" r:id="rId6"/>
    <sheet xmlns:r="http://schemas.openxmlformats.org/officeDocument/2006/relationships" name="บันทึกการแก้ไข" sheetId="7" state="visible" r:id="rId7"/>
    <sheet xmlns:r="http://schemas.openxmlformats.org/officeDocument/2006/relationships" name="ผนัง-รายละเอียด" sheetId="8" state="visible" r:id="rId8"/>
    <sheet xmlns:r="http://schemas.openxmlformats.org/officeDocument/2006/relationships" name="ตรวจสอบรอบ 2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Tahoma"/>
      <b val="1"/>
      <sz val="13"/>
    </font>
    <font>
      <name val="Tahoma"/>
      <b val="1"/>
      <color rgb="00FFFFFF"/>
    </font>
    <font>
      <name val="Tahoma"/>
      <b val="1"/>
    </font>
    <font>
      <name val="Tahoma"/>
      <sz val="10"/>
    </font>
    <font>
      <name val="Tahoma"/>
      <i val="1"/>
      <sz val="9"/>
    </font>
    <font>
      <name val="Tahoma"/>
    </font>
    <font>
      <name val="Tahoma"/>
      <b val="1"/>
      <sz val="10"/>
    </font>
    <font>
      <name val="Tahoma"/>
      <b val="1"/>
      <color rgb="00FFFFFF"/>
      <sz val="10"/>
    </font>
    <font>
      <name val="Tahoma"/>
      <color theme="1"/>
      <sz val="10"/>
    </font>
  </fonts>
  <fills count="9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E8EEF0"/>
      </patternFill>
    </fill>
    <fill>
      <patternFill patternType="solid">
        <fgColor rgb="00FFF2CC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E7E6F7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6" fillId="2" borderId="1" pivotButton="0" quotePrefix="0" xfId="0"/>
    <xf numFmtId="4" fontId="6" fillId="2" borderId="1" pivotButton="0" quotePrefix="0" xfId="0"/>
    <xf numFmtId="0" fontId="6" fillId="2" borderId="1" applyAlignment="1" pivotButton="0" quotePrefix="0" xfId="0">
      <alignment vertical="top" wrapText="1"/>
    </xf>
    <xf numFmtId="0" fontId="6" fillId="0" borderId="1" pivotButton="0" quotePrefix="0" xfId="0"/>
    <xf numFmtId="4" fontId="6" fillId="0" borderId="1" pivotButton="0" quotePrefix="0" xfId="0"/>
    <xf numFmtId="0" fontId="6" fillId="0" borderId="1" applyAlignment="1" pivotButton="0" quotePrefix="0" xfId="0">
      <alignment vertical="top" wrapText="1"/>
    </xf>
    <xf numFmtId="0" fontId="3" fillId="0" borderId="1" pivotButton="0" quotePrefix="0" xfId="0"/>
    <xf numFmtId="4" fontId="3" fillId="0" borderId="1" pivotButton="0" quotePrefix="0" xfId="0"/>
    <xf numFmtId="0" fontId="3" fillId="0" borderId="1" applyAlignment="1" pivotButton="0" quotePrefix="0" xfId="0">
      <alignment vertical="top" wrapText="1"/>
    </xf>
    <xf numFmtId="9" fontId="3" fillId="4" borderId="1" pivotButton="0" quotePrefix="0" xfId="0"/>
    <xf numFmtId="0" fontId="2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4" fontId="4" fillId="0" borderId="1" applyAlignment="1" pivotButton="0" quotePrefix="0" xfId="0">
      <alignment vertical="top"/>
    </xf>
    <xf numFmtId="4" fontId="4" fillId="4" borderId="1" applyAlignment="1" pivotButton="0" quotePrefix="0" xfId="0">
      <alignment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4" fontId="4" fillId="5" borderId="1" applyAlignment="1" pivotButton="0" quotePrefix="0" xfId="0">
      <alignment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4" fontId="4" fillId="6" borderId="1" applyAlignment="1" pivotButton="0" quotePrefix="0" xfId="0">
      <alignment vertical="top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4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  <xf numFmtId="4" fontId="4" fillId="7" borderId="1" applyAlignment="1" pivotButton="0" quotePrefix="0" xfId="0">
      <alignment vertical="top"/>
    </xf>
    <xf numFmtId="0" fontId="7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7" fillId="2" borderId="1" applyAlignment="1" pivotButton="0" quotePrefix="0" xfId="0">
      <alignment wrapText="1"/>
    </xf>
    <xf numFmtId="0" fontId="4" fillId="0" borderId="1" pivotButton="0" quotePrefix="0" xfId="0"/>
    <xf numFmtId="0" fontId="7" fillId="0" borderId="1" pivotButton="0" quotePrefix="0" xfId="0"/>
    <xf numFmtId="0" fontId="8" fillId="2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8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7" customWidth="1" min="1" max="1"/>
    <col width="52" customWidth="1" min="2" max="2"/>
    <col width="16" customWidth="1" min="3" max="3"/>
    <col width="16" customWidth="1" min="4" max="4"/>
    <col width="18" customWidth="1" min="5" max="5"/>
    <col width="70" customWidth="1" min="6" max="6"/>
  </cols>
  <sheetData>
    <row r="1">
      <c r="A1" s="1" t="inlineStr">
        <is>
          <t>สรุปราคาค่าก่อสร้างงานหลัก (ไม่รวมงาน Preconstruction) – ฉบับแก้ไข v2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</t>
        </is>
      </c>
    </row>
    <row r="4">
      <c r="A4" s="2" t="inlineStr">
        <is>
          <t>หมวด</t>
        </is>
      </c>
      <c r="B4" s="2" t="inlineStr">
        <is>
          <t>รายการ</t>
        </is>
      </c>
      <c r="C4" s="3" t="inlineStr">
        <is>
          <t>ค่าวัสดุ</t>
        </is>
      </c>
      <c r="D4" s="3" t="inlineStr">
        <is>
          <t>ค่าแรง</t>
        </is>
      </c>
      <c r="E4" s="3" t="inlineStr">
        <is>
          <t>รวมเป็นเงิน</t>
        </is>
      </c>
      <c r="F4" s="4" t="inlineStr">
        <is>
          <t>หมายเหตุ</t>
        </is>
      </c>
    </row>
    <row r="5">
      <c r="A5" s="5" t="inlineStr">
        <is>
          <t>1</t>
        </is>
      </c>
      <c r="B5" s="5" t="inlineStr">
        <is>
          <t>งานเตรียมการ</t>
        </is>
      </c>
      <c r="C5" s="6">
        <f>'1-งานเตรียมการ'!F40</f>
        <v/>
      </c>
      <c r="D5" s="6">
        <f>'1-งานเตรียมการ'!H40</f>
        <v/>
      </c>
      <c r="E5" s="6">
        <f>'1-งานเตรียมการ'!I40</f>
        <v/>
      </c>
      <c r="F5" s="7" t="inlineStr">
        <is>
          <t>วางผัง, สิ่งอำนวยความสะดวกชั่วคราว, ถมดิน/ขุดดิน, เครื่องจักรและการทดสอบ, ความปลอดภัยและการบริหาร</t>
        </is>
      </c>
    </row>
    <row r="6">
      <c r="A6" s="5" t="inlineStr">
        <is>
          <t>2</t>
        </is>
      </c>
      <c r="B6" s="5" t="inlineStr">
        <is>
          <t>งานโครงสร้าง</t>
        </is>
      </c>
      <c r="C6" s="6">
        <f>'2-งานโครงสร้าง'!F47</f>
        <v/>
      </c>
      <c r="D6" s="6">
        <f>'2-งานโครงสร้าง'!H47</f>
        <v/>
      </c>
      <c r="E6" s="6">
        <f>'2-งานโครงสร้าง'!I47</f>
        <v/>
      </c>
      <c r="F6" s="7" t="inlineStr">
        <is>
          <t>เสาเข็ม, ฐานราก, เสา-คาน คสล., พื้น คสล., โครงสร้างเหล็ก, ชั้นลอย</t>
        </is>
      </c>
    </row>
    <row r="7">
      <c r="A7" s="5" t="inlineStr">
        <is>
          <t>3</t>
        </is>
      </c>
      <c r="B7" s="5" t="inlineStr">
        <is>
          <t>งานสถาปัตยกรรม</t>
        </is>
      </c>
      <c r="C7" s="6">
        <f>'3-งานสถาปัตยกรรม'!F35</f>
        <v/>
      </c>
      <c r="D7" s="6">
        <f>'3-งานสถาปัตยกรรม'!H35</f>
        <v/>
      </c>
      <c r="E7" s="6">
        <f>'3-งานสถาปัตยกรรม'!I35</f>
        <v/>
      </c>
      <c r="F7" s="7" t="inlineStr">
        <is>
          <t>หลังคาและผนังภายนอก, ผนังก่ออิฐฉาบปูน, ผิวพื้น, ประตูหน้าต่าง, ทาสี, อาคารประกอบ</t>
        </is>
      </c>
    </row>
    <row r="8">
      <c r="A8" s="5" t="inlineStr">
        <is>
          <t>4</t>
        </is>
      </c>
      <c r="B8" s="5" t="inlineStr">
        <is>
          <t>งานบริเวณ (เพิ่มใหม่ทั้งหมวด)</t>
        </is>
      </c>
      <c r="C8" s="6">
        <f>'4-งานบริเวณ'!F29</f>
        <v/>
      </c>
      <c r="D8" s="6">
        <f>'4-งานบริเวณ'!H29</f>
        <v/>
      </c>
      <c r="E8" s="6">
        <f>'4-งานบริเวณ'!I29</f>
        <v/>
      </c>
      <c r="F8" s="7" t="inlineStr">
        <is>
          <t>พื้นถนน+เข็ม I22, ทางลาด, ฐานหม้อแปลง, ถังเก็บน้ำใต้ดิน, ระบายน้ำ (หมวดใหม่)</t>
        </is>
      </c>
    </row>
    <row r="9">
      <c r="A9" s="5" t="inlineStr">
        <is>
          <t>5</t>
        </is>
      </c>
      <c r="B9" s="5" t="inlineStr">
        <is>
          <t>งานระบบ (เงินสำรอง Provisional Sum – รอแบบงานระบบ)</t>
        </is>
      </c>
      <c r="C9" s="6">
        <f>'5-งานระบบ'!F12</f>
        <v/>
      </c>
      <c r="D9" s="6">
        <f>'5-งานระบบ'!H12</f>
        <v/>
      </c>
      <c r="E9" s="6">
        <f>'5-งานระบบ'!I12</f>
        <v/>
      </c>
      <c r="F9" s="7" t="inlineStr">
        <is>
          <t>ไฟฟ้า ล่อฟ้า สุขาภิบาล ประปา ดับเพลิง (เงินสำรอง รอแบบ)</t>
        </is>
      </c>
    </row>
    <row r="10">
      <c r="A10" s="8" t="n"/>
      <c r="B10" s="8" t="inlineStr">
        <is>
          <t>รวมค่างานต้นทุน</t>
        </is>
      </c>
      <c r="C10" s="9" t="n"/>
      <c r="D10" s="9" t="n"/>
      <c r="E10" s="9">
        <f>SUM(E5:E9)</f>
        <v/>
      </c>
      <c r="F10" s="10" t="n"/>
    </row>
    <row r="11">
      <c r="A11" s="8" t="n"/>
      <c r="B11" s="8" t="inlineStr">
        <is>
          <t>ค่าบริหารโครงการและกำไร (Overhead &amp; Profit) %</t>
        </is>
      </c>
      <c r="C11" s="9" t="n"/>
      <c r="D11" s="11" t="n">
        <v>0.1</v>
      </c>
      <c r="E11" s="9" t="n"/>
      <c r="F11" s="10" t="n"/>
    </row>
    <row r="12">
      <c r="A12" s="8" t="n"/>
      <c r="B12" s="8" t="inlineStr">
        <is>
          <t>ค่าบริหารโครงการและกำไร (Overhead &amp; Profit)</t>
        </is>
      </c>
      <c r="C12" s="9" t="n"/>
      <c r="D12" s="9" t="n"/>
      <c r="E12" s="9">
        <f>E10*D11</f>
        <v/>
      </c>
      <c r="F12" s="10" t="n"/>
    </row>
    <row r="13">
      <c r="A13" s="8" t="n"/>
      <c r="B13" s="8" t="inlineStr">
        <is>
          <t>รวมราคาก่อนภาษีมูลค่าเพิ่ม</t>
        </is>
      </c>
      <c r="C13" s="9" t="n"/>
      <c r="D13" s="9" t="n"/>
      <c r="E13" s="9">
        <f>E10+E12</f>
        <v/>
      </c>
      <c r="F13" s="10" t="n"/>
    </row>
    <row r="14">
      <c r="A14" s="8" t="n"/>
      <c r="B14" s="8" t="inlineStr">
        <is>
          <t>ภาษีมูลค่าเพิ่ม 7%</t>
        </is>
      </c>
      <c r="C14" s="9" t="n"/>
      <c r="D14" s="9" t="n"/>
      <c r="E14" s="9">
        <f>E13*0.07</f>
        <v/>
      </c>
      <c r="F14" s="10" t="n"/>
    </row>
    <row r="15">
      <c r="A15" s="8" t="n"/>
      <c r="B15" s="8" t="inlineStr">
        <is>
          <t>รวมราคาเสนอทั้งสิ้น</t>
        </is>
      </c>
      <c r="C15" s="9" t="n"/>
      <c r="D15" s="9" t="n"/>
      <c r="E15" s="9">
        <f>E13+E14</f>
        <v/>
      </c>
      <c r="F15" s="1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1 งานเตรียมการ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1.1</t>
        </is>
      </c>
      <c r="B5" s="16" t="inlineStr">
        <is>
          <t>หมวดงานวางผัง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18" t="inlineStr">
        <is>
          <t>1.1.1</t>
        </is>
      </c>
      <c r="B6" s="19" t="inlineStr">
        <is>
          <t>วางผังอาคาร กำหนดแนวกริด 1-11 และ A-J ตั้งหมุดอ้างอิงถาวร (BM) และระดับ ±0.00</t>
        </is>
      </c>
      <c r="C6" s="20" t="n">
        <v>1</v>
      </c>
      <c r="D6" s="18" t="inlineStr">
        <is>
          <t>งาน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18" t="inlineStr"/>
      <c r="K6" s="19" t="inlineStr">
        <is>
          <t>ผังอาคาร 60.00 x 54.00 ม. (S201)</t>
        </is>
      </c>
    </row>
    <row r="7">
      <c r="A7" s="22" t="inlineStr">
        <is>
          <t>1.1.2</t>
        </is>
      </c>
      <c r="B7" s="23" t="inlineStr">
        <is>
          <t>วางตำแหน่งเสาเข็มด้วยกล้องสำรวจ (Total Station) และตรวจสอบตำแหน่งหลังตอก</t>
        </is>
      </c>
      <c r="C7" s="24" t="n">
        <v>751</v>
      </c>
      <c r="D7" s="22" t="inlineStr">
        <is>
          <t>ต้น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2" t="inlineStr">
        <is>
          <t>แก้ไข</t>
        </is>
      </c>
      <c r="K7" s="19" t="inlineStr">
        <is>
          <t>เดิม 470 → นับจากผัง S201 ทุกชนิด (ดูหมวด 2.1 และ 4.1)</t>
        </is>
      </c>
    </row>
    <row r="8">
      <c r="A8" s="25" t="inlineStr">
        <is>
          <t>1.1.3</t>
        </is>
      </c>
      <c r="B8" s="26" t="inlineStr">
        <is>
          <t>สำรวจและบันทึกภาพสภาพอาคาร/สิ่งปลูกสร้างข้างเคียงก่อนตอกเข็ม และติดตามระหว่างตอก</t>
        </is>
      </c>
      <c r="C8" s="27" t="n">
        <v>1</v>
      </c>
      <c r="D8" s="25" t="inlineStr">
        <is>
          <t>งาน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5" t="inlineStr">
        <is>
          <t>เพิ่มใหม่</t>
        </is>
      </c>
      <c r="K8" s="19" t="inlineStr">
        <is>
          <t>เพิ่ม: ข้อกำหนด 1.4.1 (รายละเอียดงานเตรียมการ)</t>
        </is>
      </c>
    </row>
    <row r="9">
      <c r="A9" s="15" t="inlineStr">
        <is>
          <t>1.2</t>
        </is>
      </c>
      <c r="B9" s="16" t="inlineStr">
        <is>
          <t>หมวดงานสิ่งอำนวยความสะดวกชั่วคราว</t>
        </is>
      </c>
      <c r="C9" s="17" t="n"/>
      <c r="D9" s="15" t="n"/>
      <c r="E9" s="17" t="n"/>
      <c r="F9" s="17" t="n"/>
      <c r="G9" s="17" t="n"/>
      <c r="H9" s="17" t="n"/>
      <c r="I9" s="17" t="n"/>
      <c r="J9" s="15" t="n"/>
      <c r="K9" s="16" t="n"/>
    </row>
    <row r="10">
      <c r="A10" s="22" t="inlineStr">
        <is>
          <t>1.2.1</t>
        </is>
      </c>
      <c r="B10" s="23" t="inlineStr">
        <is>
          <t>รั้วชั่วคราวแผ่นเหล็กรีดลอน (Metal Sheet) สูง 2.00 ม. โครงเหล็กกล่อง พร้อมทาสี</t>
        </is>
      </c>
      <c r="C10" s="24" t="n">
        <v>312</v>
      </c>
      <c r="D10" s="22" t="inlineStr">
        <is>
          <t>ม.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22" t="inlineStr">
        <is>
          <t>แก้ไข</t>
        </is>
      </c>
      <c r="K10" s="19" t="inlineStr">
        <is>
          <t>เดิม 308 (สมมติ 80x74) → เส้นรอบแนวเขตที่ดินจากผัง S202</t>
        </is>
      </c>
    </row>
    <row r="11">
      <c r="A11" s="18" t="inlineStr">
        <is>
          <t>1.2.2</t>
        </is>
      </c>
      <c r="B11" s="19" t="inlineStr">
        <is>
          <t>ประตูรั้วชั่วคราว บานเลื่อน/บานเปิดคู่ กว้าง 6.00 ม.</t>
        </is>
      </c>
      <c r="C11" s="20" t="n">
        <v>1</v>
      </c>
      <c r="D11" s="18" t="inlineStr">
        <is>
          <t>ชุด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18" t="inlineStr"/>
      <c r="K11" s="19" t="inlineStr"/>
    </row>
    <row r="12">
      <c r="A12" s="22" t="inlineStr">
        <is>
          <t>1.2.3</t>
        </is>
      </c>
      <c r="B12" s="23" t="inlineStr">
        <is>
          <t>สำนักงานสนาม (Site Office) ขนาดไม่น้อยกว่า 3.00 x 8.00 ม. พร้อมเครื่องปรับอากาศ โต๊ะประชุม และอุปกรณ์สำนักงาน</t>
        </is>
      </c>
      <c r="C12" s="24" t="n">
        <v>1</v>
      </c>
      <c r="D12" s="22" t="inlineStr">
        <is>
          <t>หลัง</t>
        </is>
      </c>
      <c r="E12" s="21" t="n"/>
      <c r="F12" s="20">
        <f>IF(C12="",0,C12*E12)</f>
        <v/>
      </c>
      <c r="G12" s="21" t="n"/>
      <c r="H12" s="20">
        <f>IF(C12="",0,C12*G12)</f>
        <v/>
      </c>
      <c r="I12" s="20">
        <f>F12+H12</f>
        <v/>
      </c>
      <c r="J12" s="22" t="inlineStr">
        <is>
          <t>แก้ไข</t>
        </is>
      </c>
      <c r="K12" s="19" t="inlineStr">
        <is>
          <t>รวมพื้นที่สำหรับผู้ควบคุมงานของผู้ว่าจ้าง; วางด้านทิศเหนือของอาคาร แนวกริด 1-2</t>
        </is>
      </c>
    </row>
    <row r="13">
      <c r="A13" s="22" t="inlineStr">
        <is>
          <t>1.2.4</t>
        </is>
      </c>
      <c r="B13" s="23" t="inlineStr">
        <is>
          <t>โรงเก็บวัสดุและเครื่องมือ (Store) พร้อมลานกองเหล็กเสริมและลานดัดเหล็ก</t>
        </is>
      </c>
      <c r="C13" s="24" t="n">
        <v>1</v>
      </c>
      <c r="D13" s="22" t="inlineStr">
        <is>
          <t>แห่ง</t>
        </is>
      </c>
      <c r="E13" s="21" t="n"/>
      <c r="F13" s="20">
        <f>IF(C13="",0,C13*E13)</f>
        <v/>
      </c>
      <c r="G13" s="21" t="n"/>
      <c r="H13" s="20">
        <f>IF(C13="",0,C13*G13)</f>
        <v/>
      </c>
      <c r="I13" s="20">
        <f>F13+H13</f>
        <v/>
      </c>
      <c r="J13" s="22" t="inlineStr">
        <is>
          <t>แก้ไข</t>
        </is>
      </c>
      <c r="K13" s="19" t="inlineStr">
        <is>
          <t>วางด้านทิศเหนือระหว่างแถวเข็มถนน (ผู้ว่าจ้างกำหนด) ขนาด 3.00x12.00 ม.; พื้นถนนใต้สิ่งชั่วคราวเทหลังรื้อย้าย</t>
        </is>
      </c>
    </row>
    <row r="14">
      <c r="A14" s="18" t="inlineStr">
        <is>
          <t>1.2.5</t>
        </is>
      </c>
      <c r="B14" s="19" t="inlineStr">
        <is>
          <t>ห้องน้ำ-ห้องส้วมชั่วคราว พร้อมถังบำบัดสำเร็จรูป</t>
        </is>
      </c>
      <c r="C14" s="20" t="n">
        <v>2</v>
      </c>
      <c r="D14" s="18" t="inlineStr">
        <is>
          <t>ห้อง</t>
        </is>
      </c>
      <c r="E14" s="21" t="n"/>
      <c r="F14" s="20">
        <f>IF(C14="",0,C14*E14)</f>
        <v/>
      </c>
      <c r="G14" s="21" t="n"/>
      <c r="H14" s="20">
        <f>IF(C14="",0,C14*G14)</f>
        <v/>
      </c>
      <c r="I14" s="20">
        <f>F14+H14</f>
        <v/>
      </c>
      <c r="J14" s="18" t="inlineStr"/>
      <c r="K14" s="19" t="inlineStr">
        <is>
          <t>ไม่น้อยกว่า 1 ห้อง/คนงาน 15 คน</t>
        </is>
      </c>
    </row>
    <row r="15">
      <c r="A15" s="18" t="inlineStr">
        <is>
          <t>1.2.6</t>
        </is>
      </c>
      <c r="B15" s="19" t="inlineStr">
        <is>
          <t>ที่พักคนงาน (หากจัดภายในพื้นที่ ต้องได้รับอนุญาตจากผู้ว่าจ้าง)</t>
        </is>
      </c>
      <c r="C15" s="20" t="n">
        <v>1</v>
      </c>
      <c r="D15" s="18" t="inlineStr">
        <is>
          <t>เหมา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18" t="inlineStr"/>
      <c r="K15" s="19" t="inlineStr"/>
    </row>
    <row r="16">
      <c r="A16" s="18" t="inlineStr">
        <is>
          <t>1.2.7</t>
        </is>
      </c>
      <c r="B16" s="19" t="inlineStr">
        <is>
          <t>ระบบไฟฟ้าชั่วคราว ตู้ควบคุม เดินสายไฟ พร้อมเครื่องตัดไฟรั่ว (RCBO)</t>
        </is>
      </c>
      <c r="C16" s="20" t="n">
        <v>1</v>
      </c>
      <c r="D16" s="18" t="inlineStr">
        <is>
          <t>เหมา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18" t="inlineStr"/>
      <c r="K16" s="19" t="inlineStr"/>
    </row>
    <row r="17">
      <c r="A17" s="18" t="inlineStr">
        <is>
          <t>1.2.8</t>
        </is>
      </c>
      <c r="B17" s="19" t="inlineStr">
        <is>
          <t>ระบบประปาชั่วคราว ท่อเมน ถังพักน้ำ และปั๊มน้ำ</t>
        </is>
      </c>
      <c r="C17" s="20" t="n">
        <v>1</v>
      </c>
      <c r="D17" s="18" t="inlineStr">
        <is>
          <t>เหมา</t>
        </is>
      </c>
      <c r="E17" s="21" t="n"/>
      <c r="F17" s="20">
        <f>IF(C17="",0,C17*E17)</f>
        <v/>
      </c>
      <c r="G17" s="21" t="n"/>
      <c r="H17" s="20">
        <f>IF(C17="",0,C17*G17)</f>
        <v/>
      </c>
      <c r="I17" s="20">
        <f>F17+H17</f>
        <v/>
      </c>
      <c r="J17" s="18" t="inlineStr"/>
      <c r="K17" s="19" t="inlineStr"/>
    </row>
    <row r="18">
      <c r="A18" s="18" t="inlineStr">
        <is>
          <t>1.2.9</t>
        </is>
      </c>
      <c r="B18" s="19" t="inlineStr">
        <is>
          <t>ค่าน้ำประปาและค่าไฟฟ้าระหว่างก่อสร้าง</t>
        </is>
      </c>
      <c r="C18" s="20" t="n">
        <v>6</v>
      </c>
      <c r="D18" s="18" t="inlineStr">
        <is>
          <t>เดือน</t>
        </is>
      </c>
      <c r="E18" s="21" t="n"/>
      <c r="F18" s="20">
        <f>IF(C18="",0,C18*E18)</f>
        <v/>
      </c>
      <c r="G18" s="21" t="n"/>
      <c r="H18" s="20">
        <f>IF(C18="",0,C18*G18)</f>
        <v/>
      </c>
      <c r="I18" s="20">
        <f>F18+H18</f>
        <v/>
      </c>
      <c r="J18" s="18" t="inlineStr"/>
      <c r="K18" s="19" t="inlineStr">
        <is>
          <t>แผน CPM งานหลัก 5.2 เดือน (14 ธ.ค. 69 – 19 พ.ค. 70)</t>
        </is>
      </c>
    </row>
    <row r="19">
      <c r="A19" s="18" t="inlineStr">
        <is>
          <t>1.2.10</t>
        </is>
      </c>
      <c r="B19" s="19" t="inlineStr">
        <is>
          <t>ป้ายโครงการ ขนาด 1.20 x 2.40 ม. โครงเหล็ก พิมพ์อิงค์เจ็ท ตามที่ผู้ว่าจ้างอนุมัติ</t>
        </is>
      </c>
      <c r="C19" s="20" t="n">
        <v>1</v>
      </c>
      <c r="D19" s="18" t="inlineStr">
        <is>
          <t>ป้าย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18" t="inlineStr"/>
      <c r="K19" s="19" t="inlineStr"/>
    </row>
    <row r="20">
      <c r="A20" s="15" t="inlineStr">
        <is>
          <t>1.3</t>
        </is>
      </c>
      <c r="B20" s="16" t="inlineStr">
        <is>
          <t>หมวดงานถมดินและปรับพื้นที่</t>
        </is>
      </c>
      <c r="C20" s="17" t="n"/>
      <c r="D20" s="15" t="n"/>
      <c r="E20" s="17" t="n"/>
      <c r="F20" s="17" t="n"/>
      <c r="G20" s="17" t="n"/>
      <c r="H20" s="17" t="n"/>
      <c r="I20" s="17" t="n"/>
      <c r="J20" s="15" t="n"/>
      <c r="K20" s="16" t="n"/>
    </row>
    <row r="21">
      <c r="A21" s="22" t="inlineStr">
        <is>
          <t>1.3.1</t>
        </is>
      </c>
      <c r="B21" s="23" t="inlineStr">
        <is>
          <t>ถมดินปรับระดับ บดอัดเป็นชั้นหนาไม่เกิน 0.20 ม. ความแน่นไม่น้อยกว่า 95% Standard Proctor</t>
        </is>
      </c>
      <c r="C21" s="24" t="n">
        <v>1113.6</v>
      </c>
      <c r="D21" s="22" t="inlineStr">
        <is>
          <t>ลบ.ม.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22" t="inlineStr">
        <is>
          <t>แก้ไข</t>
        </is>
      </c>
      <c r="K21" s="19" t="inlineStr">
        <is>
          <t>เดิม 1,856 (ถม 0.50 ม.) → ผู้ว่าจ้างกำหนด: ดินเดิม ±0.00 (ระดับถนนรอบอาคาร; -1.50 คือถนนสาธารณะ) ถมหนา 0.30 ม. x 64 x 58 ม. = 1,113.60 ลบ.ม. เบิกตามปริมาณจริงจากผลสำรวจระดับ P1.2</t>
        </is>
      </c>
    </row>
    <row r="22">
      <c r="A22" s="18" t="inlineStr">
        <is>
          <t>1.3.2</t>
        </is>
      </c>
      <c r="B22" s="19" t="inlineStr">
        <is>
          <t>ลานทำงานเครื่องตอกเข็ม (Working Platform) ปูหินคลุก/เศษหิน</t>
        </is>
      </c>
      <c r="C22" s="20" t="n">
        <v>1</v>
      </c>
      <c r="D22" s="18" t="inlineStr">
        <is>
          <t>เหมา</t>
        </is>
      </c>
      <c r="E22" s="21" t="n"/>
      <c r="F22" s="20">
        <f>IF(C22="",0,C22*E22)</f>
        <v/>
      </c>
      <c r="G22" s="21" t="n"/>
      <c r="H22" s="20">
        <f>IF(C22="",0,C22*G22)</f>
        <v/>
      </c>
      <c r="I22" s="20">
        <f>F22+H22</f>
        <v/>
      </c>
      <c r="J22" s="18" t="inlineStr"/>
      <c r="K22" s="19" t="inlineStr"/>
    </row>
    <row r="23">
      <c r="A23" s="18" t="inlineStr">
        <is>
          <t>1.3.3</t>
        </is>
      </c>
      <c r="B23" s="19" t="inlineStr">
        <is>
          <t>รางระบายน้ำชั่วคราวและบ่อพักตะกอน ป้องกันน้ำท่วมขังและดินไหลลงพื้นที่ข้างเคียง</t>
        </is>
      </c>
      <c r="C23" s="20" t="n">
        <v>1</v>
      </c>
      <c r="D23" s="18" t="inlineStr">
        <is>
          <t>เหมา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18" t="inlineStr"/>
      <c r="K23" s="19" t="inlineStr"/>
    </row>
    <row r="24">
      <c r="A24" s="25" t="inlineStr">
        <is>
          <t>1.3.4</t>
        </is>
      </c>
      <c r="B24" s="26" t="inlineStr">
        <is>
          <t>ขุดดินฐานรากและขนย้ายดินส่วนเกิน (จากตาราง S1.1)</t>
        </is>
      </c>
      <c r="C24" s="27" t="n">
        <v>434.29</v>
      </c>
      <c r="D24" s="25" t="inlineStr">
        <is>
          <t>ลบ.ม.</t>
        </is>
      </c>
      <c r="E24" s="21" t="n"/>
      <c r="F24" s="20">
        <f>IF(C24="",0,C24*E24)</f>
        <v/>
      </c>
      <c r="G24" s="21" t="n"/>
      <c r="H24" s="20">
        <f>IF(C24="",0,C24*G24)</f>
        <v/>
      </c>
      <c r="I24" s="20">
        <f>F24+H24</f>
        <v/>
      </c>
      <c r="J24" s="25" t="inlineStr">
        <is>
          <t>เพิ่มใหม่</t>
        </is>
      </c>
      <c r="K24" s="19" t="inlineStr">
        <is>
          <t>S201-B ตาราง S1.1 รวม F1/F1A/F1P/F2P (ไม่รวมถังใต้ดิน 4.4)</t>
        </is>
      </c>
    </row>
    <row r="25">
      <c r="A25" s="25" t="inlineStr">
        <is>
          <t>1.3.5</t>
        </is>
      </c>
      <c r="B25" s="26" t="inlineStr">
        <is>
          <t>ป้องกันดินพังและสูบน้ำ งานขุดถังเก็บน้ำใต้ดิน ลึก ~3.0 ม. จากดินเดิม ±0.00 (Sheet pile/ค้ำยัน)</t>
        </is>
      </c>
      <c r="C25" s="27" t="n">
        <v>1</v>
      </c>
      <c r="D25" s="25" t="inlineStr">
        <is>
          <t>เหมา</t>
        </is>
      </c>
      <c r="E25" s="21" t="n"/>
      <c r="F25" s="20">
        <f>IF(C25="",0,C25*E25)</f>
        <v/>
      </c>
      <c r="G25" s="21" t="n"/>
      <c r="H25" s="20">
        <f>IF(C25="",0,C25*G25)</f>
        <v/>
      </c>
      <c r="I25" s="20">
        <f>F25+H25</f>
        <v/>
      </c>
      <c r="J25" s="25" t="inlineStr">
        <is>
          <t>เพิ่มใหม่</t>
        </is>
      </c>
      <c r="K25" s="19" t="inlineStr">
        <is>
          <t>ระดับก้นถัง BF -2.85 (S202)</t>
        </is>
      </c>
    </row>
    <row r="26">
      <c r="A26" s="25" t="inlineStr">
        <is>
          <t>1.3.6</t>
        </is>
      </c>
      <c r="B26" s="26" t="inlineStr">
        <is>
          <t>ถมดินกลับรอบฐานราก บดอัด (จากตาราง S1.1)</t>
        </is>
      </c>
      <c r="C26" s="27" t="n">
        <v>128.26</v>
      </c>
      <c r="D26" s="25" t="inlineStr">
        <is>
          <t>ลบ.ม.</t>
        </is>
      </c>
      <c r="E26" s="21" t="n"/>
      <c r="F26" s="20">
        <f>IF(C26="",0,C26*E26)</f>
        <v/>
      </c>
      <c r="G26" s="21" t="n"/>
      <c r="H26" s="20">
        <f>IF(C26="",0,C26*G26)</f>
        <v/>
      </c>
      <c r="I26" s="20">
        <f>F26+H26</f>
        <v/>
      </c>
      <c r="J26" s="25" t="inlineStr">
        <is>
          <t>เพิ่มใหม่</t>
        </is>
      </c>
      <c r="K26" s="19" t="inlineStr">
        <is>
          <t>เพิ่ม: S201-B ตาราง S1.1 คอลัมน์ดินถม</t>
        </is>
      </c>
    </row>
    <row r="27">
      <c r="A27" s="15" t="inlineStr">
        <is>
          <t>1.4</t>
        </is>
      </c>
      <c r="B27" s="16" t="inlineStr">
        <is>
          <t>หมวดเครื่องจักรและการทดสอบ</t>
        </is>
      </c>
      <c r="C27" s="17" t="n"/>
      <c r="D27" s="15" t="n"/>
      <c r="E27" s="17" t="n"/>
      <c r="F27" s="17" t="n"/>
      <c r="G27" s="17" t="n"/>
      <c r="H27" s="17" t="n"/>
      <c r="I27" s="17" t="n"/>
      <c r="J27" s="15" t="n"/>
      <c r="K27" s="16" t="n"/>
    </row>
    <row r="28">
      <c r="A28" s="18" t="inlineStr">
        <is>
          <t>1.4.1</t>
        </is>
      </c>
      <c r="B28" s="19" t="inlineStr">
        <is>
          <t>ค่าขนย้ายเครื่องจักรเข้า-ออกพื้นที่ ปั้นจั่นตอกเข็ม และเครื่องจักรงานดิน</t>
        </is>
      </c>
      <c r="C28" s="20" t="n">
        <v>1</v>
      </c>
      <c r="D28" s="18" t="inlineStr">
        <is>
          <t>เหมา</t>
        </is>
      </c>
      <c r="E28" s="21" t="n"/>
      <c r="F28" s="20">
        <f>IF(C28="",0,C28*E28)</f>
        <v/>
      </c>
      <c r="G28" s="21" t="n"/>
      <c r="H28" s="20">
        <f>IF(C28="",0,C28*G28)</f>
        <v/>
      </c>
      <c r="I28" s="20">
        <f>F28+H28</f>
        <v/>
      </c>
      <c r="J28" s="18" t="inlineStr"/>
      <c r="K28" s="19" t="inlineStr">
        <is>
          <t>แนะนำตอกเข็มทุกชนิด (รวมเข็มถนน) ในการเข้าพื้นที่ครั้งเดียว</t>
        </is>
      </c>
    </row>
    <row r="29">
      <c r="A29" s="22" t="inlineStr">
        <is>
          <t>1.4.2</t>
        </is>
      </c>
      <c r="B29" s="23" t="inlineStr">
        <is>
          <t>ทดสอบกำลังรับน้ำหนักเสาเข็มแบบพลศาสตร์ (Dynamic Load Test)</t>
        </is>
      </c>
      <c r="C29" s="24" t="n">
        <v>3</v>
      </c>
      <c r="D29" s="22" t="inlineStr">
        <is>
          <t>ต้น</t>
        </is>
      </c>
      <c r="E29" s="21" t="n"/>
      <c r="F29" s="20">
        <f>IF(C29="",0,C29*E29)</f>
        <v/>
      </c>
      <c r="G29" s="21" t="n"/>
      <c r="H29" s="20">
        <f>IF(C29="",0,C29*G29)</f>
        <v/>
      </c>
      <c r="I29" s="20">
        <f>F29+H29</f>
        <v/>
      </c>
      <c r="J29" s="22" t="inlineStr">
        <is>
          <t>แก้ไข</t>
        </is>
      </c>
      <c r="K29" s="19" t="inlineStr">
        <is>
          <t>เดิม 2 → อย่างน้อย 1 ต้นต่อขนาดเข็ม (I22/I26/I35) หรือตามวิศวกรกำหนด</t>
        </is>
      </c>
    </row>
    <row r="30">
      <c r="A30" s="22" t="inlineStr">
        <is>
          <t>1.4.3</t>
        </is>
      </c>
      <c r="B30" s="23" t="inlineStr">
        <is>
          <t>ทดสอบความแน่นดินถมในสนาม (Field Density Test)</t>
        </is>
      </c>
      <c r="C30" s="24" t="n">
        <v>16</v>
      </c>
      <c r="D30" s="22" t="inlineStr">
        <is>
          <t>จุด</t>
        </is>
      </c>
      <c r="E30" s="21" t="n"/>
      <c r="F30" s="20">
        <f>IF(C30="",0,C30*E30)</f>
        <v/>
      </c>
      <c r="G30" s="21" t="n"/>
      <c r="H30" s="20">
        <f>IF(C30="",0,C30*G30)</f>
        <v/>
      </c>
      <c r="I30" s="20">
        <f>F30+H30</f>
        <v/>
      </c>
      <c r="J30" s="22" t="inlineStr">
        <is>
          <t>แก้ไข</t>
        </is>
      </c>
      <c r="K30" s="19" t="inlineStr">
        <is>
          <t>เดิม 6 → พื้นที่ถม 3,712 ตร.ม. ÷ 500 = 8 จุด/ชั้น x 2 ชั้น (ถม 0.30 ม. ชั้นละไม่เกิน 0.20)</t>
        </is>
      </c>
    </row>
    <row r="31">
      <c r="A31" s="22" t="inlineStr">
        <is>
          <t>1.4.4</t>
        </is>
      </c>
      <c r="B31" s="23" t="inlineStr">
        <is>
          <t>ทดสอบวัสดุก่อสร้าง (ตัวอย่างคอนกรีต กำลังดึงเหล็กเสริม) ตลอดโครงการ</t>
        </is>
      </c>
      <c r="C31" s="24" t="n">
        <v>1</v>
      </c>
      <c r="D31" s="22" t="inlineStr">
        <is>
          <t>เหมา</t>
        </is>
      </c>
      <c r="E31" s="21" t="n"/>
      <c r="F31" s="20">
        <f>IF(C31="",0,C31*E31)</f>
        <v/>
      </c>
      <c r="G31" s="21" t="n"/>
      <c r="H31" s="20">
        <f>IF(C31="",0,C31*G31)</f>
        <v/>
      </c>
      <c r="I31" s="20">
        <f>F31+H31</f>
        <v/>
      </c>
      <c r="J31" s="22" t="inlineStr">
        <is>
          <t>แก้ไข</t>
        </is>
      </c>
      <c r="K31" s="19" t="inlineStr">
        <is>
          <t>คอนกรีตโครงสร้างรวม ~1,270 ลบ.ม. (ไม่รวมถังใต้ดิน/ทางลาด)</t>
        </is>
      </c>
    </row>
    <row r="32">
      <c r="A32" s="25" t="inlineStr">
        <is>
          <t>1.4.5</t>
        </is>
      </c>
      <c r="B32" s="26" t="inlineStr">
        <is>
          <t>เครนยกติดตั้ง รถกระเช้า (Man lift) และนั่งร้านงานสูง +9.00 ถึง +15.25 ม.</t>
        </is>
      </c>
      <c r="C32" s="27" t="n">
        <v>1</v>
      </c>
      <c r="D32" s="25" t="inlineStr">
        <is>
          <t>เหมา</t>
        </is>
      </c>
      <c r="E32" s="21" t="n"/>
      <c r="F32" s="20">
        <f>IF(C32="",0,C32*E32)</f>
        <v/>
      </c>
      <c r="G32" s="21" t="n"/>
      <c r="H32" s="20">
        <f>IF(C32="",0,C32*G32)</f>
        <v/>
      </c>
      <c r="I32" s="20">
        <f>F32+H32</f>
        <v/>
      </c>
      <c r="J32" s="25" t="inlineStr">
        <is>
          <t>เพิ่มใหม่</t>
        </is>
      </c>
      <c r="K32" s="19" t="inlineStr">
        <is>
          <t>เพิ่ม: งานโครงเหล็ก/หลังคา/Jack roof (A202)</t>
        </is>
      </c>
    </row>
    <row r="33">
      <c r="A33" s="15" t="inlineStr">
        <is>
          <t>1.5</t>
        </is>
      </c>
      <c r="B33" s="16" t="inlineStr">
        <is>
          <t>หมวดความปลอดภัย การบริหาร และเอกสาร</t>
        </is>
      </c>
      <c r="C33" s="17" t="n"/>
      <c r="D33" s="15" t="n"/>
      <c r="E33" s="17" t="n"/>
      <c r="F33" s="17" t="n"/>
      <c r="G33" s="17" t="n"/>
      <c r="H33" s="17" t="n"/>
      <c r="I33" s="17" t="n"/>
      <c r="J33" s="15" t="n"/>
      <c r="K33" s="16" t="n"/>
    </row>
    <row r="34">
      <c r="A34" s="18" t="inlineStr">
        <is>
          <t>1.5.1</t>
        </is>
      </c>
      <c r="B34" s="19" t="inlineStr">
        <is>
          <t>ระบบความปลอดภัย: ป้ายเตือน กรวย ไฟส่องสว่าง PPE ถังดับเพลิง ชุดปฐมพยาบาล และเจ้าหน้าที่ความปลอดภัย (จป.)</t>
        </is>
      </c>
      <c r="C34" s="20" t="n">
        <v>6</v>
      </c>
      <c r="D34" s="18" t="inlineStr">
        <is>
          <t>เดือน</t>
        </is>
      </c>
      <c r="E34" s="21" t="n"/>
      <c r="F34" s="20">
        <f>IF(C34="",0,C34*E34)</f>
        <v/>
      </c>
      <c r="G34" s="21" t="n"/>
      <c r="H34" s="20">
        <f>IF(C34="",0,C34*G34)</f>
        <v/>
      </c>
      <c r="I34" s="20">
        <f>F34+H34</f>
        <v/>
      </c>
      <c r="J34" s="18" t="inlineStr"/>
      <c r="K34" s="19" t="inlineStr"/>
    </row>
    <row r="35">
      <c r="A35" s="18" t="inlineStr">
        <is>
          <t>1.5.2</t>
        </is>
      </c>
      <c r="B35" s="19" t="inlineStr">
        <is>
          <t>วิศวกรควบคุมงาน โฟร์แมน และเจ้าหน้าที่สำนักงานสนาม</t>
        </is>
      </c>
      <c r="C35" s="20" t="n">
        <v>6</v>
      </c>
      <c r="D35" s="18" t="inlineStr">
        <is>
          <t>เดือน</t>
        </is>
      </c>
      <c r="E35" s="21" t="n"/>
      <c r="F35" s="20">
        <f>IF(C35="",0,C35*E35)</f>
        <v/>
      </c>
      <c r="G35" s="21" t="n"/>
      <c r="H35" s="20">
        <f>IF(C35="",0,C35*G35)</f>
        <v/>
      </c>
      <c r="I35" s="20">
        <f>F35+H35</f>
        <v/>
      </c>
      <c r="J35" s="18" t="inlineStr"/>
      <c r="K35" s="19" t="inlineStr"/>
    </row>
    <row r="36">
      <c r="A36" s="18" t="inlineStr">
        <is>
          <t>1.5.3</t>
        </is>
      </c>
      <c r="B36" s="19" t="inlineStr">
        <is>
          <t>ประกันภัยความเสี่ยงงานก่อสร้าง (CAR) และบุคคลภายนอก (Third Party)</t>
        </is>
      </c>
      <c r="C36" s="20" t="n">
        <v>1</v>
      </c>
      <c r="D36" s="18" t="inlineStr">
        <is>
          <t>เหมา</t>
        </is>
      </c>
      <c r="E36" s="21" t="n"/>
      <c r="F36" s="20">
        <f>IF(C36="",0,C36*E36)</f>
        <v/>
      </c>
      <c r="G36" s="21" t="n"/>
      <c r="H36" s="20">
        <f>IF(C36="",0,C36*G36)</f>
        <v/>
      </c>
      <c r="I36" s="20">
        <f>F36+H36</f>
        <v/>
      </c>
      <c r="J36" s="18" t="inlineStr"/>
      <c r="K36" s="19" t="inlineStr"/>
    </row>
    <row r="37">
      <c r="A37" s="18" t="inlineStr">
        <is>
          <t>1.5.4</t>
        </is>
      </c>
      <c r="B37" s="19" t="inlineStr">
        <is>
          <t>แบบขยายการก่อสร้าง (Shop Drawing) แผนงาน รายงานประจำวัน/สัปดาห์ และภาพถ่ายความก้าวหน้า</t>
        </is>
      </c>
      <c r="C37" s="20" t="n">
        <v>1</v>
      </c>
      <c r="D37" s="18" t="inlineStr">
        <is>
          <t>เหมา</t>
        </is>
      </c>
      <c r="E37" s="21" t="n"/>
      <c r="F37" s="20">
        <f>IF(C37="",0,C37*E37)</f>
        <v/>
      </c>
      <c r="G37" s="21" t="n"/>
      <c r="H37" s="20">
        <f>IF(C37="",0,C37*G37)</f>
        <v/>
      </c>
      <c r="I37" s="20">
        <f>F37+H37</f>
        <v/>
      </c>
      <c r="J37" s="18" t="inlineStr"/>
      <c r="K37" s="19" t="inlineStr">
        <is>
          <t>รวม Shop drawing โครงเหล็กหลังคา</t>
        </is>
      </c>
    </row>
    <row r="38">
      <c r="A38" s="18" t="inlineStr">
        <is>
          <t>1.5.5</t>
        </is>
      </c>
      <c r="B38" s="19" t="inlineStr">
        <is>
          <t>แบบก่อสร้างจริง (As-Built Drawing) และเอกสารส่งมอบงาน</t>
        </is>
      </c>
      <c r="C38" s="20" t="n">
        <v>1</v>
      </c>
      <c r="D38" s="18" t="inlineStr">
        <is>
          <t>เหมา</t>
        </is>
      </c>
      <c r="E38" s="21" t="n"/>
      <c r="F38" s="20">
        <f>IF(C38="",0,C38*E38)</f>
        <v/>
      </c>
      <c r="G38" s="21" t="n"/>
      <c r="H38" s="20">
        <f>IF(C38="",0,C38*G38)</f>
        <v/>
      </c>
      <c r="I38" s="20">
        <f>F38+H38</f>
        <v/>
      </c>
      <c r="J38" s="18" t="inlineStr"/>
      <c r="K38" s="19" t="inlineStr"/>
    </row>
    <row r="39">
      <c r="A39" s="18" t="inlineStr">
        <is>
          <t>1.5.6</t>
        </is>
      </c>
      <c r="B39" s="19" t="inlineStr">
        <is>
          <t>ทำความสะอาดพื้นที่ รื้อถอนสิ่งปลูกสร้างชั่วคราว และคืนสภาพพื้นที่ก่อนส่งมอบ</t>
        </is>
      </c>
      <c r="C39" s="20" t="n">
        <v>1</v>
      </c>
      <c r="D39" s="18" t="inlineStr">
        <is>
          <t>เหมา</t>
        </is>
      </c>
      <c r="E39" s="21" t="n"/>
      <c r="F39" s="20">
        <f>IF(C39="",0,C39*E39)</f>
        <v/>
      </c>
      <c r="G39" s="21" t="n"/>
      <c r="H39" s="20">
        <f>IF(C39="",0,C39*G39)</f>
        <v/>
      </c>
      <c r="I39" s="20">
        <f>F39+H39</f>
        <v/>
      </c>
      <c r="J39" s="18" t="inlineStr"/>
      <c r="K39" s="19" t="inlineStr"/>
    </row>
    <row r="40">
      <c r="A40" s="28" t="n"/>
      <c r="B40" s="10" t="inlineStr">
        <is>
          <t>รวมหมวดที่ 1 งานเตรียมการ</t>
        </is>
      </c>
      <c r="C40" s="29" t="n"/>
      <c r="D40" s="28" t="n"/>
      <c r="E40" s="29" t="n"/>
      <c r="F40" s="30">
        <f>SUM(F5:F39)</f>
        <v/>
      </c>
      <c r="G40" s="29" t="n"/>
      <c r="H40" s="30">
        <f>SUM(H5:H39)</f>
        <v/>
      </c>
      <c r="I40" s="30">
        <f>SUM(I5:I39)</f>
        <v/>
      </c>
      <c r="J40" s="28" t="n"/>
      <c r="K40" s="31" t="n"/>
    </row>
    <row r="41">
      <c r="B41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2 งานโครงสร้าง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2.1</t>
        </is>
      </c>
      <c r="B5" s="16" t="inlineStr">
        <is>
          <t>หมวดงานเสาเข็ม (กลุ่มเข็มอาคาร 2.1.1-2.1.2 / กลุ่มเข็มอาคารประกอบ-อื่นๆ 2.1.3-2.1.4, 4.3.1, 4.6.1 / กลุ่มเข็มถนน 4.1.1) ยาว 22 ม.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18" t="inlineStr">
        <is>
          <t>2.1.1</t>
        </is>
      </c>
      <c r="B6" s="19" t="inlineStr">
        <is>
          <t>เสาเข็มตอก I-260x260 ยาว 22 ม. เสริมหนวดกุ้ง 4-DB12-2.5 ม. รับฐานราก F2P (I26-22) รวมค่าตอก</t>
        </is>
      </c>
      <c r="C6" s="20" t="n">
        <v>92</v>
      </c>
      <c r="D6" s="18" t="inlineStr">
        <is>
          <t>ต้น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18" t="inlineStr"/>
      <c r="K6" s="19" t="inlineStr">
        <is>
          <t>เดิม 92 ตรงกัน: F2P 46 ฐาน x 2 ต้น (ผู้ว่าจ้างยืนยัน 46 ฐาน)</t>
        </is>
      </c>
    </row>
    <row r="7">
      <c r="A7" s="22" t="inlineStr">
        <is>
          <t>2.1.2</t>
        </is>
      </c>
      <c r="B7" s="23" t="inlineStr">
        <is>
          <t>เสาเข็มตอก I-350x350 ยาว 22 ม. รับพื้นโรงงาน (I35-22) ระยะ 3.00x3.00 ม. รวมค่าตอก</t>
        </is>
      </c>
      <c r="C7" s="24" t="n">
        <v>360</v>
      </c>
      <c r="D7" s="22" t="inlineStr">
        <is>
          <t>ต้น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2" t="inlineStr">
        <is>
          <t>แก้ไข</t>
        </is>
      </c>
      <c r="K7" s="19" t="inlineStr">
        <is>
          <t>ตรงกัน 360 ต้น; ระบุขนาด 350 มม. (ราคาต่างจากเข็มฐานราก)</t>
        </is>
      </c>
    </row>
    <row r="8">
      <c r="A8" s="22" t="inlineStr">
        <is>
          <t>2.1.3</t>
        </is>
      </c>
      <c r="B8" s="23" t="inlineStr">
        <is>
          <t>เสาเข็มตอก I-260x260 ยาว 22 ม. อาคารประกอบ ฐาน F1P-1 (ห้องน้ำ 6, ห้องสารเคมี 3, ทางลาดเหนือ 2) รวมค่าตอก</t>
        </is>
      </c>
      <c r="C8" s="24" t="n">
        <v>11</v>
      </c>
      <c r="D8" s="22" t="inlineStr">
        <is>
          <t>ต้น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2" t="inlineStr">
        <is>
          <t>แก้ไข</t>
        </is>
      </c>
      <c r="K8" s="19" t="inlineStr">
        <is>
          <t>เดิม 18 → 11 (นับจาก S201)</t>
        </is>
      </c>
    </row>
    <row r="9">
      <c r="A9" s="25" t="inlineStr">
        <is>
          <t>2.1.4</t>
        </is>
      </c>
      <c r="B9" s="26" t="inlineStr">
        <is>
          <t>เสาเข็มตอก I-260x260 รับถังเก็บน้ำใต้ดิน (ตัดหัวลดระดับ 1 ม.) รวมค่าตอก</t>
        </is>
      </c>
      <c r="C9" s="27" t="n">
        <v>17</v>
      </c>
      <c r="D9" s="25" t="inlineStr">
        <is>
          <t>ต้น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25" t="inlineStr">
        <is>
          <t>เพิ่มใหม่</t>
        </is>
      </c>
      <c r="K9" s="19" t="inlineStr">
        <is>
          <t>เพิ่ม: S201-B (I26) นับจากผังได้ 17</t>
        </is>
      </c>
    </row>
    <row r="10">
      <c r="A10" s="22" t="inlineStr">
        <is>
          <t>2.1.5</t>
        </is>
      </c>
      <c r="B10" s="23" t="inlineStr">
        <is>
          <t>ตัดหัวเสาเข็มและขนทิ้ง</t>
        </is>
      </c>
      <c r="C10" s="24" t="n">
        <v>751</v>
      </c>
      <c r="D10" s="22" t="inlineStr">
        <is>
          <t>ต้น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22" t="inlineStr">
        <is>
          <t>แก้ไข</t>
        </is>
      </c>
      <c r="K10" s="19" t="inlineStr">
        <is>
          <t>เดิม 470 → 3 กลุ่ม: อาคาร 452 + อาคารประกอบ/อื่นๆ 50 + ถนน 249 = 751</t>
        </is>
      </c>
    </row>
    <row r="11">
      <c r="A11" s="33" t="inlineStr">
        <is>
          <t>2.1.6</t>
        </is>
      </c>
      <c r="B11" s="34" t="inlineStr">
        <is>
          <t>ราคาปรับเพิ่ม/ลดความยาวเสาเข็ม กรณีผลสำรวจดินต่างจากความยาวที่สมมติ แยกตามขนาด I22 / I26 / I35</t>
        </is>
      </c>
      <c r="C11" s="35" t="n"/>
      <c r="D11" s="33" t="inlineStr">
        <is>
          <t>ม.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33" t="inlineStr">
        <is>
          <t>รอข้อมูล</t>
        </is>
      </c>
      <c r="K11" s="19" t="inlineStr">
        <is>
          <t>ราคาต่อเมตร (ไม่มีปริมาณ) ใช้ปรับหลังได้ผลสำรวจดิน P3</t>
        </is>
      </c>
    </row>
    <row r="12">
      <c r="A12" s="33" t="inlineStr">
        <is>
          <t>2.1.7</t>
        </is>
      </c>
      <c r="B12" s="34" t="inlineStr">
        <is>
          <t>เชื่อมต่อเสาเข็ม (เข็มยาว 22 ม. ส่ง 2 ท่อน) พร้อมแผ่นเหล็กต่อเชื่อม</t>
        </is>
      </c>
      <c r="C12" s="35" t="n">
        <v>751</v>
      </c>
      <c r="D12" s="33" t="inlineStr">
        <is>
          <t>จุด</t>
        </is>
      </c>
      <c r="E12" s="21" t="n"/>
      <c r="F12" s="20">
        <f>IF(C12="",0,C12*E12)</f>
        <v/>
      </c>
      <c r="G12" s="21" t="n"/>
      <c r="H12" s="20">
        <f>IF(C12="",0,C12*G12)</f>
        <v/>
      </c>
      <c r="I12" s="20">
        <f>F12+H12</f>
        <v/>
      </c>
      <c r="J12" s="33" t="inlineStr">
        <is>
          <t>รอข้อมูล</t>
        </is>
      </c>
      <c r="K12" s="19" t="inlineStr">
        <is>
          <t>เพิ่ม: สมมติ 1 รอยต่อ/ต้น ตามความยาวท่อนที่ผู้ผลิตส่งได้</t>
        </is>
      </c>
    </row>
    <row r="13">
      <c r="A13" s="15" t="inlineStr">
        <is>
          <t>2.2</t>
        </is>
      </c>
      <c r="B13" s="16" t="inlineStr">
        <is>
          <t>หมวดงานฐานราก (ข้อมูลจากตาราง S1.1 แบบ S201-B)</t>
        </is>
      </c>
      <c r="C13" s="17" t="n"/>
      <c r="D13" s="15" t="n"/>
      <c r="E13" s="17" t="n"/>
      <c r="F13" s="17" t="n"/>
      <c r="G13" s="17" t="n"/>
      <c r="H13" s="17" t="n"/>
      <c r="I13" s="17" t="n"/>
      <c r="J13" s="15" t="n"/>
      <c r="K13" s="16" t="n"/>
    </row>
    <row r="14">
      <c r="A14" s="22" t="inlineStr">
        <is>
          <t>2.2.1</t>
        </is>
      </c>
      <c r="B14" s="23" t="inlineStr">
        <is>
          <t>ฐานราก F2P 0.60x1.50x0.80 ม. (เข็ม 2 ต้น) ทรายรองพื้น คอนกรีตหยาบ คอนกรีตโครงสร้าง ไม้แบบ</t>
        </is>
      </c>
      <c r="C14" s="24" t="n">
        <v>46</v>
      </c>
      <c r="D14" s="22" t="inlineStr">
        <is>
          <t>ฐาน</t>
        </is>
      </c>
      <c r="E14" s="21" t="n"/>
      <c r="F14" s="20">
        <f>IF(C14="",0,C14*E14)</f>
        <v/>
      </c>
      <c r="G14" s="21" t="n"/>
      <c r="H14" s="20">
        <f>IF(C14="",0,C14*G14)</f>
        <v/>
      </c>
      <c r="I14" s="20">
        <f>F14+H14</f>
        <v/>
      </c>
      <c r="J14" s="22" t="inlineStr">
        <is>
          <t>แก้ไข</t>
        </is>
      </c>
      <c r="K14" s="19" t="inlineStr">
        <is>
          <t>ผู้ว่าจ้างยืนยัน 46 ฐาน (เสา C1 45 + C2 1, เข็ม 2 ต้น/ฐาน = 92 ต้น) ตาราง S1.1 นับ 47 ผิด; คอนกรีต 33.12 ลบ.ม., ทราย 11.84, คอนกรีตหยาบ 2.63, ไม้แบบ 154.56 ตร.ม.</t>
        </is>
      </c>
    </row>
    <row r="15">
      <c r="A15" s="25" t="inlineStr">
        <is>
          <t>2.2.2</t>
        </is>
      </c>
      <c r="B15" s="26" t="inlineStr">
        <is>
          <t>Drop panel F1P 1.00x1.00x0.20 ม. รับพื้นบนเข็ม I35 ทรายรองพื้น คอนกรีตหยาบ คอนกรีต</t>
        </is>
      </c>
      <c r="C15" s="27" t="n">
        <v>360</v>
      </c>
      <c r="D15" s="25" t="inlineStr">
        <is>
          <t>จุด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25" t="inlineStr">
        <is>
          <t>เพิ่มใหม่</t>
        </is>
      </c>
      <c r="K15" s="19" t="inlineStr">
        <is>
          <t>เพิ่ม: คอนกรีต 72.00, ทราย 92.16, คอนกรีตหยาบ 21.78 ลบ.ม.</t>
        </is>
      </c>
    </row>
    <row r="16">
      <c r="A16" s="25" t="inlineStr">
        <is>
          <t>2.2.3</t>
        </is>
      </c>
      <c r="B16" s="26" t="inlineStr">
        <is>
          <t>ฐาน F1P-1 0.60x0.60x0.60 ม. (เข็มเดี่ยว อาคารประกอบ)</t>
        </is>
      </c>
      <c r="C16" s="27" t="n">
        <v>11</v>
      </c>
      <c r="D16" s="25" t="inlineStr">
        <is>
          <t>ฐาน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25" t="inlineStr">
        <is>
          <t>เพิ่มใหม่</t>
        </is>
      </c>
      <c r="K16" s="19" t="inlineStr">
        <is>
          <t>เพิ่ม: คอนกรีต 2.38, ทราย 1.58, คอนกรีตหยาบ 0.27 ลบ.ม.</t>
        </is>
      </c>
    </row>
    <row r="17">
      <c r="A17" s="33" t="inlineStr">
        <is>
          <t>2.2.4</t>
        </is>
      </c>
      <c r="B17" s="34" t="inlineStr">
        <is>
          <t>เหล็กเสริมฐานราก F2P / F1P / F1P-1</t>
        </is>
      </c>
      <c r="C17" s="35" t="n"/>
      <c r="D17" s="33" t="inlineStr">
        <is>
          <t>กก.</t>
        </is>
      </c>
      <c r="E17" s="21" t="n"/>
      <c r="F17" s="20">
        <f>IF(C17="",0,C17*E17)</f>
        <v/>
      </c>
      <c r="G17" s="21" t="n"/>
      <c r="H17" s="20">
        <f>IF(C17="",0,C17*G17)</f>
        <v/>
      </c>
      <c r="I17" s="20">
        <f>F17+H17</f>
        <v/>
      </c>
      <c r="J17" s="33" t="inlineStr">
        <is>
          <t>รอข้อมูล</t>
        </is>
      </c>
      <c r="K17" s="19" t="inlineStr">
        <is>
          <t>รอเอกสารออกแบบเหล็กเสริม (อ้างอิงประมาณ 100 กก./ลบ.ม. ≈ 10,750 กก.)</t>
        </is>
      </c>
    </row>
    <row r="18">
      <c r="A18" s="15" t="inlineStr">
        <is>
          <t>2.3</t>
        </is>
      </c>
      <c r="B18" s="16" t="inlineStr">
        <is>
          <t>หมวดงานเสาและคาน คสล.</t>
        </is>
      </c>
      <c r="C18" s="17" t="n"/>
      <c r="D18" s="15" t="n"/>
      <c r="E18" s="17" t="n"/>
      <c r="F18" s="17" t="n"/>
      <c r="G18" s="17" t="n"/>
      <c r="H18" s="17" t="n"/>
      <c r="I18" s="17" t="n"/>
      <c r="J18" s="15" t="n"/>
      <c r="K18" s="16" t="n"/>
    </row>
    <row r="19">
      <c r="A19" s="22" t="inlineStr">
        <is>
          <t>2.3.1</t>
        </is>
      </c>
      <c r="B19" s="23" t="inlineStr">
        <is>
          <t>เสา คสล. C1 0.30x0.50 ม. จากหลังฐานรากถึงหัวเสา +4.50 (ยาว 4.90 ม.)</t>
        </is>
      </c>
      <c r="C19" s="24" t="n">
        <v>45</v>
      </c>
      <c r="D19" s="22" t="inlineStr">
        <is>
          <t>ต้น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22" t="inlineStr">
        <is>
          <t>แก้ไข</t>
        </is>
      </c>
      <c r="K19" s="19" t="inlineStr">
        <is>
          <t>เดิม 'เสาตอม่อ 46' → C1 45 ต้น คอนกรีต 32.37 ลบ.ม. ไม้แบบ 352.80 ตร.ม. (S4.1)</t>
        </is>
      </c>
    </row>
    <row r="20">
      <c r="A20" s="25" t="inlineStr">
        <is>
          <t>2.3.2</t>
        </is>
      </c>
      <c r="B20" s="26" t="inlineStr">
        <is>
          <t>เสา คสล. C2 0.50x0.50 ม. (กริด 6/J)</t>
        </is>
      </c>
      <c r="C20" s="27" t="n">
        <v>1</v>
      </c>
      <c r="D20" s="25" t="inlineStr">
        <is>
          <t>ต้น</t>
        </is>
      </c>
      <c r="E20" s="21" t="n"/>
      <c r="F20" s="20">
        <f>IF(C20="",0,C20*E20)</f>
        <v/>
      </c>
      <c r="G20" s="21" t="n"/>
      <c r="H20" s="20">
        <f>IF(C20="",0,C20*G20)</f>
        <v/>
      </c>
      <c r="I20" s="20">
        <f>F20+H20</f>
        <v/>
      </c>
      <c r="J20" s="25" t="inlineStr">
        <is>
          <t>เพิ่มใหม่</t>
        </is>
      </c>
      <c r="K20" s="19" t="inlineStr">
        <is>
          <t>เพิ่ม: คอนกรีต 1.13 ลบ.ม. ไม้แบบ 9.80 ตร.ม.</t>
        </is>
      </c>
    </row>
    <row r="21">
      <c r="A21" s="25" t="inlineStr">
        <is>
          <t>2.3.3</t>
        </is>
      </c>
      <c r="B21" s="26" t="inlineStr">
        <is>
          <t>เสา คสล. C3 0.20x0.20 ม. อาคารประกอบ</t>
        </is>
      </c>
      <c r="C21" s="27" t="n">
        <v>13</v>
      </c>
      <c r="D21" s="25" t="inlineStr">
        <is>
          <t>ต้น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25" t="inlineStr">
        <is>
          <t>เพิ่มใหม่</t>
        </is>
      </c>
      <c r="K21" s="19" t="inlineStr">
        <is>
          <t>เพิ่ม: คอนกรีต 1.60 ลบ.ม. ไม้แบบ 34.74 ตร.ม. (S4.1 รวม 3 ระดับ)</t>
        </is>
      </c>
    </row>
    <row r="22">
      <c r="A22" s="22" t="inlineStr">
        <is>
          <t>2.3.4</t>
        </is>
      </c>
      <c r="B22" s="23" t="inlineStr">
        <is>
          <t>คานคอดิน B1 0.20x0.60 ม. TOP +0.50 (แนวรอบอาคาร + แนวกริด 6)</t>
        </is>
      </c>
      <c r="C22" s="24" t="n">
        <v>282</v>
      </c>
      <c r="D22" s="22" t="inlineStr">
        <is>
          <t>ม.</t>
        </is>
      </c>
      <c r="E22" s="21" t="n"/>
      <c r="F22" s="20">
        <f>IF(C22="",0,C22*E22)</f>
        <v/>
      </c>
      <c r="G22" s="21" t="n"/>
      <c r="H22" s="20">
        <f>IF(C22="",0,C22*G22)</f>
        <v/>
      </c>
      <c r="I22" s="20">
        <f>F22+H22</f>
        <v/>
      </c>
      <c r="J22" s="22" t="inlineStr">
        <is>
          <t>แก้ไข</t>
        </is>
      </c>
      <c r="K22" s="19" t="inlineStr">
        <is>
          <t>เดิมว่าง → คอนกรีต 32.04 ลบ.ม. ไม้แบบ 394.80 ตร.ม. (S3)</t>
        </is>
      </c>
    </row>
    <row r="23">
      <c r="A23" s="25" t="inlineStr">
        <is>
          <t>2.3.5</t>
        </is>
      </c>
      <c r="B23" s="26" t="inlineStr">
        <is>
          <t>คาน B3 0.20x0.40 ม. อาคารประกอบ (ระดับถนน + ระดับพื้นชั้น 1)</t>
        </is>
      </c>
      <c r="C23" s="27" t="n">
        <v>40.45</v>
      </c>
      <c r="D23" s="25" t="inlineStr">
        <is>
          <t>ม.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25" t="inlineStr">
        <is>
          <t>เพิ่มใหม่</t>
        </is>
      </c>
      <c r="K23" s="19" t="inlineStr">
        <is>
          <t>เพิ่ม: คอนกรีต 1.81 ลบ.ม. ไม้แบบ 40.45 ตร.ม. (S3)</t>
        </is>
      </c>
    </row>
    <row r="24">
      <c r="A24" s="33" t="inlineStr">
        <is>
          <t>2.3.6</t>
        </is>
      </c>
      <c r="B24" s="34" t="inlineStr">
        <is>
          <t>เหล็กเสริมเสาและคาน คสล. (C1, C2, C3, B1, B3)</t>
        </is>
      </c>
      <c r="C24" s="35" t="n"/>
      <c r="D24" s="33" t="inlineStr">
        <is>
          <t>กก.</t>
        </is>
      </c>
      <c r="E24" s="21" t="n"/>
      <c r="F24" s="20">
        <f>IF(C24="",0,C24*E24)</f>
        <v/>
      </c>
      <c r="G24" s="21" t="n"/>
      <c r="H24" s="20">
        <f>IF(C24="",0,C24*G24)</f>
        <v/>
      </c>
      <c r="I24" s="20">
        <f>F24+H24</f>
        <v/>
      </c>
      <c r="J24" s="33" t="inlineStr">
        <is>
          <t>รอข้อมูล</t>
        </is>
      </c>
      <c r="K24" s="19" t="inlineStr">
        <is>
          <t>รอเอกสารออกแบบเหล็กเสริม (อ้างอิงประมาณ 160 กก./ลบ.ม. ≈ 11,000 กก.)</t>
        </is>
      </c>
    </row>
    <row r="25">
      <c r="A25" s="15" t="inlineStr">
        <is>
          <t>2.4</t>
        </is>
      </c>
      <c r="B25" s="16" t="inlineStr">
        <is>
          <t>หมวดงานพื้น คสล.</t>
        </is>
      </c>
      <c r="C25" s="17" t="n"/>
      <c r="D25" s="15" t="n"/>
      <c r="E25" s="17" t="n"/>
      <c r="F25" s="17" t="n"/>
      <c r="G25" s="17" t="n"/>
      <c r="H25" s="17" t="n"/>
      <c r="I25" s="17" t="n"/>
      <c r="J25" s="15" t="n"/>
      <c r="K25" s="16" t="n"/>
    </row>
    <row r="26">
      <c r="A26" s="22" t="inlineStr">
        <is>
          <t>2.4.1</t>
        </is>
      </c>
      <c r="B26" s="23" t="inlineStr">
        <is>
          <t>พื้น S1 คสล. หนา 0.20 ม. วางบนเสาเข็ม TOP +0.50 พร้อมไม้แบบข้าง</t>
        </is>
      </c>
      <c r="C26" s="24" t="n">
        <v>3206.48</v>
      </c>
      <c r="D26" s="22" t="inlineStr">
        <is>
          <t>ตร.ม.</t>
        </is>
      </c>
      <c r="E26" s="21" t="n"/>
      <c r="F26" s="20">
        <f>IF(C26="",0,C26*E26)</f>
        <v/>
      </c>
      <c r="G26" s="21" t="n"/>
      <c r="H26" s="20">
        <f>IF(C26="",0,C26*G26)</f>
        <v/>
      </c>
      <c r="I26" s="20">
        <f>F26+H26</f>
        <v/>
      </c>
      <c r="J26" s="22" t="inlineStr">
        <is>
          <t>แก้ไข</t>
        </is>
      </c>
      <c r="K26" s="19" t="inlineStr">
        <is>
          <t>เดิม 3,240 → 3,206.48 ตร.ม. คอนกรีต 641.30 ลบ.ม. (S6.1)</t>
        </is>
      </c>
    </row>
    <row r="27">
      <c r="A27" s="25" t="inlineStr">
        <is>
          <t>2.4.2</t>
        </is>
      </c>
      <c r="B27" s="26" t="inlineStr">
        <is>
          <t>พื้นห้อง SF02 หนา 0.25 / AF01 หนา 0.10 ระดับพื้นชั้น 1</t>
        </is>
      </c>
      <c r="C27" s="27" t="n">
        <v>51.82</v>
      </c>
      <c r="D27" s="25" t="inlineStr">
        <is>
          <t>ตร.ม.</t>
        </is>
      </c>
      <c r="E27" s="21" t="n"/>
      <c r="F27" s="20">
        <f>IF(C27="",0,C27*E27)</f>
        <v/>
      </c>
      <c r="G27" s="21" t="n"/>
      <c r="H27" s="20">
        <f>IF(C27="",0,C27*G27)</f>
        <v/>
      </c>
      <c r="I27" s="20">
        <f>F27+H27</f>
        <v/>
      </c>
      <c r="J27" s="25" t="inlineStr">
        <is>
          <t>เพิ่มใหม่</t>
        </is>
      </c>
      <c r="K27" s="19" t="inlineStr">
        <is>
          <t>เพิ่ม: SF02 30.50 + AF01 21.32 ตร.ม. คอนกรีต 9.76 ลบ.ม. (S6.1)</t>
        </is>
      </c>
    </row>
    <row r="28">
      <c r="A28" s="33" t="inlineStr">
        <is>
          <t>2.4.3</t>
        </is>
      </c>
      <c r="B28" s="34" t="inlineStr">
        <is>
          <t>เหล็กเสริม/ตะแกรงเหล็ก พื้น S1, SF02, AF01</t>
        </is>
      </c>
      <c r="C28" s="35" t="n"/>
      <c r="D28" s="33" t="inlineStr">
        <is>
          <t>กก.</t>
        </is>
      </c>
      <c r="E28" s="21" t="n"/>
      <c r="F28" s="20">
        <f>IF(C28="",0,C28*E28)</f>
        <v/>
      </c>
      <c r="G28" s="21" t="n"/>
      <c r="H28" s="20">
        <f>IF(C28="",0,C28*G28)</f>
        <v/>
      </c>
      <c r="I28" s="20">
        <f>F28+H28</f>
        <v/>
      </c>
      <c r="J28" s="33" t="inlineStr">
        <is>
          <t>รอข้อมูล</t>
        </is>
      </c>
      <c r="K28" s="19" t="inlineStr">
        <is>
          <t>รอเอกสารออกแบบเหล็กเสริม (อ้างอิงประมาณ 80 กก./ลบ.ม. ≈ 52,000 กก.)</t>
        </is>
      </c>
    </row>
    <row r="29">
      <c r="A29" s="25" t="inlineStr">
        <is>
          <t>2.4.4</t>
        </is>
      </c>
      <c r="B29" s="26" t="inlineStr">
        <is>
          <t>แผ่นพลาสติก PE รองใต้พื้น S1 และทรายรองพื้น</t>
        </is>
      </c>
      <c r="C29" s="27" t="n">
        <v>3206.48</v>
      </c>
      <c r="D29" s="25" t="inlineStr">
        <is>
          <t>ตร.ม.</t>
        </is>
      </c>
      <c r="E29" s="21" t="n"/>
      <c r="F29" s="20">
        <f>IF(C29="",0,C29*E29)</f>
        <v/>
      </c>
      <c r="G29" s="21" t="n"/>
      <c r="H29" s="20">
        <f>IF(C29="",0,C29*G29)</f>
        <v/>
      </c>
      <c r="I29" s="20">
        <f>F29+H29</f>
        <v/>
      </c>
      <c r="J29" s="25" t="inlineStr">
        <is>
          <t>เพิ่มใหม่</t>
        </is>
      </c>
      <c r="K29" s="19" t="inlineStr">
        <is>
          <t>เพิ่ม: พื้นที่ S1 (S6.1)</t>
        </is>
      </c>
    </row>
    <row r="30">
      <c r="A30" s="33" t="inlineStr">
        <is>
          <t>2.4.5</t>
        </is>
      </c>
      <c r="B30" s="34" t="inlineStr">
        <is>
          <t>ตัดรอยต่อพื้น (Saw cut) และยาแนว Joint sealant พื้น S1</t>
        </is>
      </c>
      <c r="C30" s="35" t="n">
        <v>966</v>
      </c>
      <c r="D30" s="33" t="inlineStr">
        <is>
          <t>ม.</t>
        </is>
      </c>
      <c r="E30" s="21" t="n"/>
      <c r="F30" s="20">
        <f>IF(C30="",0,C30*E30)</f>
        <v/>
      </c>
      <c r="G30" s="21" t="n"/>
      <c r="H30" s="20">
        <f>IF(C30="",0,C30*G30)</f>
        <v/>
      </c>
      <c r="I30" s="20">
        <f>F30+H30</f>
        <v/>
      </c>
      <c r="J30" s="33" t="inlineStr">
        <is>
          <t>รอข้อมูล</t>
        </is>
      </c>
      <c r="K30" s="19" t="inlineStr">
        <is>
          <t>เพิ่ม: สมมติรอยต่อทุก 6 ม. ตามแนวกริด (9x54 + 8x60 ม.) รอแบบ</t>
        </is>
      </c>
    </row>
    <row r="31">
      <c r="A31" s="15" t="inlineStr">
        <is>
          <t>2.5</t>
        </is>
      </c>
      <c r="B31" s="16" t="inlineStr">
        <is>
          <t>หมวดงานโครงสร้างเหล็ก (หน้าตัดโครงถัก แป ค้ำยัน รอแบบโครงหลังคา)</t>
        </is>
      </c>
      <c r="C31" s="17" t="n"/>
      <c r="D31" s="15" t="n"/>
      <c r="E31" s="17" t="n"/>
      <c r="F31" s="17" t="n"/>
      <c r="G31" s="17" t="n"/>
      <c r="H31" s="17" t="n"/>
      <c r="I31" s="17" t="n"/>
      <c r="J31" s="15" t="n"/>
      <c r="K31" s="16" t="n"/>
    </row>
    <row r="32">
      <c r="A32" s="22" t="inlineStr">
        <is>
          <t>2.5.1</t>
        </is>
      </c>
      <c r="B32" s="23" t="inlineStr">
        <is>
          <t>เสาเหล็ก H244x175x7x11 (H250x175) 44.1 กก./ม. จากแผ่นเหล็กฐาน +4.545 ถึงใต้แผ่นหัวเสา +8.98</t>
        </is>
      </c>
      <c r="C32" s="24" t="n">
        <v>8997</v>
      </c>
      <c r="D32" s="22" t="inlineStr">
        <is>
          <t>กก.</t>
        </is>
      </c>
      <c r="E32" s="21" t="n"/>
      <c r="F32" s="20">
        <f>IF(C32="",0,C32*E32)</f>
        <v/>
      </c>
      <c r="G32" s="21" t="n"/>
      <c r="H32" s="20">
        <f>IF(C32="",0,C32*G32)</f>
        <v/>
      </c>
      <c r="I32" s="20">
        <f>F32+H32</f>
        <v/>
      </c>
      <c r="J32" s="22" t="inlineStr">
        <is>
          <t>แก้ไข</t>
        </is>
      </c>
      <c r="K32" s="19" t="inlineStr">
        <is>
          <t>แก้ไข: 46 ต้น x 4.435 ม. = 204.01 ม. x 44.1 กก./ม. (หักเกราท์ 25 + แผ่นเหล็ก 20+20 มม.)</t>
        </is>
      </c>
    </row>
    <row r="33">
      <c r="A33" s="33" t="inlineStr">
        <is>
          <t>2.5.2</t>
        </is>
      </c>
      <c r="B33" s="34" t="inlineStr">
        <is>
          <t>โครงถักหลังคา ช่วง 2 x 30 ม. 10 แนว (กริด A-J) สันหลังคา +14.10</t>
        </is>
      </c>
      <c r="C33" s="35" t="n">
        <v>25534</v>
      </c>
      <c r="D33" s="33" t="inlineStr">
        <is>
          <t>กก.</t>
        </is>
      </c>
      <c r="E33" s="21" t="n"/>
      <c r="F33" s="20">
        <f>IF(C33="",0,C33*E33)</f>
        <v/>
      </c>
      <c r="G33" s="21" t="n"/>
      <c r="H33" s="20">
        <f>IF(C33="",0,C33*G33)</f>
        <v/>
      </c>
      <c r="I33" s="20">
        <f>F33+H33</f>
        <v/>
      </c>
      <c r="J33" s="33" t="inlineStr">
        <is>
          <t>รอข้อมูล</t>
        </is>
      </c>
      <c r="K33" s="19" t="inlineStr">
        <is>
          <t>ประมาณการจากโมเดล (คอร์ด 2C-150x65x20x3.2, ค้ำ C-100x50x20x2.3) รอแบบ</t>
        </is>
      </c>
    </row>
    <row r="34">
      <c r="A34" s="33" t="inlineStr">
        <is>
          <t>2.5.3</t>
        </is>
      </c>
      <c r="B34" s="34" t="inlineStr">
        <is>
          <t>แปหลังคา C-125x50x20x3.2 และแปผนัง (Girt)</t>
        </is>
      </c>
      <c r="C34" s="35" t="n">
        <v>20928</v>
      </c>
      <c r="D34" s="33" t="inlineStr">
        <is>
          <t>กก.</t>
        </is>
      </c>
      <c r="E34" s="21" t="n"/>
      <c r="F34" s="20">
        <f>IF(C34="",0,C34*E34)</f>
        <v/>
      </c>
      <c r="G34" s="21" t="n"/>
      <c r="H34" s="20">
        <f>IF(C34="",0,C34*G34)</f>
        <v/>
      </c>
      <c r="I34" s="20">
        <f>F34+H34</f>
        <v/>
      </c>
      <c r="J34" s="33" t="inlineStr">
        <is>
          <t>รอข้อมูล</t>
        </is>
      </c>
      <c r="K34" s="19" t="inlineStr">
        <is>
          <t>ประมาณการจากโมเดล แปหลังคา ~2,730 ม. + แปผนัง 684 ม. รอแบบ</t>
        </is>
      </c>
    </row>
    <row r="35">
      <c r="A35" s="33" t="inlineStr">
        <is>
          <t>2.5.4</t>
        </is>
      </c>
      <c r="B35" s="34" t="inlineStr">
        <is>
          <t>ค้ำยันหลังคา/ผนัง RB12 + Turnbuckle, Sag rod, แผ่นต่อ สลักเกลียว (จุดต่อ ~10%)</t>
        </is>
      </c>
      <c r="C35" s="35" t="n">
        <v>5849</v>
      </c>
      <c r="D35" s="33" t="inlineStr">
        <is>
          <t>กก.</t>
        </is>
      </c>
      <c r="E35" s="21" t="n"/>
      <c r="F35" s="20">
        <f>IF(C35="",0,C35*E35)</f>
        <v/>
      </c>
      <c r="G35" s="21" t="n"/>
      <c r="H35" s="20">
        <f>IF(C35="",0,C35*G35)</f>
        <v/>
      </c>
      <c r="I35" s="20">
        <f>F35+H35</f>
        <v/>
      </c>
      <c r="J35" s="33" t="inlineStr">
        <is>
          <t>รอข้อมูล</t>
        </is>
      </c>
      <c r="K35" s="19" t="inlineStr">
        <is>
          <t>แก้ไข: ค้ำยัน 303 + จุดต่อ 10% ของ 2.5.1-2.5.3 (55,459) = 5,849 กก. ไม่รวมแผ่นเหล็กฐาน/หัวเสา (2.5.7-2.5.9) ประมาณการ รอแบบ</t>
        </is>
      </c>
    </row>
    <row r="36">
      <c r="A36" s="25" t="inlineStr">
        <is>
          <t>2.5.5</t>
        </is>
      </c>
      <c r="B36" s="26" t="inlineStr">
        <is>
          <t>ทาสีกันสนิม 2 เที่ยว + สีทับหน้า 1 เที่ยว โครงสร้างเหล็กทั้งหมด</t>
        </is>
      </c>
      <c r="C36" s="27" t="n">
        <v>1</v>
      </c>
      <c r="D36" s="25" t="inlineStr">
        <is>
          <t>เหมา</t>
        </is>
      </c>
      <c r="E36" s="21" t="n"/>
      <c r="F36" s="20">
        <f>IF(C36="",0,C36*E36)</f>
        <v/>
      </c>
      <c r="G36" s="21" t="n"/>
      <c r="H36" s="20">
        <f>IF(C36="",0,C36*G36)</f>
        <v/>
      </c>
      <c r="I36" s="20">
        <f>F36+H36</f>
        <v/>
      </c>
      <c r="J36" s="25" t="inlineStr">
        <is>
          <t>เพิ่มใหม่</t>
        </is>
      </c>
      <c r="K36" s="19" t="inlineStr"/>
    </row>
    <row r="37">
      <c r="A37" s="25" t="inlineStr">
        <is>
          <t>2.5.6</t>
        </is>
      </c>
      <c r="B37" s="26" t="inlineStr">
        <is>
          <t>ปูนเกราท์ไม่หดตัว (Non-shrink grout) หนา 25 มม. ใต้แผ่นเหล็กฐาน</t>
        </is>
      </c>
      <c r="C37" s="27" t="n">
        <v>46</v>
      </c>
      <c r="D37" s="25" t="inlineStr">
        <is>
          <t>จุด</t>
        </is>
      </c>
      <c r="E37" s="21" t="n"/>
      <c r="F37" s="20">
        <f>IF(C37="",0,C37*E37)</f>
        <v/>
      </c>
      <c r="G37" s="21" t="n"/>
      <c r="H37" s="20">
        <f>IF(C37="",0,C37*G37)</f>
        <v/>
      </c>
      <c r="I37" s="20">
        <f>F37+H37</f>
        <v/>
      </c>
      <c r="J37" s="25" t="inlineStr">
        <is>
          <t>เพิ่มใหม่</t>
        </is>
      </c>
      <c r="K37" s="19" t="inlineStr">
        <is>
          <t>เพิ่ม: เสาเหล็กบนหัวเสา คสล. C1 45 + C2 1 (S201) ขนาด 0.25x0.50 ม./จุด</t>
        </is>
      </c>
    </row>
    <row r="38">
      <c r="A38" s="25" t="inlineStr">
        <is>
          <t>2.5.7</t>
        </is>
      </c>
      <c r="B38" s="26" t="inlineStr">
        <is>
          <t>แผ่นเหล็กฐาน (Base plate) PL 20x200x450 มม. เจาะรู 6 รู เชื่อมกับเสาเหล็ก</t>
        </is>
      </c>
      <c r="C38" s="27" t="n">
        <v>649.98</v>
      </c>
      <c r="D38" s="25" t="inlineStr">
        <is>
          <t>กก.</t>
        </is>
      </c>
      <c r="E38" s="21" t="n"/>
      <c r="F38" s="20">
        <f>IF(C38="",0,C38*E38)</f>
        <v/>
      </c>
      <c r="G38" s="21" t="n"/>
      <c r="H38" s="20">
        <f>IF(C38="",0,C38*G38)</f>
        <v/>
      </c>
      <c r="I38" s="20">
        <f>F38+H38</f>
        <v/>
      </c>
      <c r="J38" s="25" t="inlineStr">
        <is>
          <t>เพิ่มใหม่</t>
        </is>
      </c>
      <c r="K38" s="19" t="inlineStr">
        <is>
          <t>เพิ่ม: ผู้ว่าจ้างกำหนดเบื้องต้น 46 แผ่น x 14.13 กก. (แบบขยาย D01)</t>
        </is>
      </c>
    </row>
    <row r="39">
      <c r="A39" s="25" t="inlineStr">
        <is>
          <t>2.5.8</t>
        </is>
      </c>
      <c r="B39" s="26" t="inlineStr">
        <is>
          <t>แผ่นเหล็กหัวเสา (Top plate) PL 20x200x450 มม. ที่ +9.00 รับโครงถัก</t>
        </is>
      </c>
      <c r="C39" s="27" t="n">
        <v>649.98</v>
      </c>
      <c r="D39" s="25" t="inlineStr">
        <is>
          <t>กก.</t>
        </is>
      </c>
      <c r="E39" s="21" t="n"/>
      <c r="F39" s="20">
        <f>IF(C39="",0,C39*E39)</f>
        <v/>
      </c>
      <c r="G39" s="21" t="n"/>
      <c r="H39" s="20">
        <f>IF(C39="",0,C39*G39)</f>
        <v/>
      </c>
      <c r="I39" s="20">
        <f>F39+H39</f>
        <v/>
      </c>
      <c r="J39" s="25" t="inlineStr">
        <is>
          <t>เพิ่มใหม่</t>
        </is>
      </c>
      <c r="K39" s="19" t="inlineStr">
        <is>
          <t>เพิ่ม: ผู้ว่าจ้างกำหนดเบื้องต้น ขนาดเดียวกับแผ่นฐาน 46 แผ่น</t>
        </is>
      </c>
    </row>
    <row r="40">
      <c r="A40" s="25" t="inlineStr">
        <is>
          <t>2.5.9</t>
        </is>
      </c>
      <c r="B40" s="26" t="inlineStr">
        <is>
          <t>Anchor bolt M20 ยาว 750 มม. ปลายงอ พร้อมแป้นเกลียว 2 ตัว แหวน และแบบจับตำแหน่ง (Template) ฝังในหัวเสา คสล.</t>
        </is>
      </c>
      <c r="C40" s="27" t="n">
        <v>276</v>
      </c>
      <c r="D40" s="25" t="inlineStr">
        <is>
          <t>ชุด</t>
        </is>
      </c>
      <c r="E40" s="21" t="n"/>
      <c r="F40" s="20">
        <f>IF(C40="",0,C40*E40)</f>
        <v/>
      </c>
      <c r="G40" s="21" t="n"/>
      <c r="H40" s="20">
        <f>IF(C40="",0,C40*G40)</f>
        <v/>
      </c>
      <c r="I40" s="20">
        <f>F40+H40</f>
        <v/>
      </c>
      <c r="J40" s="25" t="inlineStr">
        <is>
          <t>เพิ่มใหม่</t>
        </is>
      </c>
      <c r="K40" s="19" t="inlineStr">
        <is>
          <t>เพิ่ม: 6 ชุด/เสา x 46 ต้น (~2.01 กก./ชุด) ติดตั้งก่อนเทเสา คสล.</t>
        </is>
      </c>
    </row>
    <row r="41">
      <c r="A41" s="15" t="inlineStr">
        <is>
          <t>2.6</t>
        </is>
      </c>
      <c r="B41" s="16" t="inlineStr">
        <is>
          <t>หมวดงานชั้นลอย F8 (ระดับ +3.30)</t>
        </is>
      </c>
      <c r="C41" s="17" t="n"/>
      <c r="D41" s="15" t="n"/>
      <c r="E41" s="17" t="n"/>
      <c r="F41" s="17" t="n"/>
      <c r="G41" s="17" t="n"/>
      <c r="H41" s="17" t="n"/>
      <c r="I41" s="17" t="n"/>
      <c r="J41" s="15" t="n"/>
      <c r="K41" s="16" t="n"/>
    </row>
    <row r="42">
      <c r="A42" s="25" t="inlineStr">
        <is>
          <t>2.6.1</t>
        </is>
      </c>
      <c r="B42" s="26" t="inlineStr">
        <is>
          <t>เสาเหล็กชั้นลอย H250x250x66.5 กก./ม.</t>
        </is>
      </c>
      <c r="C42" s="27" t="n">
        <v>6703</v>
      </c>
      <c r="D42" s="25" t="inlineStr">
        <is>
          <t>กก.</t>
        </is>
      </c>
      <c r="E42" s="21" t="n"/>
      <c r="F42" s="20">
        <f>IF(C42="",0,C42*E42)</f>
        <v/>
      </c>
      <c r="G42" s="21" t="n"/>
      <c r="H42" s="20">
        <f>IF(C42="",0,C42*G42)</f>
        <v/>
      </c>
      <c r="I42" s="20">
        <f>F42+H42</f>
        <v/>
      </c>
      <c r="J42" s="25" t="inlineStr">
        <is>
          <t>เพิ่มใหม่</t>
        </is>
      </c>
      <c r="K42" s="19" t="inlineStr">
        <is>
          <t>เพิ่ม: S4.1 36 ต้น ยาว 100.80 ม.</t>
        </is>
      </c>
    </row>
    <row r="43">
      <c r="A43" s="33" t="inlineStr">
        <is>
          <t>2.6.2</t>
        </is>
      </c>
      <c r="B43" s="34" t="inlineStr">
        <is>
          <t>คานเหล็กชั้นลอย (หน้าตัดรอแบบ)</t>
        </is>
      </c>
      <c r="C43" s="35" t="n">
        <v>5219</v>
      </c>
      <c r="D43" s="33" t="inlineStr">
        <is>
          <t>กก.</t>
        </is>
      </c>
      <c r="E43" s="21" t="n"/>
      <c r="F43" s="20">
        <f>IF(C43="",0,C43*E43)</f>
        <v/>
      </c>
      <c r="G43" s="21" t="n"/>
      <c r="H43" s="20">
        <f>IF(C43="",0,C43*G43)</f>
        <v/>
      </c>
      <c r="I43" s="20">
        <f>F43+H43</f>
        <v/>
      </c>
      <c r="J43" s="33" t="inlineStr">
        <is>
          <t>รอข้อมูล</t>
        </is>
      </c>
      <c r="K43" s="19" t="inlineStr">
        <is>
          <t>เพิ่ม: ประมาณการ H200x100 ตารางคาน 3.00 ม.</t>
        </is>
      </c>
    </row>
    <row r="44">
      <c r="A44" s="25" t="inlineStr">
        <is>
          <t>2.6.3</t>
        </is>
      </c>
      <c r="B44" s="26" t="inlineStr">
        <is>
          <t>พื้นชั้นลอย F8 (Metal deck/พื้นสำเร็จ ตามแบบ)</t>
        </is>
      </c>
      <c r="C44" s="27" t="n">
        <v>306.15</v>
      </c>
      <c r="D44" s="25" t="inlineStr">
        <is>
          <t>ตร.ม.</t>
        </is>
      </c>
      <c r="E44" s="21" t="n"/>
      <c r="F44" s="20">
        <f>IF(C44="",0,C44*E44)</f>
        <v/>
      </c>
      <c r="G44" s="21" t="n"/>
      <c r="H44" s="20">
        <f>IF(C44="",0,C44*G44)</f>
        <v/>
      </c>
      <c r="I44" s="20">
        <f>F44+H44</f>
        <v/>
      </c>
      <c r="J44" s="25" t="inlineStr">
        <is>
          <t>เพิ่มใหม่</t>
        </is>
      </c>
      <c r="K44" s="19" t="inlineStr">
        <is>
          <t>เพิ่ม: S6.1 306.15 ตร.ม.</t>
        </is>
      </c>
    </row>
    <row r="45">
      <c r="A45" s="25" t="inlineStr">
        <is>
          <t>2.6.4</t>
        </is>
      </c>
      <c r="B45" s="26" t="inlineStr">
        <is>
          <t>บันไดเหล็กขึ้นชั้นลอย กว้าง ~1.40 ม. พร้อมราวกันตก</t>
        </is>
      </c>
      <c r="C45" s="27" t="n">
        <v>1</v>
      </c>
      <c r="D45" s="25" t="inlineStr">
        <is>
          <t>ชุด</t>
        </is>
      </c>
      <c r="E45" s="21" t="n"/>
      <c r="F45" s="20">
        <f>IF(C45="",0,C45*E45)</f>
        <v/>
      </c>
      <c r="G45" s="21" t="n"/>
      <c r="H45" s="20">
        <f>IF(C45="",0,C45*G45)</f>
        <v/>
      </c>
      <c r="I45" s="20">
        <f>F45+H45</f>
        <v/>
      </c>
      <c r="J45" s="25" t="inlineStr">
        <is>
          <t>เพิ่มใหม่</t>
        </is>
      </c>
      <c r="K45" s="19" t="inlineStr">
        <is>
          <t>เพิ่ม: ตำแหน่ง DN แนวกริด D</t>
        </is>
      </c>
    </row>
    <row r="46">
      <c r="A46" s="25" t="inlineStr">
        <is>
          <t>2.6.5</t>
        </is>
      </c>
      <c r="B46" s="26" t="inlineStr">
        <is>
          <t>ราวกันตกเหล็กขอบชั้นลอยด้านเปิด สูง 1.10 ม.</t>
        </is>
      </c>
      <c r="C46" s="27" t="n">
        <v>33.6</v>
      </c>
      <c r="D46" s="25" t="inlineStr">
        <is>
          <t>ม.</t>
        </is>
      </c>
      <c r="E46" s="21" t="n"/>
      <c r="F46" s="20">
        <f>IF(C46="",0,C46*E46)</f>
        <v/>
      </c>
      <c r="G46" s="21" t="n"/>
      <c r="H46" s="20">
        <f>IF(C46="",0,C46*G46)</f>
        <v/>
      </c>
      <c r="I46" s="20">
        <f>F46+H46</f>
        <v/>
      </c>
      <c r="J46" s="25" t="inlineStr">
        <is>
          <t>เพิ่มใหม่</t>
        </is>
      </c>
      <c r="K46" s="19" t="inlineStr">
        <is>
          <t>เพิ่ม: ขอบด้านเปิด 18 + 17 ม. หักช่องบันได 1.40 ม.</t>
        </is>
      </c>
    </row>
    <row r="47">
      <c r="A47" s="28" t="n"/>
      <c r="B47" s="10" t="inlineStr">
        <is>
          <t>รวมหมวดที่ 2 งานโครงสร้าง</t>
        </is>
      </c>
      <c r="C47" s="29" t="n"/>
      <c r="D47" s="28" t="n"/>
      <c r="E47" s="29" t="n"/>
      <c r="F47" s="30">
        <f>SUM(F5:F46)</f>
        <v/>
      </c>
      <c r="G47" s="29" t="n"/>
      <c r="H47" s="30">
        <f>SUM(H5:H46)</f>
        <v/>
      </c>
      <c r="I47" s="30">
        <f>SUM(I5:I46)</f>
        <v/>
      </c>
      <c r="J47" s="28" t="n"/>
      <c r="K47" s="31" t="n"/>
    </row>
    <row r="48">
      <c r="B48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3 งานสถาปัตยกรรม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3.1</t>
        </is>
      </c>
      <c r="B5" s="16" t="inlineStr">
        <is>
          <t>หมวดงานหลังคาและผนังภายนอก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25" t="inlineStr">
        <is>
          <t>3.1.1</t>
        </is>
      </c>
      <c r="B6" s="26" t="inlineStr">
        <is>
          <t>หลังคาเมทัลชีทหนา 0.47 มม. พร้อมฉนวน PU 25 มม. (พื้นที่ตามลาด)</t>
        </is>
      </c>
      <c r="C6" s="27" t="n">
        <v>3395</v>
      </c>
      <c r="D6" s="25" t="inlineStr">
        <is>
          <t>ตร.ม.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25" t="inlineStr">
        <is>
          <t>เพิ่มใหม่</t>
        </is>
      </c>
      <c r="K6" s="19" t="inlineStr">
        <is>
          <t>เพิ่ม: จากโมเดล 2 ลาด 30.2 ม. x 55 ม. (สเปควัสดุรอยืนยัน)</t>
        </is>
      </c>
    </row>
    <row r="7">
      <c r="A7" s="25" t="inlineStr">
        <is>
          <t>3.1.2</t>
        </is>
      </c>
      <c r="B7" s="26" t="inlineStr">
        <is>
          <t>Jack roof กว้าง 6.00 ม. ยาว 42.00 ม. สัน +15.25 พร้อมตะแกรงระบายอากาศ</t>
        </is>
      </c>
      <c r="C7" s="27" t="n">
        <v>252</v>
      </c>
      <c r="D7" s="25" t="inlineStr">
        <is>
          <t>ตร.ม.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5" t="inlineStr">
        <is>
          <t>เพิ่มใหม่</t>
        </is>
      </c>
      <c r="K7" s="19" t="inlineStr">
        <is>
          <t>เพิ่ม: A202</t>
        </is>
      </c>
    </row>
    <row r="8">
      <c r="A8" s="25" t="inlineStr">
        <is>
          <t>3.1.3</t>
        </is>
      </c>
      <c r="B8" s="26" t="inlineStr">
        <is>
          <t>ครอบสัน ครอบข้าง แผ่นปิดเชิงชาย Flashing</t>
        </is>
      </c>
      <c r="C8" s="27" t="n">
        <v>1</v>
      </c>
      <c r="D8" s="25" t="inlineStr">
        <is>
          <t>เหมา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5" t="inlineStr">
        <is>
          <t>เพิ่มใหม่</t>
        </is>
      </c>
      <c r="K8" s="19" t="inlineStr">
        <is>
          <t>เพิ่ม</t>
        </is>
      </c>
    </row>
    <row r="9">
      <c r="A9" s="25" t="inlineStr">
        <is>
          <t>3.1.4</t>
        </is>
      </c>
      <c r="B9" s="26" t="inlineStr">
        <is>
          <t>รางน้ำฝนเหล็กอาบสังกะสี 0.30x0.30 ม.</t>
        </is>
      </c>
      <c r="C9" s="27" t="n">
        <v>110</v>
      </c>
      <c r="D9" s="25" t="inlineStr">
        <is>
          <t>ม.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25" t="inlineStr">
        <is>
          <t>เพิ่มใหม่</t>
        </is>
      </c>
      <c r="K9" s="19" t="inlineStr">
        <is>
          <t>เพิ่ม: ชายคาแนวกริด 1 และ 11</t>
        </is>
      </c>
    </row>
    <row r="10">
      <c r="A10" s="33" t="inlineStr">
        <is>
          <t>3.1.5</t>
        </is>
      </c>
      <c r="B10" s="34" t="inlineStr">
        <is>
          <t>ท่อระบายน้ำฝน PVC Ø4" พร้อมอุปกรณ์ยึด</t>
        </is>
      </c>
      <c r="C10" s="35" t="n">
        <v>100</v>
      </c>
      <c r="D10" s="33" t="inlineStr">
        <is>
          <t>ม.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33" t="inlineStr">
        <is>
          <t>รอข้อมูล</t>
        </is>
      </c>
      <c r="K10" s="19" t="inlineStr">
        <is>
          <t>เพิ่ม: 10 จุด x 10 ม. (สมมติ)</t>
        </is>
      </c>
    </row>
    <row r="11">
      <c r="A11" s="25" t="inlineStr">
        <is>
          <t>3.1.6</t>
        </is>
      </c>
      <c r="B11" s="26" t="inlineStr">
        <is>
          <t>ผนังเมทัลชีท ระดับ +5.20 ถึงชายคา/จั่ว</t>
        </is>
      </c>
      <c r="C11" s="27" t="n">
        <v>1379</v>
      </c>
      <c r="D11" s="25" t="inlineStr">
        <is>
          <t>ตร.ม.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25" t="inlineStr">
        <is>
          <t>เพิ่มใหม่</t>
        </is>
      </c>
      <c r="K11" s="19" t="inlineStr">
        <is>
          <t>เพิ่ม: จากโมเดล ตาม A202</t>
        </is>
      </c>
    </row>
    <row r="12">
      <c r="A12" s="33" t="inlineStr">
        <is>
          <t>3.1.7</t>
        </is>
      </c>
      <c r="B12" s="34" t="inlineStr">
        <is>
          <t>ตะแกรงกันนก/ช่องระบายอากาศ ระดับ +4.50 ถึง +5.20 รอบอาคาร</t>
        </is>
      </c>
      <c r="C12" s="35" t="n">
        <v>216</v>
      </c>
      <c r="D12" s="33" t="inlineStr">
        <is>
          <t>ม.</t>
        </is>
      </c>
      <c r="E12" s="21" t="n"/>
      <c r="F12" s="20">
        <f>IF(C12="",0,C12*E12)</f>
        <v/>
      </c>
      <c r="G12" s="21" t="n"/>
      <c r="H12" s="20">
        <f>IF(C12="",0,C12*G12)</f>
        <v/>
      </c>
      <c r="I12" s="20">
        <f>F12+H12</f>
        <v/>
      </c>
      <c r="J12" s="33" t="inlineStr">
        <is>
          <t>รอข้อมูล</t>
        </is>
      </c>
      <c r="K12" s="19" t="inlineStr">
        <is>
          <t>เพิ่ม: ช่องระหว่างผนังก่อกับเมทัลชีท (A202) หักประตูม้วน 12 ม.</t>
        </is>
      </c>
    </row>
    <row r="13">
      <c r="A13" s="15" t="inlineStr">
        <is>
          <t>3.2</t>
        </is>
      </c>
      <c r="B13" s="16" t="inlineStr">
        <is>
          <t>หมวดงานผนังก่ออิฐ ฉาบปูน เสาเอ็น คานเอ็น และงานจับเซี้ยม (ผนังรอบอาคาร 4 ด้าน)</t>
        </is>
      </c>
      <c r="C13" s="17" t="n"/>
      <c r="D13" s="15" t="n"/>
      <c r="E13" s="17" t="n"/>
      <c r="F13" s="17" t="n"/>
      <c r="G13" s="17" t="n"/>
      <c r="H13" s="17" t="n"/>
      <c r="I13" s="17" t="n"/>
      <c r="J13" s="15" t="n"/>
      <c r="K13" s="16" t="n"/>
    </row>
    <row r="14">
      <c r="A14" s="22" t="inlineStr">
        <is>
          <t>3.2.1</t>
        </is>
      </c>
      <c r="B14" s="23" t="inlineStr">
        <is>
          <t>ผนังก่ออิฐมวลเบา หนา 0.15 ม. +0.50 ถึง +4.35 (ต่ำกว่าหัวเสา คสล. 0.15 ม.)</t>
        </is>
      </c>
      <c r="C14" s="24" t="n">
        <v>750.67</v>
      </c>
      <c r="D14" s="22" t="inlineStr">
        <is>
          <t>ตร.ม.</t>
        </is>
      </c>
      <c r="E14" s="21" t="n"/>
      <c r="F14" s="20">
        <f>IF(C14="",0,C14*E14)</f>
        <v/>
      </c>
      <c r="G14" s="21" t="n"/>
      <c r="H14" s="20">
        <f>IF(C14="",0,C14*G14)</f>
        <v/>
      </c>
      <c r="I14" s="20">
        <f>F14+H14</f>
        <v/>
      </c>
      <c r="J14" s="22" t="inlineStr">
        <is>
          <t>แก้ไข</t>
        </is>
      </c>
      <c r="K14" s="19" t="inlineStr">
        <is>
          <t>แก้ไข: ผนัง 36 ช่วง ยาวสุทธิ 205.20 ม. x 3.85 ม. หักประตู D1 2 ช่อง, เสาเอ็น, คานเอ็น (ดูชีต 'ผนัง-รายละเอียด')</t>
        </is>
      </c>
    </row>
    <row r="15">
      <c r="A15" s="22" t="inlineStr">
        <is>
          <t>3.2.2</t>
        </is>
      </c>
      <c r="B15" s="23" t="inlineStr">
        <is>
          <t>ฉาบปูนผนังก่อ คานเอ็น คานทับหลัง และเสาเอ็น 2 ด้าน (+0.50 ถึง +4.50)</t>
        </is>
      </c>
      <c r="C15" s="24" t="n">
        <v>1633.2</v>
      </c>
      <c r="D15" s="22" t="inlineStr">
        <is>
          <t>ตร.ม.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22" t="inlineStr">
        <is>
          <t>แก้ไข</t>
        </is>
      </c>
      <c r="K15" s="19" t="inlineStr">
        <is>
          <t>แก้ไข: 205.20 ม. x 4.00 ม. x 2 ด้าน หักประตู D1</t>
        </is>
      </c>
    </row>
    <row r="16">
      <c r="A16" s="25" t="inlineStr">
        <is>
          <t>3.2.3</t>
        </is>
      </c>
      <c r="B16" s="26" t="inlineStr">
        <is>
          <t>คานทับหลัง คสล. 0.15x0.15 ม. ระดับ +4.35 ถึง +4.50 (คอนกรีต ไม้แบบ)</t>
        </is>
      </c>
      <c r="C16" s="27" t="n">
        <v>205.2</v>
      </c>
      <c r="D16" s="25" t="inlineStr">
        <is>
          <t>ม.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25" t="inlineStr">
        <is>
          <t>เพิ่มใหม่</t>
        </is>
      </c>
      <c r="K16" s="19" t="inlineStr">
        <is>
          <t>เพิ่ม: ผู้ว่าจ้างกำหนด คอนกรีต 4.62 ลบ.ม. ไม้แบบ 61.56 ตร.ม.</t>
        </is>
      </c>
    </row>
    <row r="17">
      <c r="A17" s="25" t="inlineStr">
        <is>
          <t>3.2.4</t>
        </is>
      </c>
      <c r="B17" s="26" t="inlineStr">
        <is>
          <t>คานเอ็น คสล. 0.15x0.10 ม. ระดับหลังวงกบประตู +2.60 (คอนกรีต ไม้แบบ)</t>
        </is>
      </c>
      <c r="C17" s="27" t="n">
        <v>205.2</v>
      </c>
      <c r="D17" s="25" t="inlineStr">
        <is>
          <t>ม.</t>
        </is>
      </c>
      <c r="E17" s="21" t="n"/>
      <c r="F17" s="20">
        <f>IF(C17="",0,C17*E17)</f>
        <v/>
      </c>
      <c r="G17" s="21" t="n"/>
      <c r="H17" s="20">
        <f>IF(C17="",0,C17*G17)</f>
        <v/>
      </c>
      <c r="I17" s="20">
        <f>F17+H17</f>
        <v/>
      </c>
      <c r="J17" s="25" t="inlineStr">
        <is>
          <t>เพิ่มใหม่</t>
        </is>
      </c>
      <c r="K17" s="19" t="inlineStr">
        <is>
          <t>เพิ่ม: ผนังสูง 3.85 ม. &gt; 3 ม. ต้องมีคานเอ็นกลางผนัง คอนกรีต 3.08 ลบ.ม. ไม้แบบ 41.04 ตร.ม.</t>
        </is>
      </c>
    </row>
    <row r="18">
      <c r="A18" s="25" t="inlineStr">
        <is>
          <t>3.2.5</t>
        </is>
      </c>
      <c r="B18" s="26" t="inlineStr">
        <is>
          <t>เสาเอ็น คสล. 0.15x0.10 ม. สูง 3.85 ม. (กลางช่วงเสา 6 ม. และข้างวงกบประตู)</t>
        </is>
      </c>
      <c r="C18" s="27" t="n">
        <v>38</v>
      </c>
      <c r="D18" s="25" t="inlineStr">
        <is>
          <t>ต้น</t>
        </is>
      </c>
      <c r="E18" s="21" t="n"/>
      <c r="F18" s="20">
        <f>IF(C18="",0,C18*E18)</f>
        <v/>
      </c>
      <c r="G18" s="21" t="n"/>
      <c r="H18" s="20">
        <f>IF(C18="",0,C18*G18)</f>
        <v/>
      </c>
      <c r="I18" s="20">
        <f>F18+H18</f>
        <v/>
      </c>
      <c r="J18" s="25" t="inlineStr">
        <is>
          <t>เพิ่มใหม่</t>
        </is>
      </c>
      <c r="K18" s="19" t="inlineStr">
        <is>
          <t>เพิ่ม: ยาวรวม 146.30 ม. คอนกรีต 2.19 ลบ.ม. ไม้แบบ 29.26 ตร.ม.</t>
        </is>
      </c>
    </row>
    <row r="19">
      <c r="A19" s="33" t="inlineStr">
        <is>
          <t>3.2.6</t>
        </is>
      </c>
      <c r="B19" s="34" t="inlineStr">
        <is>
          <t>เหล็กเสริมคานทับหลัง คานเอ็น เสาเอ็น</t>
        </is>
      </c>
      <c r="C19" s="35" t="n"/>
      <c r="D19" s="33" t="inlineStr">
        <is>
          <t>กก.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33" t="inlineStr">
        <is>
          <t>รอข้อมูล</t>
        </is>
      </c>
      <c r="K19" s="19" t="inlineStr">
        <is>
          <t>รอเอกสารออกแบบเหล็กเสริม</t>
        </is>
      </c>
    </row>
    <row r="20">
      <c r="A20" s="25" t="inlineStr">
        <is>
          <t>3.2.7</t>
        </is>
      </c>
      <c r="B20" s="26" t="inlineStr">
        <is>
          <t>ฉาบปูนเสา คสล. C1/C2 ที่ผิวเปิด (+0.50 ถึง +4.50)</t>
        </is>
      </c>
      <c r="C20" s="27" t="n">
        <v>248.8</v>
      </c>
      <c r="D20" s="25" t="inlineStr">
        <is>
          <t>ตร.ม.</t>
        </is>
      </c>
      <c r="E20" s="21" t="n"/>
      <c r="F20" s="20">
        <f>IF(C20="",0,C20*E20)</f>
        <v/>
      </c>
      <c r="G20" s="21" t="n"/>
      <c r="H20" s="20">
        <f>IF(C20="",0,C20*G20)</f>
        <v/>
      </c>
      <c r="I20" s="20">
        <f>F20+H20</f>
        <v/>
      </c>
      <c r="J20" s="25" t="inlineStr">
        <is>
          <t>เพิ่มใหม่</t>
        </is>
      </c>
      <c r="K20" s="19" t="inlineStr">
        <is>
          <t>เพิ่ม: เสาแนวผนัง 38 ต้น x 1.30 ม. + เสากลางอาคาร 8 ต้น x 1.60 ม. x สูง 4.00 ม.</t>
        </is>
      </c>
    </row>
    <row r="21">
      <c r="A21" s="25" t="inlineStr">
        <is>
          <t>3.2.8</t>
        </is>
      </c>
      <c r="B21" s="26" t="inlineStr">
        <is>
          <t>จับเซี้ยมมุมเสา คสล. มุมผนัง ขอบคานทับหลัง และขอบช่องประตู ก่อนฉาบเสาและผนัง</t>
        </is>
      </c>
      <c r="C21" s="27" t="n">
        <v>1167.2</v>
      </c>
      <c r="D21" s="25" t="inlineStr">
        <is>
          <t>ม.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25" t="inlineStr">
        <is>
          <t>เพิ่มใหม่</t>
        </is>
      </c>
      <c r="K21" s="19" t="inlineStr">
        <is>
          <t>เพิ่ม: มุมเสาแนวผนัง 608.0 + มุมเสากลางอาคาร 128.0 + ขอบบนคานทับหลัง 2 ด้าน 410.4 + ขอบช่องประตู D1 20.8 ม.</t>
        </is>
      </c>
    </row>
    <row r="22">
      <c r="A22" s="15" t="inlineStr">
        <is>
          <t>3.3</t>
        </is>
      </c>
      <c r="B22" s="16" t="inlineStr">
        <is>
          <t>หมวดงานผิวพื้น</t>
        </is>
      </c>
      <c r="C22" s="17" t="n"/>
      <c r="D22" s="15" t="n"/>
      <c r="E22" s="17" t="n"/>
      <c r="F22" s="17" t="n"/>
      <c r="G22" s="17" t="n"/>
      <c r="H22" s="17" t="n"/>
      <c r="I22" s="17" t="n"/>
      <c r="J22" s="15" t="n"/>
      <c r="K22" s="16" t="n"/>
    </row>
    <row r="23">
      <c r="A23" s="22" t="inlineStr">
        <is>
          <t>3.3.1</t>
        </is>
      </c>
      <c r="B23" s="23" t="inlineStr">
        <is>
          <t>พื้นขัดมันผสม Floor Hardener</t>
        </is>
      </c>
      <c r="C23" s="24" t="n">
        <v>3206.48</v>
      </c>
      <c r="D23" s="22" t="inlineStr">
        <is>
          <t>ตร.ม.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22" t="inlineStr">
        <is>
          <t>แก้ไข</t>
        </is>
      </c>
      <c r="K23" s="19" t="inlineStr">
        <is>
          <t>เดิม 3,240 → พื้นที่ S1 (S6.1)</t>
        </is>
      </c>
    </row>
    <row r="24">
      <c r="A24" s="15" t="inlineStr">
        <is>
          <t>3.4</t>
        </is>
      </c>
      <c r="B24" s="16" t="inlineStr">
        <is>
          <t>หมวดงานประตู หน้าต่าง และประตูม้วน/ประตูเลื่อนขนส่ง</t>
        </is>
      </c>
      <c r="C24" s="17" t="n"/>
      <c r="D24" s="15" t="n"/>
      <c r="E24" s="17" t="n"/>
      <c r="F24" s="17" t="n"/>
      <c r="G24" s="17" t="n"/>
      <c r="H24" s="17" t="n"/>
      <c r="I24" s="17" t="n"/>
      <c r="J24" s="15" t="n"/>
      <c r="K24" s="16" t="n"/>
    </row>
    <row r="25">
      <c r="A25" s="33" t="inlineStr">
        <is>
          <t>3.4.1</t>
        </is>
      </c>
      <c r="B25" s="34" t="inlineStr">
        <is>
          <t>ประตูม้วนเหล็กไฟฟ้า ~6.00x4.00 ม. ทางลาดขนส่ง</t>
        </is>
      </c>
      <c r="C25" s="35" t="n">
        <v>2</v>
      </c>
      <c r="D25" s="33" t="inlineStr">
        <is>
          <t>ชุด</t>
        </is>
      </c>
      <c r="E25" s="21" t="n"/>
      <c r="F25" s="20">
        <f>IF(C25="",0,C25*E25)</f>
        <v/>
      </c>
      <c r="G25" s="21" t="n"/>
      <c r="H25" s="20">
        <f>IF(C25="",0,C25*G25)</f>
        <v/>
      </c>
      <c r="I25" s="20">
        <f>F25+H25</f>
        <v/>
      </c>
      <c r="J25" s="33" t="inlineStr">
        <is>
          <t>รอข้อมูล</t>
        </is>
      </c>
      <c r="K25" s="19" t="inlineStr">
        <is>
          <t>เพิ่ม: ตำแหน่งตาม A101 ขนาดรอยืนยัน</t>
        </is>
      </c>
    </row>
    <row r="26">
      <c r="A26" s="33" t="inlineStr">
        <is>
          <t>3.4.2</t>
        </is>
      </c>
      <c r="B26" s="34" t="inlineStr">
        <is>
          <t>ประตู D1/D2/D4 และหน้าต่าง ตามแบบ A101</t>
        </is>
      </c>
      <c r="C26" s="35" t="n">
        <v>1</v>
      </c>
      <c r="D26" s="33" t="inlineStr">
        <is>
          <t>เหมา</t>
        </is>
      </c>
      <c r="E26" s="21" t="n"/>
      <c r="F26" s="20">
        <f>IF(C26="",0,C26*E26)</f>
        <v/>
      </c>
      <c r="G26" s="21" t="n"/>
      <c r="H26" s="20">
        <f>IF(C26="",0,C26*G26)</f>
        <v/>
      </c>
      <c r="I26" s="20">
        <f>F26+H26</f>
        <v/>
      </c>
      <c r="J26" s="33" t="inlineStr">
        <is>
          <t>รอข้อมูล</t>
        </is>
      </c>
      <c r="K26" s="19" t="inlineStr">
        <is>
          <t>เพิ่ม: รอตารางประตู-หน้าต่าง</t>
        </is>
      </c>
    </row>
    <row r="27">
      <c r="A27" s="15" t="inlineStr">
        <is>
          <t>3.5</t>
        </is>
      </c>
      <c r="B27" s="16" t="inlineStr">
        <is>
          <t>หมวดงานฝ้าและงานทาสี</t>
        </is>
      </c>
      <c r="C27" s="17" t="n"/>
      <c r="D27" s="15" t="n"/>
      <c r="E27" s="17" t="n"/>
      <c r="F27" s="17" t="n"/>
      <c r="G27" s="17" t="n"/>
      <c r="H27" s="17" t="n"/>
      <c r="I27" s="17" t="n"/>
      <c r="J27" s="15" t="n"/>
      <c r="K27" s="16" t="n"/>
    </row>
    <row r="28">
      <c r="A28" s="25" t="inlineStr">
        <is>
          <t>3.5.1</t>
        </is>
      </c>
      <c r="B28" s="26" t="inlineStr">
        <is>
          <t>ทาสีผนังและเสา ภายใน-ภายนอก (รองพื้น + ทับหน้า 2 เที่ยว)</t>
        </is>
      </c>
      <c r="C28" s="27" t="n">
        <v>1882</v>
      </c>
      <c r="D28" s="25" t="inlineStr">
        <is>
          <t>ตร.ม.</t>
        </is>
      </c>
      <c r="E28" s="21" t="n"/>
      <c r="F28" s="20">
        <f>IF(C28="",0,C28*E28)</f>
        <v/>
      </c>
      <c r="G28" s="21" t="n"/>
      <c r="H28" s="20">
        <f>IF(C28="",0,C28*G28)</f>
        <v/>
      </c>
      <c r="I28" s="20">
        <f>F28+H28</f>
        <v/>
      </c>
      <c r="J28" s="25" t="inlineStr">
        <is>
          <t>เพิ่มใหม่</t>
        </is>
      </c>
      <c r="K28" s="19" t="inlineStr">
        <is>
          <t>แก้ไข: เท่ากับพื้นที่ฉาบ 3.2.2 + 3.2.7</t>
        </is>
      </c>
    </row>
    <row r="29">
      <c r="A29" s="15" t="inlineStr">
        <is>
          <t>3.6</t>
        </is>
      </c>
      <c r="B29" s="16" t="inlineStr">
        <is>
          <t>หมวดงานสถาปัตยกรรมอาคารประกอบ</t>
        </is>
      </c>
      <c r="C29" s="17" t="n"/>
      <c r="D29" s="15" t="n"/>
      <c r="E29" s="17" t="n"/>
      <c r="F29" s="17" t="n"/>
      <c r="G29" s="17" t="n"/>
      <c r="H29" s="17" t="n"/>
      <c r="I29" s="17" t="n"/>
      <c r="J29" s="15" t="n"/>
      <c r="K29" s="16" t="n"/>
    </row>
    <row r="30">
      <c r="A30" s="25" t="inlineStr">
        <is>
          <t>3.6.1</t>
        </is>
      </c>
      <c r="B30" s="26" t="inlineStr">
        <is>
          <t>ห้อง MDB 17.79 ตร.ม. (ผนัง ประตูกันไฟ พื้น ฝ้า)</t>
        </is>
      </c>
      <c r="C30" s="27" t="n">
        <v>1</v>
      </c>
      <c r="D30" s="25" t="inlineStr">
        <is>
          <t>ห้อง</t>
        </is>
      </c>
      <c r="E30" s="21" t="n"/>
      <c r="F30" s="20">
        <f>IF(C30="",0,C30*E30)</f>
        <v/>
      </c>
      <c r="G30" s="21" t="n"/>
      <c r="H30" s="20">
        <f>IF(C30="",0,C30*G30)</f>
        <v/>
      </c>
      <c r="I30" s="20">
        <f>F30+H30</f>
        <v/>
      </c>
      <c r="J30" s="25" t="inlineStr">
        <is>
          <t>เพิ่มใหม่</t>
        </is>
      </c>
      <c r="K30" s="19" t="inlineStr">
        <is>
          <t>เพิ่ม: A101</t>
        </is>
      </c>
    </row>
    <row r="31">
      <c r="A31" s="25" t="inlineStr">
        <is>
          <t>3.6.2</t>
        </is>
      </c>
      <c r="B31" s="26" t="inlineStr">
        <is>
          <t>ห้องเก็บสารเคมี (Chemical Drum Storage) 4.00x6.00 ม. พื้น +0.40 ผนัง W2 สูงถึง +3.30 จันทันเหล็ก C100x50x20x2.3 พร้อมขอบกั้นรั่วไหล</t>
        </is>
      </c>
      <c r="C31" s="27" t="n">
        <v>1</v>
      </c>
      <c r="D31" s="25" t="inlineStr">
        <is>
          <t>ห้อง</t>
        </is>
      </c>
      <c r="E31" s="21" t="n"/>
      <c r="F31" s="20">
        <f>IF(C31="",0,C31*E31)</f>
        <v/>
      </c>
      <c r="G31" s="21" t="n"/>
      <c r="H31" s="20">
        <f>IF(C31="",0,C31*G31)</f>
        <v/>
      </c>
      <c r="I31" s="20">
        <f>F31+H31</f>
        <v/>
      </c>
      <c r="J31" s="25" t="inlineStr">
        <is>
          <t>เพิ่มใหม่</t>
        </is>
      </c>
      <c r="K31" s="19" t="inlineStr">
        <is>
          <t>แบบ A103 (พื้น +0.40 และเสากลางผนังที่ y=3.0 ม. ไม่ตรงกับ S201/S6.1 ยืนยัน)</t>
        </is>
      </c>
    </row>
    <row r="32">
      <c r="A32" s="33" t="inlineStr">
        <is>
          <t>3.6.3</t>
        </is>
      </c>
      <c r="B32" s="34" t="inlineStr">
        <is>
          <t>อาคารห้องน้ำ 2.40 x 8.00 ม. (สุขภัณฑ์ กระเบื้อง ระบบสุขาภิบาลภายใน)</t>
        </is>
      </c>
      <c r="C32" s="35" t="n">
        <v>1</v>
      </c>
      <c r="D32" s="33" t="inlineStr">
        <is>
          <t>หลัง</t>
        </is>
      </c>
      <c r="E32" s="21" t="n"/>
      <c r="F32" s="20">
        <f>IF(C32="",0,C32*E32)</f>
        <v/>
      </c>
      <c r="G32" s="21" t="n"/>
      <c r="H32" s="20">
        <f>IF(C32="",0,C32*G32)</f>
        <v/>
      </c>
      <c r="I32" s="20">
        <f>F32+H32</f>
        <v/>
      </c>
      <c r="J32" s="33" t="inlineStr">
        <is>
          <t>รอข้อมูล</t>
        </is>
      </c>
      <c r="K32" s="19" t="inlineStr">
        <is>
          <t>เพิ่ม: A101/S201 รอแบบสถาปัตย์</t>
        </is>
      </c>
    </row>
    <row r="33">
      <c r="A33" s="33" t="inlineStr">
        <is>
          <t>3.6.4</t>
        </is>
      </c>
      <c r="B33" s="34" t="inlineStr">
        <is>
          <t>ห้องประกอบแนวกริด A (กริด 8-10)</t>
        </is>
      </c>
      <c r="C33" s="35" t="n">
        <v>1</v>
      </c>
      <c r="D33" s="33" t="inlineStr">
        <is>
          <t>เหมา</t>
        </is>
      </c>
      <c r="E33" s="21" t="n"/>
      <c r="F33" s="20">
        <f>IF(C33="",0,C33*E33)</f>
        <v/>
      </c>
      <c r="G33" s="21" t="n"/>
      <c r="H33" s="20">
        <f>IF(C33="",0,C33*G33)</f>
        <v/>
      </c>
      <c r="I33" s="20">
        <f>F33+H33</f>
        <v/>
      </c>
      <c r="J33" s="33" t="inlineStr">
        <is>
          <t>รอข้อมูล</t>
        </is>
      </c>
      <c r="K33" s="19" t="inlineStr">
        <is>
          <t>เพิ่ม: เห็นในผัง A101 รอแบบ</t>
        </is>
      </c>
    </row>
    <row r="34">
      <c r="A34" s="25" t="inlineStr">
        <is>
          <t>3.6.5</t>
        </is>
      </c>
      <c r="B34" s="26" t="inlineStr">
        <is>
          <t>บันได/ชานพัก คสล. หน้าประตู D1 ภายนอก (พื้น +0.50 ถนน ±0.00)</t>
        </is>
      </c>
      <c r="C34" s="27" t="n">
        <v>2</v>
      </c>
      <c r="D34" s="25" t="inlineStr">
        <is>
          <t>จุด</t>
        </is>
      </c>
      <c r="E34" s="21" t="n"/>
      <c r="F34" s="20">
        <f>IF(C34="",0,C34*E34)</f>
        <v/>
      </c>
      <c r="G34" s="21" t="n"/>
      <c r="H34" s="20">
        <f>IF(C34="",0,C34*G34)</f>
        <v/>
      </c>
      <c r="I34" s="20">
        <f>F34+H34</f>
        <v/>
      </c>
      <c r="J34" s="25" t="inlineStr">
        <is>
          <t>เพิ่มใหม่</t>
        </is>
      </c>
      <c r="K34" s="19" t="inlineStr">
        <is>
          <t>เพิ่ม: ประตู D1 ผนังแนวกริด 1 และ 11 (A101) ระดับต่างกัน 0.50 ม.</t>
        </is>
      </c>
    </row>
    <row r="35">
      <c r="A35" s="28" t="n"/>
      <c r="B35" s="10" t="inlineStr">
        <is>
          <t>รวมหมวดที่ 3 งานสถาปัตยกรรม</t>
        </is>
      </c>
      <c r="C35" s="29" t="n"/>
      <c r="D35" s="28" t="n"/>
      <c r="E35" s="29" t="n"/>
      <c r="F35" s="30">
        <f>SUM(F5:F34)</f>
        <v/>
      </c>
      <c r="G35" s="29" t="n"/>
      <c r="H35" s="30">
        <f>SUM(H5:H34)</f>
        <v/>
      </c>
      <c r="I35" s="30">
        <f>SUM(I5:I34)</f>
        <v/>
      </c>
      <c r="J35" s="28" t="n"/>
      <c r="K35" s="31" t="n"/>
    </row>
    <row r="36">
      <c r="B36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4 งานบริเวณ (เพิ่มใหม่ทั้งหมวด)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4.1</t>
        </is>
      </c>
      <c r="B5" s="16" t="inlineStr">
        <is>
          <t>หมวดงานพื้นถนนรอบอาคาร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25" t="inlineStr">
        <is>
          <t>4.1.1</t>
        </is>
      </c>
      <c r="B6" s="26" t="inlineStr">
        <is>
          <t>เสาเข็มตอก I-220x220 ยาว 22 ม. รับพื้นถนนรอบอาคาร (I22-22) รวมค่าตอก</t>
        </is>
      </c>
      <c r="C6" s="27" t="n">
        <v>249</v>
      </c>
      <c r="D6" s="25" t="inlineStr">
        <is>
          <t>ต้น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25" t="inlineStr">
        <is>
          <t>เพิ่มใหม่</t>
        </is>
      </c>
      <c r="K6" s="19" t="inlineStr">
        <is>
          <t>กลุ่มเข็มถนน: ผู้ว่าจ้างยืนยัน 249 ต้น (ผัง S201/S202 แสดงตำแหน่ง 232 ต้น ขอตำแหน่งอีก 17 ต้นจากผู้ออกแบบ)</t>
        </is>
      </c>
    </row>
    <row r="7">
      <c r="A7" s="25" t="inlineStr">
        <is>
          <t>4.1.2</t>
        </is>
      </c>
      <c r="B7" s="26" t="inlineStr">
        <is>
          <t>ฐาน F1A 0.60x0.60x0.30 ม. รับพื้นถนน</t>
        </is>
      </c>
      <c r="C7" s="27" t="n">
        <v>249</v>
      </c>
      <c r="D7" s="25" t="inlineStr">
        <is>
          <t>ฐาน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5" t="inlineStr">
        <is>
          <t>เพิ่มใหม่</t>
        </is>
      </c>
      <c r="K7" s="19" t="inlineStr">
        <is>
          <t>ตามเข็มถนน 249 ต้น คอนกรีต 26.78, ทราย 35.86, คอนกรีตหยาบ 6.10 ลบ.ม. (S1.1)</t>
        </is>
      </c>
    </row>
    <row r="8">
      <c r="A8" s="25" t="inlineStr">
        <is>
          <t>4.1.3</t>
        </is>
      </c>
      <c r="B8" s="26" t="inlineStr">
        <is>
          <t>พื้นถนน S2 คสล. หนา 0.15 ม. TOP ±0.00 พร้อมรอยต่อ/ตัดรอยต่อ</t>
        </is>
      </c>
      <c r="C8" s="27" t="n">
        <v>2440.69</v>
      </c>
      <c r="D8" s="25" t="inlineStr">
        <is>
          <t>ตร.ม.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5" t="inlineStr">
        <is>
          <t>เพิ่มใหม่</t>
        </is>
      </c>
      <c r="K8" s="19" t="inlineStr">
        <is>
          <t>คอนกรีต 366.10 ลบ.ม. (S6.1)</t>
        </is>
      </c>
    </row>
    <row r="9">
      <c r="A9" s="25" t="inlineStr">
        <is>
          <t>4.1.4</t>
        </is>
      </c>
      <c r="B9" s="26" t="inlineStr">
        <is>
          <t>พื้น AF01 / SF02 ระดับถนน</t>
        </is>
      </c>
      <c r="C9" s="27" t="n">
        <v>110.14</v>
      </c>
      <c r="D9" s="25" t="inlineStr">
        <is>
          <t>ตร.ม.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25" t="inlineStr">
        <is>
          <t>เพิ่มใหม่</t>
        </is>
      </c>
      <c r="K9" s="19" t="inlineStr">
        <is>
          <t>AF01 16.88 + SF02 93.26 ตร.ม. คอนกรีต 25.76 ลบ.ม. (S6.1)</t>
        </is>
      </c>
    </row>
    <row r="10">
      <c r="A10" s="33" t="inlineStr">
        <is>
          <t>4.1.5</t>
        </is>
      </c>
      <c r="B10" s="34" t="inlineStr">
        <is>
          <t>ทราย/หินคลุกรองใต้พื้นถนน S2 หนา 0.10 ม. บดอัด</t>
        </is>
      </c>
      <c r="C10" s="35" t="n">
        <v>244.07</v>
      </c>
      <c r="D10" s="33" t="inlineStr">
        <is>
          <t>ลบ.ม.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33" t="inlineStr">
        <is>
          <t>รอข้อมูล</t>
        </is>
      </c>
      <c r="K10" s="19" t="inlineStr">
        <is>
          <t>เพิ่ม: 2,440.69 ตร.ม. x 0.10 ม. (ความหนาสมมติ รอแบบ)</t>
        </is>
      </c>
    </row>
    <row r="11">
      <c r="A11" s="33" t="inlineStr">
        <is>
          <t>4.1.6</t>
        </is>
      </c>
      <c r="B11" s="34" t="inlineStr">
        <is>
          <t>เหล็กเสริม/ตะแกรงเหล็ก พื้นถนน และฐาน F1A</t>
        </is>
      </c>
      <c r="C11" s="35" t="n"/>
      <c r="D11" s="33" t="inlineStr">
        <is>
          <t>กก.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33" t="inlineStr">
        <is>
          <t>รอข้อมูล</t>
        </is>
      </c>
      <c r="K11" s="19" t="inlineStr">
        <is>
          <t>รอเอกสารออกแบบเหล็กเสริม</t>
        </is>
      </c>
    </row>
    <row r="12">
      <c r="A12" s="15" t="inlineStr">
        <is>
          <t>4.2</t>
        </is>
      </c>
      <c r="B12" s="16" t="inlineStr">
        <is>
          <t>หมวดงานทางลาดขนส่ง</t>
        </is>
      </c>
      <c r="C12" s="17" t="n"/>
      <c r="D12" s="15" t="n"/>
      <c r="E12" s="17" t="n"/>
      <c r="F12" s="17" t="n"/>
      <c r="G12" s="17" t="n"/>
      <c r="H12" s="17" t="n"/>
      <c r="I12" s="17" t="n"/>
      <c r="J12" s="15" t="n"/>
      <c r="K12" s="16" t="n"/>
    </row>
    <row r="13">
      <c r="A13" s="25" t="inlineStr">
        <is>
          <t>4.2.1</t>
        </is>
      </c>
      <c r="B13" s="26" t="inlineStr">
        <is>
          <t>ทางลาดขนส่ง คสล. กว้าง 6.00 ม. (ด้านเหนือแนวกริด 5-6 และด้านใต้แนวกริด 7-8)</t>
        </is>
      </c>
      <c r="C13" s="27" t="n">
        <v>2</v>
      </c>
      <c r="D13" s="25" t="inlineStr">
        <is>
          <t>แห่ง</t>
        </is>
      </c>
      <c r="E13" s="21" t="n"/>
      <c r="F13" s="20">
        <f>IF(C13="",0,C13*E13)</f>
        <v/>
      </c>
      <c r="G13" s="21" t="n"/>
      <c r="H13" s="20">
        <f>IF(C13="",0,C13*G13)</f>
        <v/>
      </c>
      <c r="I13" s="20">
        <f>F13+H13</f>
        <v/>
      </c>
      <c r="J13" s="25" t="inlineStr">
        <is>
          <t>เพิ่มใหม่</t>
        </is>
      </c>
      <c r="K13" s="19" t="inlineStr">
        <is>
          <t>A101/S202 ขนาดวัดจากผัง</t>
        </is>
      </c>
    </row>
    <row r="14">
      <c r="A14" s="15" t="inlineStr">
        <is>
          <t>4.3</t>
        </is>
      </c>
      <c r="B14" s="16" t="inlineStr">
        <is>
          <t>หมวดงานฐานหม้อแปลง</t>
        </is>
      </c>
      <c r="C14" s="17" t="n"/>
      <c r="D14" s="15" t="n"/>
      <c r="E14" s="17" t="n"/>
      <c r="F14" s="17" t="n"/>
      <c r="G14" s="17" t="n"/>
      <c r="H14" s="17" t="n"/>
      <c r="I14" s="17" t="n"/>
      <c r="J14" s="15" t="n"/>
      <c r="K14" s="16" t="n"/>
    </row>
    <row r="15">
      <c r="A15" s="33" t="inlineStr">
        <is>
          <t>4.3.1</t>
        </is>
      </c>
      <c r="B15" s="34" t="inlineStr">
        <is>
          <t>เสาเข็มตอก I-220x220 ยาว 22 ม. รับฐานหม้อแปลง (I22-TR) รวมค่าตอก</t>
        </is>
      </c>
      <c r="C15" s="35" t="n">
        <v>6</v>
      </c>
      <c r="D15" s="33" t="inlineStr">
        <is>
          <t>ต้น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33" t="inlineStr">
        <is>
          <t>รอข้อมูล</t>
        </is>
      </c>
      <c r="K15" s="19" t="inlineStr">
        <is>
          <t>S2 / S201 = 6 ต้น; A104 แสดง 3x3 = 9 ต้น (ยืนยัน)</t>
        </is>
      </c>
    </row>
    <row r="16">
      <c r="A16" s="22" t="inlineStr">
        <is>
          <t>4.3.2</t>
        </is>
      </c>
      <c r="B16" s="23" t="inlineStr">
        <is>
          <t>แท่นหม้อแปลง 750 kVA คสล.: ฐาน 5.00x3.00x0.40 ม. + แท่น 3.50x1.75x0.15 ม. (A104)</t>
        </is>
      </c>
      <c r="C16" s="24" t="n">
        <v>6.92</v>
      </c>
      <c r="D16" s="22" t="inlineStr">
        <is>
          <t>ลบ.ม.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22" t="inlineStr">
        <is>
          <t>แก้ไข</t>
        </is>
      </c>
      <c r="K16" s="19" t="inlineStr">
        <is>
          <t>แบบ A104: คอนกรีต 6.00 + 0.92 ลบ.ม. ไม้แบบ 7.98 ตร.ม.; A104 แสดงเข็ม 9 ต้น แต่ S201 แสดง 6 ต้น (ยืนยัน)</t>
        </is>
      </c>
    </row>
    <row r="17">
      <c r="A17" s="15" t="inlineStr">
        <is>
          <t>4.4</t>
        </is>
      </c>
      <c r="B17" s="16" t="inlineStr">
        <is>
          <t>หมวดงานถังเก็บน้ำใต้ดิน</t>
        </is>
      </c>
      <c r="C17" s="17" t="n"/>
      <c r="D17" s="15" t="n"/>
      <c r="E17" s="17" t="n"/>
      <c r="F17" s="17" t="n"/>
      <c r="G17" s="17" t="n"/>
      <c r="H17" s="17" t="n"/>
      <c r="I17" s="17" t="n"/>
      <c r="J17" s="15" t="n"/>
      <c r="K17" s="16" t="n"/>
    </row>
    <row r="18">
      <c r="A18" s="25" t="inlineStr">
        <is>
          <t>4.4.1</t>
        </is>
      </c>
      <c r="B18" s="26" t="inlineStr">
        <is>
          <t>ขุดดินถังเก็บน้ำใต้ดิน ~12.12 x 6.63 ม. ลึก 3.00 ม. และขนทิ้ง</t>
        </is>
      </c>
      <c r="C18" s="27" t="n">
        <v>241.07</v>
      </c>
      <c r="D18" s="25" t="inlineStr">
        <is>
          <t>ลบ.ม.</t>
        </is>
      </c>
      <c r="E18" s="21" t="n"/>
      <c r="F18" s="20">
        <f>IF(C18="",0,C18*E18)</f>
        <v/>
      </c>
      <c r="G18" s="21" t="n"/>
      <c r="H18" s="20">
        <f>IF(C18="",0,C18*G18)</f>
        <v/>
      </c>
      <c r="I18" s="20">
        <f>F18+H18</f>
        <v/>
      </c>
      <c r="J18" s="25" t="inlineStr">
        <is>
          <t>เพิ่มใหม่</t>
        </is>
      </c>
      <c r="K18" s="19" t="inlineStr">
        <is>
          <t>เพิ่ม: ขนาดจากเวกเตอร์ S201/S202 ลึกจาก ±0.00 ถึงใต้คอนกรีตหยาบ -3.00</t>
        </is>
      </c>
    </row>
    <row r="19">
      <c r="A19" s="25" t="inlineStr">
        <is>
          <t>4.4.2</t>
        </is>
      </c>
      <c r="B19" s="26" t="inlineStr">
        <is>
          <t>พื้นถังเก็บน้ำใต้ดิน คสล. หนา 0.25 ม. (TF -2.60 / BF -2.85) พร้อมคอนกรีตหยาบ/ทราย</t>
        </is>
      </c>
      <c r="C19" s="27" t="n">
        <v>80.36</v>
      </c>
      <c r="D19" s="25" t="inlineStr">
        <is>
          <t>ตร.ม.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25" t="inlineStr">
        <is>
          <t>เพิ่มใหม่</t>
        </is>
      </c>
      <c r="K19" s="19" t="inlineStr">
        <is>
          <t>เพิ่ม: 12.12 x 6.63 ม. คอนกรีต 20.09 ลบ.ม. (S202)</t>
        </is>
      </c>
    </row>
    <row r="20">
      <c r="A20" s="33" t="inlineStr">
        <is>
          <t>4.4.3</t>
        </is>
      </c>
      <c r="B20" s="34" t="inlineStr">
        <is>
          <t>ผนัง ฝา ช่องเปิด บ่อพัก บันไดลิง และกันซึม ถังเก็บน้ำใต้ดิน</t>
        </is>
      </c>
      <c r="C20" s="35" t="n">
        <v>1</v>
      </c>
      <c r="D20" s="33" t="inlineStr">
        <is>
          <t>ชุด</t>
        </is>
      </c>
      <c r="E20" s="21" t="n"/>
      <c r="F20" s="20">
        <f>IF(C20="",0,C20*E20)</f>
        <v/>
      </c>
      <c r="G20" s="21" t="n"/>
      <c r="H20" s="20">
        <f>IF(C20="",0,C20*G20)</f>
        <v/>
      </c>
      <c r="I20" s="20">
        <f>F20+H20</f>
        <v/>
      </c>
      <c r="J20" s="33" t="inlineStr">
        <is>
          <t>รอข้อมูล</t>
        </is>
      </c>
      <c r="K20" s="19" t="inlineStr">
        <is>
          <t>รอแบบขยาย (S202 แสดงเฉพาะพื้นถัง)</t>
        </is>
      </c>
    </row>
    <row r="21">
      <c r="A21" s="33" t="inlineStr">
        <is>
          <t>4.4.4</t>
        </is>
      </c>
      <c r="B21" s="34" t="inlineStr">
        <is>
          <t>เหล็กเสริมถังเก็บน้ำใต้ดิน</t>
        </is>
      </c>
      <c r="C21" s="35" t="n"/>
      <c r="D21" s="33" t="inlineStr">
        <is>
          <t>กก.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33" t="inlineStr">
        <is>
          <t>รอข้อมูล</t>
        </is>
      </c>
      <c r="K21" s="19" t="inlineStr">
        <is>
          <t>รอเอกสารออกแบบเหล็กเสริม</t>
        </is>
      </c>
    </row>
    <row r="22">
      <c r="A22" s="15" t="inlineStr">
        <is>
          <t>4.5</t>
        </is>
      </c>
      <c r="B22" s="16" t="inlineStr">
        <is>
          <t>หมวดงานระบายน้ำ</t>
        </is>
      </c>
      <c r="C22" s="17" t="n"/>
      <c r="D22" s="15" t="n"/>
      <c r="E22" s="17" t="n"/>
      <c r="F22" s="17" t="n"/>
      <c r="G22" s="17" t="n"/>
      <c r="H22" s="17" t="n"/>
      <c r="I22" s="17" t="n"/>
      <c r="J22" s="15" t="n"/>
      <c r="K22" s="16" t="n"/>
    </row>
    <row r="23">
      <c r="A23" s="33" t="inlineStr">
        <is>
          <t>4.5.1</t>
        </is>
      </c>
      <c r="B23" s="34" t="inlineStr">
        <is>
          <t>รางระบายน้ำ คสล. พร้อมฝาปิด ตามแนวเขตที่ดิน</t>
        </is>
      </c>
      <c r="C23" s="35" t="n">
        <v>302</v>
      </c>
      <c r="D23" s="33" t="inlineStr">
        <is>
          <t>ม.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33" t="inlineStr">
        <is>
          <t>รอข้อมูล</t>
        </is>
      </c>
      <c r="K23" s="19" t="inlineStr">
        <is>
          <t>A101 ขนาดรางรอแบบขยาย</t>
        </is>
      </c>
    </row>
    <row r="24">
      <c r="A24" s="33" t="inlineStr">
        <is>
          <t>4.5.2</t>
        </is>
      </c>
      <c r="B24" s="34" t="inlineStr">
        <is>
          <t>บ่อพัก/บ่อบำบัด และจุดเชื่อมท่อระบายสาธารณะ</t>
        </is>
      </c>
      <c r="C24" s="35" t="n">
        <v>1</v>
      </c>
      <c r="D24" s="33" t="inlineStr">
        <is>
          <t>เหมา</t>
        </is>
      </c>
      <c r="E24" s="21" t="n"/>
      <c r="F24" s="20">
        <f>IF(C24="",0,C24*E24)</f>
        <v/>
      </c>
      <c r="G24" s="21" t="n"/>
      <c r="H24" s="20">
        <f>IF(C24="",0,C24*G24)</f>
        <v/>
      </c>
      <c r="I24" s="20">
        <f>F24+H24</f>
        <v/>
      </c>
      <c r="J24" s="33" t="inlineStr">
        <is>
          <t>รอข้อมูล</t>
        </is>
      </c>
      <c r="K24" s="19" t="inlineStr">
        <is>
          <t>รอแบบ</t>
        </is>
      </c>
    </row>
    <row r="25">
      <c r="A25" s="25" t="inlineStr">
        <is>
          <t>4.5.3</t>
        </is>
      </c>
      <c r="B25" s="26" t="inlineStr">
        <is>
          <t>ท่อระบายน้ำฝนใต้ดิน PVC Ø4" จากท่อลงถึงรางระบายน้ำ</t>
        </is>
      </c>
      <c r="C25" s="27" t="n">
        <v>10</v>
      </c>
      <c r="D25" s="25" t="inlineStr">
        <is>
          <t>จุด</t>
        </is>
      </c>
      <c r="E25" s="21" t="n"/>
      <c r="F25" s="20">
        <f>IF(C25="",0,C25*E25)</f>
        <v/>
      </c>
      <c r="G25" s="21" t="n"/>
      <c r="H25" s="20">
        <f>IF(C25="",0,C25*G25)</f>
        <v/>
      </c>
      <c r="I25" s="20">
        <f>F25+H25</f>
        <v/>
      </c>
      <c r="J25" s="25" t="inlineStr">
        <is>
          <t>เพิ่มใหม่</t>
        </is>
      </c>
      <c r="K25" s="19" t="inlineStr">
        <is>
          <t>เพิ่ม: ท่อลง 10 จุด (3.1.5)</t>
        </is>
      </c>
    </row>
    <row r="26">
      <c r="A26" s="15" t="inlineStr">
        <is>
          <t>4.6</t>
        </is>
      </c>
      <c r="B26" s="16" t="inlineStr">
        <is>
          <t>หมวดงานที่ต้องยืนยันขอบเขต</t>
        </is>
      </c>
      <c r="C26" s="17" t="n"/>
      <c r="D26" s="15" t="n"/>
      <c r="E26" s="17" t="n"/>
      <c r="F26" s="17" t="n"/>
      <c r="G26" s="17" t="n"/>
      <c r="H26" s="17" t="n"/>
      <c r="I26" s="17" t="n"/>
      <c r="J26" s="15" t="n"/>
      <c r="K26" s="16" t="n"/>
    </row>
    <row r="27">
      <c r="A27" s="33" t="inlineStr">
        <is>
          <t>4.6.1</t>
        </is>
      </c>
      <c r="B27" s="34" t="inlineStr">
        <is>
          <t>เสาเข็ม I-260x260 + ฐาน 0.66x0.66 ม. แนวเขตที่ดินด้านใต้และตะวันออก (ไม่มีใน BOQ/ตาราง S2)</t>
        </is>
      </c>
      <c r="C27" s="35" t="n">
        <v>16</v>
      </c>
      <c r="D27" s="33" t="inlineStr">
        <is>
          <t>ชุด</t>
        </is>
      </c>
      <c r="E27" s="21" t="n"/>
      <c r="F27" s="20">
        <f>IF(C27="",0,C27*E27)</f>
        <v/>
      </c>
      <c r="G27" s="21" t="n"/>
      <c r="H27" s="20">
        <f>IF(C27="",0,C27*G27)</f>
        <v/>
      </c>
      <c r="I27" s="20">
        <f>F27+H27</f>
        <v/>
      </c>
      <c r="J27" s="33" t="inlineStr">
        <is>
          <t>รอข้อมูล</t>
        </is>
      </c>
      <c r="K27" s="19" t="inlineStr">
        <is>
          <t>พบในผัง S201 16 จุด ยังไม่ทราบหน้าที่ (เสารั้ว/เสาไฟ/ป้าย?) สอบถามผู้ออกแบบ</t>
        </is>
      </c>
    </row>
    <row r="28">
      <c r="A28" s="33" t="inlineStr">
        <is>
          <t>4.6.2</t>
        </is>
      </c>
      <c r="B28" s="34" t="inlineStr">
        <is>
          <t>รั้วถาวร / ประตูทางเข้าโครงการ</t>
        </is>
      </c>
      <c r="C28" s="35" t="n"/>
      <c r="D28" s="33" t="inlineStr">
        <is>
          <t>ม.</t>
        </is>
      </c>
      <c r="E28" s="21" t="n"/>
      <c r="F28" s="20">
        <f>IF(C28="",0,C28*E28)</f>
        <v/>
      </c>
      <c r="G28" s="21" t="n"/>
      <c r="H28" s="20">
        <f>IF(C28="",0,C28*G28)</f>
        <v/>
      </c>
      <c r="I28" s="20">
        <f>F28+H28</f>
        <v/>
      </c>
      <c r="J28" s="33" t="inlineStr">
        <is>
          <t>รอข้อมูล</t>
        </is>
      </c>
      <c r="K28" s="19" t="inlineStr">
        <is>
          <t>ไม่มีในแบบ ยืนยันว่าอยู่ในขอบเขตหรือไม่</t>
        </is>
      </c>
    </row>
    <row r="29">
      <c r="A29" s="28" t="n"/>
      <c r="B29" s="10" t="inlineStr">
        <is>
          <t>รวมหมวดที่ 4 งานบริเวณ (เพิ่มใหม่ทั้งหมวด)</t>
        </is>
      </c>
      <c r="C29" s="29" t="n"/>
      <c r="D29" s="28" t="n"/>
      <c r="E29" s="29" t="n"/>
      <c r="F29" s="30">
        <f>SUM(F5:F28)</f>
        <v/>
      </c>
      <c r="G29" s="29" t="n"/>
      <c r="H29" s="30">
        <f>SUM(H5:H28)</f>
        <v/>
      </c>
      <c r="I29" s="30">
        <f>SUM(I5:I28)</f>
        <v/>
      </c>
      <c r="J29" s="28" t="n"/>
      <c r="K29" s="31" t="n"/>
    </row>
    <row r="30">
      <c r="B30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5 งานระบบ (เงินสำรอง Provisional Sum – รอแบบงานระบบ)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5.1</t>
        </is>
      </c>
      <c r="B5" s="16" t="inlineStr">
        <is>
          <t>หมวดงานระบบ (ไม่มีแบบ เสนอเป็นเงินสำรองให้ผู้ว่าจ้างยืนยันขอบเขต)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33" t="inlineStr">
        <is>
          <t>5.1.1</t>
        </is>
      </c>
      <c r="B6" s="34" t="inlineStr">
        <is>
          <t>ระบบไฟฟ้าแสงสว่างและเต้ารับภายในอาคารโกดัง 3,240 ตร.ม. และไฟส่องสว่างภายนอก</t>
        </is>
      </c>
      <c r="C6" s="35" t="n">
        <v>1</v>
      </c>
      <c r="D6" s="33" t="inlineStr">
        <is>
          <t>เหมา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33" t="inlineStr">
        <is>
          <t>รอข้อมูล</t>
        </is>
      </c>
      <c r="K6" s="19" t="inlineStr">
        <is>
          <t>เพิ่ม: Provisional sum</t>
        </is>
      </c>
    </row>
    <row r="7">
      <c r="A7" s="33" t="inlineStr">
        <is>
          <t>5.1.2</t>
        </is>
      </c>
      <c r="B7" s="34" t="inlineStr">
        <is>
          <t>สายเมนและท่อร้อยสายใต้ดินจากหม้อแปลงถึงห้อง MDB</t>
        </is>
      </c>
      <c r="C7" s="35" t="n">
        <v>1</v>
      </c>
      <c r="D7" s="33" t="inlineStr">
        <is>
          <t>เหมา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33" t="inlineStr">
        <is>
          <t>รอข้อมูล</t>
        </is>
      </c>
      <c r="K7" s="19" t="inlineStr">
        <is>
          <t>เพิ่ม: Provisional sum (ระยะประมาณ 10 ม.)</t>
        </is>
      </c>
    </row>
    <row r="8">
      <c r="A8" s="33" t="inlineStr">
        <is>
          <t>5.1.3</t>
        </is>
      </c>
      <c r="B8" s="34" t="inlineStr">
        <is>
          <t>ระบบป้องกันฟ้าผ่าและสายดิน อาคารสูง +15.25 ม.</t>
        </is>
      </c>
      <c r="C8" s="35" t="n">
        <v>1</v>
      </c>
      <c r="D8" s="33" t="inlineStr">
        <is>
          <t>เหมา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33" t="inlineStr">
        <is>
          <t>รอข้อมูล</t>
        </is>
      </c>
      <c r="K8" s="19" t="inlineStr">
        <is>
          <t>เพิ่ม: Provisional sum</t>
        </is>
      </c>
    </row>
    <row r="9">
      <c r="A9" s="33" t="inlineStr">
        <is>
          <t>5.1.4</t>
        </is>
      </c>
      <c r="B9" s="34" t="inlineStr">
        <is>
          <t>ระบบสุขาภิบาลและถังบำบัดน้ำเสียสำเร็จรูป อาคารห้องน้ำ</t>
        </is>
      </c>
      <c r="C9" s="35" t="n">
        <v>1</v>
      </c>
      <c r="D9" s="33" t="inlineStr">
        <is>
          <t>เหมา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33" t="inlineStr">
        <is>
          <t>รอข้อมูล</t>
        </is>
      </c>
      <c r="K9" s="19" t="inlineStr">
        <is>
          <t>เพิ่ม: Provisional sum</t>
        </is>
      </c>
    </row>
    <row r="10">
      <c r="A10" s="33" t="inlineStr">
        <is>
          <t>5.1.5</t>
        </is>
      </c>
      <c r="B10" s="34" t="inlineStr">
        <is>
          <t>ระบบน้ำประปา ปั๊มน้ำ และท่อจากถังเก็บน้ำใต้ดิน</t>
        </is>
      </c>
      <c r="C10" s="35" t="n">
        <v>1</v>
      </c>
      <c r="D10" s="33" t="inlineStr">
        <is>
          <t>เหมา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33" t="inlineStr">
        <is>
          <t>รอข้อมูล</t>
        </is>
      </c>
      <c r="K10" s="19" t="inlineStr">
        <is>
          <t>เพิ่ม: Provisional sum</t>
        </is>
      </c>
    </row>
    <row r="11">
      <c r="A11" s="33" t="inlineStr">
        <is>
          <t>5.1.6</t>
        </is>
      </c>
      <c r="B11" s="34" t="inlineStr">
        <is>
          <t>อุปกรณ์ดับเพลิง ป้ายทางออก ไฟฉุกเฉิน และระบบแจ้งเหตุเพลิงไหม้</t>
        </is>
      </c>
      <c r="C11" s="35" t="n">
        <v>1</v>
      </c>
      <c r="D11" s="33" t="inlineStr">
        <is>
          <t>เหมา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33" t="inlineStr">
        <is>
          <t>รอข้อมูล</t>
        </is>
      </c>
      <c r="K11" s="19" t="inlineStr">
        <is>
          <t>เพิ่ม: Provisional sum</t>
        </is>
      </c>
    </row>
    <row r="12">
      <c r="A12" s="28" t="n"/>
      <c r="B12" s="10" t="inlineStr">
        <is>
          <t>รวมหมวดที่ 5 งานระบบ (เงินสำรอง Provisional Sum – รอแบบงานระบบ)</t>
        </is>
      </c>
      <c r="C12" s="29" t="n"/>
      <c r="D12" s="28" t="n"/>
      <c r="E12" s="29" t="n"/>
      <c r="F12" s="30">
        <f>SUM(F5:F11)</f>
        <v/>
      </c>
      <c r="G12" s="29" t="n"/>
      <c r="H12" s="30">
        <f>SUM(H5:H11)</f>
        <v/>
      </c>
      <c r="I12" s="30">
        <f>SUM(I5:I11)</f>
        <v/>
      </c>
      <c r="J12" s="28" t="n"/>
      <c r="K12" s="31" t="n"/>
    </row>
    <row r="13">
      <c r="B13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70" customWidth="1" min="3" max="3"/>
    <col width="80" customWidth="1" min="4" max="4"/>
  </cols>
  <sheetData>
    <row r="1">
      <c r="A1" s="1" t="inlineStr">
        <is>
          <t>บันทึกการแก้ไข BOQ v2 และข้อสังเกตจากการทวนสอบแบบ/โมเดล BIM</t>
        </is>
      </c>
    </row>
    <row r="2">
      <c r="A2" s="36" t="inlineStr">
        <is>
          <t>ลำดับ</t>
        </is>
      </c>
      <c r="B2" s="36" t="inlineStr">
        <is>
          <t>สถานะ</t>
        </is>
      </c>
      <c r="C2" s="36" t="inlineStr">
        <is>
          <t>รายการ</t>
        </is>
      </c>
      <c r="D2" s="36" t="inlineStr">
        <is>
          <t>หมายเหตุ</t>
        </is>
      </c>
    </row>
    <row r="3">
      <c r="A3" s="37" t="inlineStr">
        <is>
          <t>1.1.2</t>
        </is>
      </c>
      <c r="B3" s="38" t="inlineStr">
        <is>
          <t>แก้ไข</t>
        </is>
      </c>
      <c r="C3" s="37" t="inlineStr">
        <is>
          <t>วางตำแหน่งเสาเข็มด้วยกล้องสำรวจ (Total Station) และตรวจสอบตำแหน่งหลังตอก</t>
        </is>
      </c>
      <c r="D3" s="37" t="inlineStr">
        <is>
          <t>เดิม 470 → นับจากผัง S201 ทุกชนิด (ดูหมวด 2.1 และ 4.1)</t>
        </is>
      </c>
    </row>
    <row r="4">
      <c r="A4" s="37" t="inlineStr">
        <is>
          <t>1.1.3</t>
        </is>
      </c>
      <c r="B4" s="39" t="inlineStr">
        <is>
          <t>เพิ่มใหม่</t>
        </is>
      </c>
      <c r="C4" s="37" t="inlineStr">
        <is>
          <t>สำรวจและบันทึกภาพสภาพอาคาร/สิ่งปลูกสร้างข้างเคียงก่อนตอกเข็ม และติดตามระหว่างตอก</t>
        </is>
      </c>
      <c r="D4" s="37" t="inlineStr">
        <is>
          <t>เพิ่ม: ข้อกำหนด 1.4.1 (รายละเอียดงานเตรียมการ)</t>
        </is>
      </c>
    </row>
    <row r="5">
      <c r="A5" s="37" t="inlineStr">
        <is>
          <t>1.2.1</t>
        </is>
      </c>
      <c r="B5" s="38" t="inlineStr">
        <is>
          <t>แก้ไข</t>
        </is>
      </c>
      <c r="C5" s="37" t="inlineStr">
        <is>
          <t>รั้วชั่วคราวแผ่นเหล็กรีดลอน (Metal Sheet) สูง 2.00 ม. โครงเหล็กกล่อง พร้อมทาสี</t>
        </is>
      </c>
      <c r="D5" s="37" t="inlineStr">
        <is>
          <t>เดิม 308 (สมมติ 80x74) → เส้นรอบแนวเขตที่ดินจากผัง S202</t>
        </is>
      </c>
    </row>
    <row r="6">
      <c r="A6" s="37" t="inlineStr">
        <is>
          <t>1.2.3</t>
        </is>
      </c>
      <c r="B6" s="38" t="inlineStr">
        <is>
          <t>แก้ไข</t>
        </is>
      </c>
      <c r="C6" s="37" t="inlineStr">
        <is>
          <t>สำนักงานสนาม (Site Office) ขนาดไม่น้อยกว่า 3.00 x 8.00 ม. พร้อมเครื่องปรับอากาศ โต๊ะประชุม และอุปกรณ์สำนักงาน</t>
        </is>
      </c>
      <c r="D6" s="37" t="inlineStr">
        <is>
          <t>รวมพื้นที่สำหรับผู้ควบคุมงานของผู้ว่าจ้าง; วางด้านทิศเหนือของอาคาร แนวกริด 1-2</t>
        </is>
      </c>
    </row>
    <row r="7">
      <c r="A7" s="37" t="inlineStr">
        <is>
          <t>1.2.4</t>
        </is>
      </c>
      <c r="B7" s="38" t="inlineStr">
        <is>
          <t>แก้ไข</t>
        </is>
      </c>
      <c r="C7" s="37" t="inlineStr">
        <is>
          <t>โรงเก็บวัสดุและเครื่องมือ (Store) พร้อมลานกองเหล็กเสริมและลานดัดเหล็ก</t>
        </is>
      </c>
      <c r="D7" s="37" t="inlineStr">
        <is>
          <t>วางด้านทิศเหนือระหว่างแถวเข็มถนน (ผู้ว่าจ้างกำหนด) ขนาด 3.00x12.00 ม.; พื้นถนนใต้สิ่งชั่วคราวเทหลังรื้อย้าย</t>
        </is>
      </c>
    </row>
    <row r="8">
      <c r="A8" s="37" t="inlineStr">
        <is>
          <t>1.3.1</t>
        </is>
      </c>
      <c r="B8" s="38" t="inlineStr">
        <is>
          <t>แก้ไข</t>
        </is>
      </c>
      <c r="C8" s="37" t="inlineStr">
        <is>
          <t>ถมดินปรับระดับ บดอัดเป็นชั้นหนาไม่เกิน 0.20 ม. ความแน่นไม่น้อยกว่า 95% Standard Proctor</t>
        </is>
      </c>
      <c r="D8" s="37" t="inlineStr">
        <is>
          <t>เดิม 1,856 (ถม 0.50 ม.) → ผู้ว่าจ้างกำหนด: ดินเดิม ±0.00 (ระดับถนนรอบอาคาร; -1.50 คือถนนสาธารณะ) ถมหนา 0.30 ม. x 64 x 58 ม. = 1,113.60 ลบ.ม. เบิกตามปริมาณจริงจากผลสำรวจระดับ P1.2</t>
        </is>
      </c>
    </row>
    <row r="9">
      <c r="A9" s="37" t="inlineStr">
        <is>
          <t>1.3.4</t>
        </is>
      </c>
      <c r="B9" s="39" t="inlineStr">
        <is>
          <t>เพิ่มใหม่</t>
        </is>
      </c>
      <c r="C9" s="37" t="inlineStr">
        <is>
          <t>ขุดดินฐานรากและขนย้ายดินส่วนเกิน (จากตาราง S1.1)</t>
        </is>
      </c>
      <c r="D9" s="37" t="inlineStr">
        <is>
          <t>S201-B ตาราง S1.1 รวม F1/F1A/F1P/F2P (ไม่รวมถังใต้ดิน 4.4)</t>
        </is>
      </c>
    </row>
    <row r="10">
      <c r="A10" s="37" t="inlineStr">
        <is>
          <t>1.3.5</t>
        </is>
      </c>
      <c r="B10" s="39" t="inlineStr">
        <is>
          <t>เพิ่มใหม่</t>
        </is>
      </c>
      <c r="C10" s="37" t="inlineStr">
        <is>
          <t>ป้องกันดินพังและสูบน้ำ งานขุดถังเก็บน้ำใต้ดิน ลึก ~3.0 ม. จากดินเดิม ±0.00 (Sheet pile/ค้ำยัน)</t>
        </is>
      </c>
      <c r="D10" s="37" t="inlineStr">
        <is>
          <t>ระดับก้นถัง BF -2.85 (S202)</t>
        </is>
      </c>
    </row>
    <row r="11">
      <c r="A11" s="37" t="inlineStr">
        <is>
          <t>1.3.6</t>
        </is>
      </c>
      <c r="B11" s="39" t="inlineStr">
        <is>
          <t>เพิ่มใหม่</t>
        </is>
      </c>
      <c r="C11" s="37" t="inlineStr">
        <is>
          <t>ถมดินกลับรอบฐานราก บดอัด (จากตาราง S1.1)</t>
        </is>
      </c>
      <c r="D11" s="37" t="inlineStr">
        <is>
          <t>เพิ่ม: S201-B ตาราง S1.1 คอลัมน์ดินถม</t>
        </is>
      </c>
    </row>
    <row r="12">
      <c r="A12" s="37" t="inlineStr">
        <is>
          <t>1.4.2</t>
        </is>
      </c>
      <c r="B12" s="38" t="inlineStr">
        <is>
          <t>แก้ไข</t>
        </is>
      </c>
      <c r="C12" s="37" t="inlineStr">
        <is>
          <t>ทดสอบกำลังรับน้ำหนักเสาเข็มแบบพลศาสตร์ (Dynamic Load Test)</t>
        </is>
      </c>
      <c r="D12" s="37" t="inlineStr">
        <is>
          <t>เดิม 2 → อย่างน้อย 1 ต้นต่อขนาดเข็ม (I22/I26/I35) หรือตามวิศวกรกำหนด</t>
        </is>
      </c>
    </row>
    <row r="13">
      <c r="A13" s="37" t="inlineStr">
        <is>
          <t>1.4.3</t>
        </is>
      </c>
      <c r="B13" s="38" t="inlineStr">
        <is>
          <t>แก้ไข</t>
        </is>
      </c>
      <c r="C13" s="37" t="inlineStr">
        <is>
          <t>ทดสอบความแน่นดินถมในสนาม (Field Density Test)</t>
        </is>
      </c>
      <c r="D13" s="37" t="inlineStr">
        <is>
          <t>เดิม 6 → พื้นที่ถม 3,712 ตร.ม. ÷ 500 = 8 จุด/ชั้น x 2 ชั้น (ถม 0.30 ม. ชั้นละไม่เกิน 0.20)</t>
        </is>
      </c>
    </row>
    <row r="14">
      <c r="A14" s="37" t="inlineStr">
        <is>
          <t>1.4.4</t>
        </is>
      </c>
      <c r="B14" s="38" t="inlineStr">
        <is>
          <t>แก้ไข</t>
        </is>
      </c>
      <c r="C14" s="37" t="inlineStr">
        <is>
          <t>ทดสอบวัสดุก่อสร้าง (ตัวอย่างคอนกรีต กำลังดึงเหล็กเสริม) ตลอดโครงการ</t>
        </is>
      </c>
      <c r="D14" s="37" t="inlineStr">
        <is>
          <t>คอนกรีตโครงสร้างรวม ~1,270 ลบ.ม. (ไม่รวมถังใต้ดิน/ทางลาด)</t>
        </is>
      </c>
    </row>
    <row r="15">
      <c r="A15" s="37" t="inlineStr">
        <is>
          <t>1.4.5</t>
        </is>
      </c>
      <c r="B15" s="39" t="inlineStr">
        <is>
          <t>เพิ่มใหม่</t>
        </is>
      </c>
      <c r="C15" s="37" t="inlineStr">
        <is>
          <t>เครนยกติดตั้ง รถกระเช้า (Man lift) และนั่งร้านงานสูง +9.00 ถึง +15.25 ม.</t>
        </is>
      </c>
      <c r="D15" s="37" t="inlineStr">
        <is>
          <t>เพิ่ม: งานโครงเหล็ก/หลังคา/Jack roof (A202)</t>
        </is>
      </c>
    </row>
    <row r="16">
      <c r="A16" s="37" t="inlineStr">
        <is>
          <t>2.1.2</t>
        </is>
      </c>
      <c r="B16" s="38" t="inlineStr">
        <is>
          <t>แก้ไข</t>
        </is>
      </c>
      <c r="C16" s="37" t="inlineStr">
        <is>
          <t>เสาเข็มตอก I-350x350 ยาว 22 ม. รับพื้นโรงงาน (I35-22) ระยะ 3.00x3.00 ม. รวมค่าตอก</t>
        </is>
      </c>
      <c r="D16" s="37" t="inlineStr">
        <is>
          <t>ตรงกัน 360 ต้น; ระบุขนาด 350 มม. (ราคาต่างจากเข็มฐานราก)</t>
        </is>
      </c>
    </row>
    <row r="17">
      <c r="A17" s="37" t="inlineStr">
        <is>
          <t>2.1.3</t>
        </is>
      </c>
      <c r="B17" s="38" t="inlineStr">
        <is>
          <t>แก้ไข</t>
        </is>
      </c>
      <c r="C17" s="37" t="inlineStr">
        <is>
          <t>เสาเข็มตอก I-260x260 ยาว 22 ม. อาคารประกอบ ฐาน F1P-1 (ห้องน้ำ 6, ห้องสารเคมี 3, ทางลาดเหนือ 2) รวมค่าตอก</t>
        </is>
      </c>
      <c r="D17" s="37" t="inlineStr">
        <is>
          <t>เดิม 18 → 11 (นับจาก S201)</t>
        </is>
      </c>
    </row>
    <row r="18">
      <c r="A18" s="37" t="inlineStr">
        <is>
          <t>2.1.4</t>
        </is>
      </c>
      <c r="B18" s="39" t="inlineStr">
        <is>
          <t>เพิ่มใหม่</t>
        </is>
      </c>
      <c r="C18" s="37" t="inlineStr">
        <is>
          <t>เสาเข็มตอก I-260x260 รับถังเก็บน้ำใต้ดิน (ตัดหัวลดระดับ 1 ม.) รวมค่าตอก</t>
        </is>
      </c>
      <c r="D18" s="37" t="inlineStr">
        <is>
          <t>เพิ่ม: S201-B (I26) นับจากผังได้ 17</t>
        </is>
      </c>
    </row>
    <row r="19">
      <c r="A19" s="37" t="inlineStr">
        <is>
          <t>2.1.5</t>
        </is>
      </c>
      <c r="B19" s="38" t="inlineStr">
        <is>
          <t>แก้ไข</t>
        </is>
      </c>
      <c r="C19" s="37" t="inlineStr">
        <is>
          <t>ตัดหัวเสาเข็มและขนทิ้ง</t>
        </is>
      </c>
      <c r="D19" s="37" t="inlineStr">
        <is>
          <t>เดิม 470 → 3 กลุ่ม: อาคาร 452 + อาคารประกอบ/อื่นๆ 50 + ถนน 249 = 751</t>
        </is>
      </c>
    </row>
    <row r="20">
      <c r="A20" s="37" t="inlineStr">
        <is>
          <t>2.1.6</t>
        </is>
      </c>
      <c r="B20" s="40" t="inlineStr">
        <is>
          <t>รอข้อมูล</t>
        </is>
      </c>
      <c r="C20" s="37" t="inlineStr">
        <is>
          <t>ราคาปรับเพิ่ม/ลดความยาวเสาเข็ม กรณีผลสำรวจดินต่างจากความยาวที่สมมติ แยกตามขนาด I22 / I26 / I35</t>
        </is>
      </c>
      <c r="D20" s="37" t="inlineStr">
        <is>
          <t>ราคาต่อเมตร (ไม่มีปริมาณ) ใช้ปรับหลังได้ผลสำรวจดิน P3</t>
        </is>
      </c>
    </row>
    <row r="21">
      <c r="A21" s="37" t="inlineStr">
        <is>
          <t>2.1.7</t>
        </is>
      </c>
      <c r="B21" s="40" t="inlineStr">
        <is>
          <t>รอข้อมูล</t>
        </is>
      </c>
      <c r="C21" s="37" t="inlineStr">
        <is>
          <t>เชื่อมต่อเสาเข็ม (เข็มยาว 22 ม. ส่ง 2 ท่อน) พร้อมแผ่นเหล็กต่อเชื่อม</t>
        </is>
      </c>
      <c r="D21" s="37" t="inlineStr">
        <is>
          <t>เพิ่ม: สมมติ 1 รอยต่อ/ต้น ตามความยาวท่อนที่ผู้ผลิตส่งได้</t>
        </is>
      </c>
    </row>
    <row r="22">
      <c r="A22" s="37" t="inlineStr">
        <is>
          <t>2.2.1</t>
        </is>
      </c>
      <c r="B22" s="38" t="inlineStr">
        <is>
          <t>แก้ไข</t>
        </is>
      </c>
      <c r="C22" s="37" t="inlineStr">
        <is>
          <t>ฐานราก F2P 0.60x1.50x0.80 ม. (เข็ม 2 ต้น) ทรายรองพื้น คอนกรีตหยาบ คอนกรีตโครงสร้าง ไม้แบบ</t>
        </is>
      </c>
      <c r="D22" s="37" t="inlineStr">
        <is>
          <t>ผู้ว่าจ้างยืนยัน 46 ฐาน (เสา C1 45 + C2 1, เข็ม 2 ต้น/ฐาน = 92 ต้น) ตาราง S1.1 นับ 47 ผิด; คอนกรีต 33.12 ลบ.ม., ทราย 11.84, คอนกรีตหยาบ 2.63, ไม้แบบ 154.56 ตร.ม.</t>
        </is>
      </c>
    </row>
    <row r="23">
      <c r="A23" s="37" t="inlineStr">
        <is>
          <t>2.2.2</t>
        </is>
      </c>
      <c r="B23" s="39" t="inlineStr">
        <is>
          <t>เพิ่มใหม่</t>
        </is>
      </c>
      <c r="C23" s="37" t="inlineStr">
        <is>
          <t>Drop panel F1P 1.00x1.00x0.20 ม. รับพื้นบนเข็ม I35 ทรายรองพื้น คอนกรีตหยาบ คอนกรีต</t>
        </is>
      </c>
      <c r="D23" s="37" t="inlineStr">
        <is>
          <t>เพิ่ม: คอนกรีต 72.00, ทราย 92.16, คอนกรีตหยาบ 21.78 ลบ.ม.</t>
        </is>
      </c>
    </row>
    <row r="24">
      <c r="A24" s="37" t="inlineStr">
        <is>
          <t>2.2.3</t>
        </is>
      </c>
      <c r="B24" s="39" t="inlineStr">
        <is>
          <t>เพิ่มใหม่</t>
        </is>
      </c>
      <c r="C24" s="37" t="inlineStr">
        <is>
          <t>ฐาน F1P-1 0.60x0.60x0.60 ม. (เข็มเดี่ยว อาคารประกอบ)</t>
        </is>
      </c>
      <c r="D24" s="37" t="inlineStr">
        <is>
          <t>เพิ่ม: คอนกรีต 2.38, ทราย 1.58, คอนกรีตหยาบ 0.27 ลบ.ม.</t>
        </is>
      </c>
    </row>
    <row r="25">
      <c r="A25" s="37" t="inlineStr">
        <is>
          <t>2.2.4</t>
        </is>
      </c>
      <c r="B25" s="40" t="inlineStr">
        <is>
          <t>รอข้อมูล</t>
        </is>
      </c>
      <c r="C25" s="37" t="inlineStr">
        <is>
          <t>เหล็กเสริมฐานราก F2P / F1P / F1P-1</t>
        </is>
      </c>
      <c r="D25" s="37" t="inlineStr">
        <is>
          <t>รอเอกสารออกแบบเหล็กเสริม (อ้างอิงประมาณ 100 กก./ลบ.ม. ≈ 10,750 กก.)</t>
        </is>
      </c>
    </row>
    <row r="26">
      <c r="A26" s="37" t="inlineStr">
        <is>
          <t>2.3.1</t>
        </is>
      </c>
      <c r="B26" s="38" t="inlineStr">
        <is>
          <t>แก้ไข</t>
        </is>
      </c>
      <c r="C26" s="37" t="inlineStr">
        <is>
          <t>เสา คสล. C1 0.30x0.50 ม. จากหลังฐานรากถึงหัวเสา +4.50 (ยาว 4.90 ม.)</t>
        </is>
      </c>
      <c r="D26" s="37" t="inlineStr">
        <is>
          <t>เดิม 'เสาตอม่อ 46' → C1 45 ต้น คอนกรีต 32.37 ลบ.ม. ไม้แบบ 352.80 ตร.ม. (S4.1)</t>
        </is>
      </c>
    </row>
    <row r="27">
      <c r="A27" s="37" t="inlineStr">
        <is>
          <t>2.3.2</t>
        </is>
      </c>
      <c r="B27" s="39" t="inlineStr">
        <is>
          <t>เพิ่มใหม่</t>
        </is>
      </c>
      <c r="C27" s="37" t="inlineStr">
        <is>
          <t>เสา คสล. C2 0.50x0.50 ม. (กริด 6/J)</t>
        </is>
      </c>
      <c r="D27" s="37" t="inlineStr">
        <is>
          <t>เพิ่ม: คอนกรีต 1.13 ลบ.ม. ไม้แบบ 9.80 ตร.ม.</t>
        </is>
      </c>
    </row>
    <row r="28">
      <c r="A28" s="37" t="inlineStr">
        <is>
          <t>2.3.3</t>
        </is>
      </c>
      <c r="B28" s="39" t="inlineStr">
        <is>
          <t>เพิ่มใหม่</t>
        </is>
      </c>
      <c r="C28" s="37" t="inlineStr">
        <is>
          <t>เสา คสล. C3 0.20x0.20 ม. อาคารประกอบ</t>
        </is>
      </c>
      <c r="D28" s="37" t="inlineStr">
        <is>
          <t>เพิ่ม: คอนกรีต 1.60 ลบ.ม. ไม้แบบ 34.74 ตร.ม. (S4.1 รวม 3 ระดับ)</t>
        </is>
      </c>
    </row>
    <row r="29">
      <c r="A29" s="37" t="inlineStr">
        <is>
          <t>2.3.4</t>
        </is>
      </c>
      <c r="B29" s="38" t="inlineStr">
        <is>
          <t>แก้ไข</t>
        </is>
      </c>
      <c r="C29" s="37" t="inlineStr">
        <is>
          <t>คานคอดิน B1 0.20x0.60 ม. TOP +0.50 (แนวรอบอาคาร + แนวกริด 6)</t>
        </is>
      </c>
      <c r="D29" s="37" t="inlineStr">
        <is>
          <t>เดิมว่าง → คอนกรีต 32.04 ลบ.ม. ไม้แบบ 394.80 ตร.ม. (S3)</t>
        </is>
      </c>
    </row>
    <row r="30">
      <c r="A30" s="37" t="inlineStr">
        <is>
          <t>2.3.5</t>
        </is>
      </c>
      <c r="B30" s="39" t="inlineStr">
        <is>
          <t>เพิ่มใหม่</t>
        </is>
      </c>
      <c r="C30" s="37" t="inlineStr">
        <is>
          <t>คาน B3 0.20x0.40 ม. อาคารประกอบ (ระดับถนน + ระดับพื้นชั้น 1)</t>
        </is>
      </c>
      <c r="D30" s="37" t="inlineStr">
        <is>
          <t>เพิ่ม: คอนกรีต 1.81 ลบ.ม. ไม้แบบ 40.45 ตร.ม. (S3)</t>
        </is>
      </c>
    </row>
    <row r="31">
      <c r="A31" s="37" t="inlineStr">
        <is>
          <t>2.3.6</t>
        </is>
      </c>
      <c r="B31" s="40" t="inlineStr">
        <is>
          <t>รอข้อมูล</t>
        </is>
      </c>
      <c r="C31" s="37" t="inlineStr">
        <is>
          <t>เหล็กเสริมเสาและคาน คสล. (C1, C2, C3, B1, B3)</t>
        </is>
      </c>
      <c r="D31" s="37" t="inlineStr">
        <is>
          <t>รอเอกสารออกแบบเหล็กเสริม (อ้างอิงประมาณ 160 กก./ลบ.ม. ≈ 11,000 กก.)</t>
        </is>
      </c>
    </row>
    <row r="32">
      <c r="A32" s="37" t="inlineStr">
        <is>
          <t>2.4.1</t>
        </is>
      </c>
      <c r="B32" s="38" t="inlineStr">
        <is>
          <t>แก้ไข</t>
        </is>
      </c>
      <c r="C32" s="37" t="inlineStr">
        <is>
          <t>พื้น S1 คสล. หนา 0.20 ม. วางบนเสาเข็ม TOP +0.50 พร้อมไม้แบบข้าง</t>
        </is>
      </c>
      <c r="D32" s="37" t="inlineStr">
        <is>
          <t>เดิม 3,240 → 3,206.48 ตร.ม. คอนกรีต 641.30 ลบ.ม. (S6.1)</t>
        </is>
      </c>
    </row>
    <row r="33">
      <c r="A33" s="37" t="inlineStr">
        <is>
          <t>2.4.2</t>
        </is>
      </c>
      <c r="B33" s="39" t="inlineStr">
        <is>
          <t>เพิ่มใหม่</t>
        </is>
      </c>
      <c r="C33" s="37" t="inlineStr">
        <is>
          <t>พื้นห้อง SF02 หนา 0.25 / AF01 หนา 0.10 ระดับพื้นชั้น 1</t>
        </is>
      </c>
      <c r="D33" s="37" t="inlineStr">
        <is>
          <t>เพิ่ม: SF02 30.50 + AF01 21.32 ตร.ม. คอนกรีต 9.76 ลบ.ม. (S6.1)</t>
        </is>
      </c>
    </row>
    <row r="34">
      <c r="A34" s="37" t="inlineStr">
        <is>
          <t>2.4.3</t>
        </is>
      </c>
      <c r="B34" s="40" t="inlineStr">
        <is>
          <t>รอข้อมูล</t>
        </is>
      </c>
      <c r="C34" s="37" t="inlineStr">
        <is>
          <t>เหล็กเสริม/ตะแกรงเหล็ก พื้น S1, SF02, AF01</t>
        </is>
      </c>
      <c r="D34" s="37" t="inlineStr">
        <is>
          <t>รอเอกสารออกแบบเหล็กเสริม (อ้างอิงประมาณ 80 กก./ลบ.ม. ≈ 52,000 กก.)</t>
        </is>
      </c>
    </row>
    <row r="35">
      <c r="A35" s="37" t="inlineStr">
        <is>
          <t>2.4.4</t>
        </is>
      </c>
      <c r="B35" s="39" t="inlineStr">
        <is>
          <t>เพิ่มใหม่</t>
        </is>
      </c>
      <c r="C35" s="37" t="inlineStr">
        <is>
          <t>แผ่นพลาสติก PE รองใต้พื้น S1 และทรายรองพื้น</t>
        </is>
      </c>
      <c r="D35" s="37" t="inlineStr">
        <is>
          <t>เพิ่ม: พื้นที่ S1 (S6.1)</t>
        </is>
      </c>
    </row>
    <row r="36">
      <c r="A36" s="37" t="inlineStr">
        <is>
          <t>2.4.5</t>
        </is>
      </c>
      <c r="B36" s="40" t="inlineStr">
        <is>
          <t>รอข้อมูล</t>
        </is>
      </c>
      <c r="C36" s="37" t="inlineStr">
        <is>
          <t>ตัดรอยต่อพื้น (Saw cut) และยาแนว Joint sealant พื้น S1</t>
        </is>
      </c>
      <c r="D36" s="37" t="inlineStr">
        <is>
          <t>เพิ่ม: สมมติรอยต่อทุก 6 ม. ตามแนวกริด (9x54 + 8x60 ม.) รอแบบ</t>
        </is>
      </c>
    </row>
    <row r="37">
      <c r="A37" s="37" t="inlineStr">
        <is>
          <t>2.5.1</t>
        </is>
      </c>
      <c r="B37" s="38" t="inlineStr">
        <is>
          <t>แก้ไข</t>
        </is>
      </c>
      <c r="C37" s="37" t="inlineStr">
        <is>
          <t>เสาเหล็ก H244x175x7x11 (H250x175) 44.1 กก./ม. จากแผ่นเหล็กฐาน +4.545 ถึงใต้แผ่นหัวเสา +8.98</t>
        </is>
      </c>
      <c r="D37" s="37" t="inlineStr">
        <is>
          <t>แก้ไข: 46 ต้น x 4.435 ม. = 204.01 ม. x 44.1 กก./ม. (หักเกราท์ 25 + แผ่นเหล็ก 20+20 มม.)</t>
        </is>
      </c>
    </row>
    <row r="38">
      <c r="A38" s="37" t="inlineStr">
        <is>
          <t>2.5.2</t>
        </is>
      </c>
      <c r="B38" s="40" t="inlineStr">
        <is>
          <t>รอข้อมูล</t>
        </is>
      </c>
      <c r="C38" s="37" t="inlineStr">
        <is>
          <t>โครงถักหลังคา ช่วง 2 x 30 ม. 10 แนว (กริด A-J) สันหลังคา +14.10</t>
        </is>
      </c>
      <c r="D38" s="37" t="inlineStr">
        <is>
          <t>ประมาณการจากโมเดล (คอร์ด 2C-150x65x20x3.2, ค้ำ C-100x50x20x2.3) รอแบบ</t>
        </is>
      </c>
    </row>
    <row r="39">
      <c r="A39" s="37" t="inlineStr">
        <is>
          <t>2.5.3</t>
        </is>
      </c>
      <c r="B39" s="40" t="inlineStr">
        <is>
          <t>รอข้อมูล</t>
        </is>
      </c>
      <c r="C39" s="37" t="inlineStr">
        <is>
          <t>แปหลังคา C-125x50x20x3.2 และแปผนัง (Girt)</t>
        </is>
      </c>
      <c r="D39" s="37" t="inlineStr">
        <is>
          <t>ประมาณการจากโมเดล แปหลังคา ~2,730 ม. + แปผนัง 684 ม. รอแบบ</t>
        </is>
      </c>
    </row>
    <row r="40">
      <c r="A40" s="37" t="inlineStr">
        <is>
          <t>2.5.4</t>
        </is>
      </c>
      <c r="B40" s="40" t="inlineStr">
        <is>
          <t>รอข้อมูล</t>
        </is>
      </c>
      <c r="C40" s="37" t="inlineStr">
        <is>
          <t>ค้ำยันหลังคา/ผนัง RB12 + Turnbuckle, Sag rod, แผ่นต่อ สลักเกลียว (จุดต่อ ~10%)</t>
        </is>
      </c>
      <c r="D40" s="37" t="inlineStr">
        <is>
          <t>แก้ไข: ค้ำยัน 303 + จุดต่อ 10% ของ 2.5.1-2.5.3 (55,459) = 5,849 กก. ไม่รวมแผ่นเหล็กฐาน/หัวเสา (2.5.7-2.5.9) ประมาณการ รอแบบ</t>
        </is>
      </c>
    </row>
    <row r="41">
      <c r="A41" s="37" t="inlineStr">
        <is>
          <t>2.5.5</t>
        </is>
      </c>
      <c r="B41" s="39" t="inlineStr">
        <is>
          <t>เพิ่มใหม่</t>
        </is>
      </c>
      <c r="C41" s="37" t="inlineStr">
        <is>
          <t>ทาสีกันสนิม 2 เที่ยว + สีทับหน้า 1 เที่ยว โครงสร้างเหล็กทั้งหมด</t>
        </is>
      </c>
      <c r="D41" s="37" t="inlineStr"/>
    </row>
    <row r="42">
      <c r="A42" s="37" t="inlineStr">
        <is>
          <t>2.5.6</t>
        </is>
      </c>
      <c r="B42" s="39" t="inlineStr">
        <is>
          <t>เพิ่มใหม่</t>
        </is>
      </c>
      <c r="C42" s="37" t="inlineStr">
        <is>
          <t>ปูนเกราท์ไม่หดตัว (Non-shrink grout) หนา 25 มม. ใต้แผ่นเหล็กฐาน</t>
        </is>
      </c>
      <c r="D42" s="37" t="inlineStr">
        <is>
          <t>เพิ่ม: เสาเหล็กบนหัวเสา คสล. C1 45 + C2 1 (S201) ขนาด 0.25x0.50 ม./จุด</t>
        </is>
      </c>
    </row>
    <row r="43">
      <c r="A43" s="37" t="inlineStr">
        <is>
          <t>2.5.7</t>
        </is>
      </c>
      <c r="B43" s="39" t="inlineStr">
        <is>
          <t>เพิ่มใหม่</t>
        </is>
      </c>
      <c r="C43" s="37" t="inlineStr">
        <is>
          <t>แผ่นเหล็กฐาน (Base plate) PL 20x200x450 มม. เจาะรู 6 รู เชื่อมกับเสาเหล็ก</t>
        </is>
      </c>
      <c r="D43" s="37" t="inlineStr">
        <is>
          <t>เพิ่ม: ผู้ว่าจ้างกำหนดเบื้องต้น 46 แผ่น x 14.13 กก. (แบบขยาย D01)</t>
        </is>
      </c>
    </row>
    <row r="44">
      <c r="A44" s="37" t="inlineStr">
        <is>
          <t>2.5.8</t>
        </is>
      </c>
      <c r="B44" s="39" t="inlineStr">
        <is>
          <t>เพิ่มใหม่</t>
        </is>
      </c>
      <c r="C44" s="37" t="inlineStr">
        <is>
          <t>แผ่นเหล็กหัวเสา (Top plate) PL 20x200x450 มม. ที่ +9.00 รับโครงถัก</t>
        </is>
      </c>
      <c r="D44" s="37" t="inlineStr">
        <is>
          <t>เพิ่ม: ผู้ว่าจ้างกำหนดเบื้องต้น ขนาดเดียวกับแผ่นฐาน 46 แผ่น</t>
        </is>
      </c>
    </row>
    <row r="45">
      <c r="A45" s="37" t="inlineStr">
        <is>
          <t>2.5.9</t>
        </is>
      </c>
      <c r="B45" s="39" t="inlineStr">
        <is>
          <t>เพิ่มใหม่</t>
        </is>
      </c>
      <c r="C45" s="37" t="inlineStr">
        <is>
          <t>Anchor bolt M20 ยาว 750 มม. ปลายงอ พร้อมแป้นเกลียว 2 ตัว แหวน และแบบจับตำแหน่ง (Template) ฝังในหัวเสา คสล.</t>
        </is>
      </c>
      <c r="D45" s="37" t="inlineStr">
        <is>
          <t>เพิ่ม: 6 ชุด/เสา x 46 ต้น (~2.01 กก./ชุด) ติดตั้งก่อนเทเสา คสล.</t>
        </is>
      </c>
    </row>
    <row r="46">
      <c r="A46" s="37" t="inlineStr">
        <is>
          <t>2.6.1</t>
        </is>
      </c>
      <c r="B46" s="39" t="inlineStr">
        <is>
          <t>เพิ่มใหม่</t>
        </is>
      </c>
      <c r="C46" s="37" t="inlineStr">
        <is>
          <t>เสาเหล็กชั้นลอย H250x250x66.5 กก./ม.</t>
        </is>
      </c>
      <c r="D46" s="37" t="inlineStr">
        <is>
          <t>เพิ่ม: S4.1 36 ต้น ยาว 100.80 ม.</t>
        </is>
      </c>
    </row>
    <row r="47">
      <c r="A47" s="37" t="inlineStr">
        <is>
          <t>2.6.2</t>
        </is>
      </c>
      <c r="B47" s="40" t="inlineStr">
        <is>
          <t>รอข้อมูล</t>
        </is>
      </c>
      <c r="C47" s="37" t="inlineStr">
        <is>
          <t>คานเหล็กชั้นลอย (หน้าตัดรอแบบ)</t>
        </is>
      </c>
      <c r="D47" s="37" t="inlineStr">
        <is>
          <t>เพิ่ม: ประมาณการ H200x100 ตารางคาน 3.00 ม.</t>
        </is>
      </c>
    </row>
    <row r="48">
      <c r="A48" s="37" t="inlineStr">
        <is>
          <t>2.6.3</t>
        </is>
      </c>
      <c r="B48" s="39" t="inlineStr">
        <is>
          <t>เพิ่มใหม่</t>
        </is>
      </c>
      <c r="C48" s="37" t="inlineStr">
        <is>
          <t>พื้นชั้นลอย F8 (Metal deck/พื้นสำเร็จ ตามแบบ)</t>
        </is>
      </c>
      <c r="D48" s="37" t="inlineStr">
        <is>
          <t>เพิ่ม: S6.1 306.15 ตร.ม.</t>
        </is>
      </c>
    </row>
    <row r="49">
      <c r="A49" s="37" t="inlineStr">
        <is>
          <t>2.6.4</t>
        </is>
      </c>
      <c r="B49" s="39" t="inlineStr">
        <is>
          <t>เพิ่มใหม่</t>
        </is>
      </c>
      <c r="C49" s="37" t="inlineStr">
        <is>
          <t>บันไดเหล็กขึ้นชั้นลอย กว้าง ~1.40 ม. พร้อมราวกันตก</t>
        </is>
      </c>
      <c r="D49" s="37" t="inlineStr">
        <is>
          <t>เพิ่ม: ตำแหน่ง DN แนวกริด D</t>
        </is>
      </c>
    </row>
    <row r="50">
      <c r="A50" s="37" t="inlineStr">
        <is>
          <t>2.6.5</t>
        </is>
      </c>
      <c r="B50" s="39" t="inlineStr">
        <is>
          <t>เพิ่มใหม่</t>
        </is>
      </c>
      <c r="C50" s="37" t="inlineStr">
        <is>
          <t>ราวกันตกเหล็กขอบชั้นลอยด้านเปิด สูง 1.10 ม.</t>
        </is>
      </c>
      <c r="D50" s="37" t="inlineStr">
        <is>
          <t>เพิ่ม: ขอบด้านเปิด 18 + 17 ม. หักช่องบันได 1.40 ม.</t>
        </is>
      </c>
    </row>
    <row r="51">
      <c r="A51" s="37" t="inlineStr">
        <is>
          <t>3.1.1</t>
        </is>
      </c>
      <c r="B51" s="39" t="inlineStr">
        <is>
          <t>เพิ่มใหม่</t>
        </is>
      </c>
      <c r="C51" s="37" t="inlineStr">
        <is>
          <t>หลังคาเมทัลชีทหนา 0.47 มม. พร้อมฉนวน PU 25 มม. (พื้นที่ตามลาด)</t>
        </is>
      </c>
      <c r="D51" s="37" t="inlineStr">
        <is>
          <t>เพิ่ม: จากโมเดล 2 ลาด 30.2 ม. x 55 ม. (สเปควัสดุรอยืนยัน)</t>
        </is>
      </c>
    </row>
    <row r="52">
      <c r="A52" s="37" t="inlineStr">
        <is>
          <t>3.1.2</t>
        </is>
      </c>
      <c r="B52" s="39" t="inlineStr">
        <is>
          <t>เพิ่มใหม่</t>
        </is>
      </c>
      <c r="C52" s="37" t="inlineStr">
        <is>
          <t>Jack roof กว้าง 6.00 ม. ยาว 42.00 ม. สัน +15.25 พร้อมตะแกรงระบายอากาศ</t>
        </is>
      </c>
      <c r="D52" s="37" t="inlineStr">
        <is>
          <t>เพิ่ม: A202</t>
        </is>
      </c>
    </row>
    <row r="53">
      <c r="A53" s="37" t="inlineStr">
        <is>
          <t>3.1.3</t>
        </is>
      </c>
      <c r="B53" s="39" t="inlineStr">
        <is>
          <t>เพิ่มใหม่</t>
        </is>
      </c>
      <c r="C53" s="37" t="inlineStr">
        <is>
          <t>ครอบสัน ครอบข้าง แผ่นปิดเชิงชาย Flashing</t>
        </is>
      </c>
      <c r="D53" s="37" t="inlineStr">
        <is>
          <t>เพิ่ม</t>
        </is>
      </c>
    </row>
    <row r="54">
      <c r="A54" s="37" t="inlineStr">
        <is>
          <t>3.1.4</t>
        </is>
      </c>
      <c r="B54" s="39" t="inlineStr">
        <is>
          <t>เพิ่มใหม่</t>
        </is>
      </c>
      <c r="C54" s="37" t="inlineStr">
        <is>
          <t>รางน้ำฝนเหล็กอาบสังกะสี 0.30x0.30 ม.</t>
        </is>
      </c>
      <c r="D54" s="37" t="inlineStr">
        <is>
          <t>เพิ่ม: ชายคาแนวกริด 1 และ 11</t>
        </is>
      </c>
    </row>
    <row r="55">
      <c r="A55" s="37" t="inlineStr">
        <is>
          <t>3.1.5</t>
        </is>
      </c>
      <c r="B55" s="40" t="inlineStr">
        <is>
          <t>รอข้อมูล</t>
        </is>
      </c>
      <c r="C55" s="37" t="inlineStr">
        <is>
          <t>ท่อระบายน้ำฝน PVC Ø4" พร้อมอุปกรณ์ยึด</t>
        </is>
      </c>
      <c r="D55" s="37" t="inlineStr">
        <is>
          <t>เพิ่ม: 10 จุด x 10 ม. (สมมติ)</t>
        </is>
      </c>
    </row>
    <row r="56">
      <c r="A56" s="37" t="inlineStr">
        <is>
          <t>3.1.6</t>
        </is>
      </c>
      <c r="B56" s="39" t="inlineStr">
        <is>
          <t>เพิ่มใหม่</t>
        </is>
      </c>
      <c r="C56" s="37" t="inlineStr">
        <is>
          <t>ผนังเมทัลชีท ระดับ +5.20 ถึงชายคา/จั่ว</t>
        </is>
      </c>
      <c r="D56" s="37" t="inlineStr">
        <is>
          <t>เพิ่ม: จากโมเดล ตาม A202</t>
        </is>
      </c>
    </row>
    <row r="57">
      <c r="A57" s="37" t="inlineStr">
        <is>
          <t>3.1.7</t>
        </is>
      </c>
      <c r="B57" s="40" t="inlineStr">
        <is>
          <t>รอข้อมูล</t>
        </is>
      </c>
      <c r="C57" s="37" t="inlineStr">
        <is>
          <t>ตะแกรงกันนก/ช่องระบายอากาศ ระดับ +4.50 ถึง +5.20 รอบอาคาร</t>
        </is>
      </c>
      <c r="D57" s="37" t="inlineStr">
        <is>
          <t>เพิ่ม: ช่องระหว่างผนังก่อกับเมทัลชีท (A202) หักประตูม้วน 12 ม.</t>
        </is>
      </c>
    </row>
    <row r="58">
      <c r="A58" s="37" t="inlineStr">
        <is>
          <t>3.2.1</t>
        </is>
      </c>
      <c r="B58" s="38" t="inlineStr">
        <is>
          <t>แก้ไข</t>
        </is>
      </c>
      <c r="C58" s="37" t="inlineStr">
        <is>
          <t>ผนังก่ออิฐมวลเบา หนา 0.15 ม. +0.50 ถึง +4.35 (ต่ำกว่าหัวเสา คสล. 0.15 ม.)</t>
        </is>
      </c>
      <c r="D58" s="37" t="inlineStr">
        <is>
          <t>แก้ไข: ผนัง 36 ช่วง ยาวสุทธิ 205.20 ม. x 3.85 ม. หักประตู D1 2 ช่อง, เสาเอ็น, คานเอ็น (ดูชีต 'ผนัง-รายละเอียด')</t>
        </is>
      </c>
    </row>
    <row r="59">
      <c r="A59" s="37" t="inlineStr">
        <is>
          <t>3.2.2</t>
        </is>
      </c>
      <c r="B59" s="38" t="inlineStr">
        <is>
          <t>แก้ไข</t>
        </is>
      </c>
      <c r="C59" s="37" t="inlineStr">
        <is>
          <t>ฉาบปูนผนังก่อ คานเอ็น คานทับหลัง และเสาเอ็น 2 ด้าน (+0.50 ถึง +4.50)</t>
        </is>
      </c>
      <c r="D59" s="37" t="inlineStr">
        <is>
          <t>แก้ไข: 205.20 ม. x 4.00 ม. x 2 ด้าน หักประตู D1</t>
        </is>
      </c>
    </row>
    <row r="60">
      <c r="A60" s="37" t="inlineStr">
        <is>
          <t>3.2.3</t>
        </is>
      </c>
      <c r="B60" s="39" t="inlineStr">
        <is>
          <t>เพิ่มใหม่</t>
        </is>
      </c>
      <c r="C60" s="37" t="inlineStr">
        <is>
          <t>คานทับหลัง คสล. 0.15x0.15 ม. ระดับ +4.35 ถึง +4.50 (คอนกรีต ไม้แบบ)</t>
        </is>
      </c>
      <c r="D60" s="37" t="inlineStr">
        <is>
          <t>เพิ่ม: ผู้ว่าจ้างกำหนด คอนกรีต 4.62 ลบ.ม. ไม้แบบ 61.56 ตร.ม.</t>
        </is>
      </c>
    </row>
    <row r="61">
      <c r="A61" s="37" t="inlineStr">
        <is>
          <t>3.2.4</t>
        </is>
      </c>
      <c r="B61" s="39" t="inlineStr">
        <is>
          <t>เพิ่มใหม่</t>
        </is>
      </c>
      <c r="C61" s="37" t="inlineStr">
        <is>
          <t>คานเอ็น คสล. 0.15x0.10 ม. ระดับหลังวงกบประตู +2.60 (คอนกรีต ไม้แบบ)</t>
        </is>
      </c>
      <c r="D61" s="37" t="inlineStr">
        <is>
          <t>เพิ่ม: ผนังสูง 3.85 ม. &gt; 3 ม. ต้องมีคานเอ็นกลางผนัง คอนกรีต 3.08 ลบ.ม. ไม้แบบ 41.04 ตร.ม.</t>
        </is>
      </c>
    </row>
    <row r="62">
      <c r="A62" s="37" t="inlineStr">
        <is>
          <t>3.2.5</t>
        </is>
      </c>
      <c r="B62" s="39" t="inlineStr">
        <is>
          <t>เพิ่มใหม่</t>
        </is>
      </c>
      <c r="C62" s="37" t="inlineStr">
        <is>
          <t>เสาเอ็น คสล. 0.15x0.10 ม. สูง 3.85 ม. (กลางช่วงเสา 6 ม. และข้างวงกบประตู)</t>
        </is>
      </c>
      <c r="D62" s="37" t="inlineStr">
        <is>
          <t>เพิ่ม: ยาวรวม 146.30 ม. คอนกรีต 2.19 ลบ.ม. ไม้แบบ 29.26 ตร.ม.</t>
        </is>
      </c>
    </row>
    <row r="63">
      <c r="A63" s="37" t="inlineStr">
        <is>
          <t>3.2.6</t>
        </is>
      </c>
      <c r="B63" s="40" t="inlineStr">
        <is>
          <t>รอข้อมูล</t>
        </is>
      </c>
      <c r="C63" s="37" t="inlineStr">
        <is>
          <t>เหล็กเสริมคานทับหลัง คานเอ็น เสาเอ็น</t>
        </is>
      </c>
      <c r="D63" s="37" t="inlineStr">
        <is>
          <t>รอเอกสารออกแบบเหล็กเสริม</t>
        </is>
      </c>
    </row>
    <row r="64">
      <c r="A64" s="37" t="inlineStr">
        <is>
          <t>3.2.7</t>
        </is>
      </c>
      <c r="B64" s="39" t="inlineStr">
        <is>
          <t>เพิ่มใหม่</t>
        </is>
      </c>
      <c r="C64" s="37" t="inlineStr">
        <is>
          <t>ฉาบปูนเสา คสล. C1/C2 ที่ผิวเปิด (+0.50 ถึง +4.50)</t>
        </is>
      </c>
      <c r="D64" s="37" t="inlineStr">
        <is>
          <t>เพิ่ม: เสาแนวผนัง 38 ต้น x 1.30 ม. + เสากลางอาคาร 8 ต้น x 1.60 ม. x สูง 4.00 ม.</t>
        </is>
      </c>
    </row>
    <row r="65">
      <c r="A65" s="37" t="inlineStr">
        <is>
          <t>3.2.8</t>
        </is>
      </c>
      <c r="B65" s="39" t="inlineStr">
        <is>
          <t>เพิ่มใหม่</t>
        </is>
      </c>
      <c r="C65" s="37" t="inlineStr">
        <is>
          <t>จับเซี้ยมมุมเสา คสล. มุมผนัง ขอบคานทับหลัง และขอบช่องประตู ก่อนฉาบเสาและผนัง</t>
        </is>
      </c>
      <c r="D65" s="37" t="inlineStr">
        <is>
          <t>เพิ่ม: มุมเสาแนวผนัง 608.0 + มุมเสากลางอาคาร 128.0 + ขอบบนคานทับหลัง 2 ด้าน 410.4 + ขอบช่องประตู D1 20.8 ม.</t>
        </is>
      </c>
    </row>
    <row r="66">
      <c r="A66" s="37" t="inlineStr">
        <is>
          <t>3.3.1</t>
        </is>
      </c>
      <c r="B66" s="38" t="inlineStr">
        <is>
          <t>แก้ไข</t>
        </is>
      </c>
      <c r="C66" s="37" t="inlineStr">
        <is>
          <t>พื้นขัดมันผสม Floor Hardener</t>
        </is>
      </c>
      <c r="D66" s="37" t="inlineStr">
        <is>
          <t>เดิม 3,240 → พื้นที่ S1 (S6.1)</t>
        </is>
      </c>
    </row>
    <row r="67">
      <c r="A67" s="37" t="inlineStr">
        <is>
          <t>3.4.1</t>
        </is>
      </c>
      <c r="B67" s="40" t="inlineStr">
        <is>
          <t>รอข้อมูล</t>
        </is>
      </c>
      <c r="C67" s="37" t="inlineStr">
        <is>
          <t>ประตูม้วนเหล็กไฟฟ้า ~6.00x4.00 ม. ทางลาดขนส่ง</t>
        </is>
      </c>
      <c r="D67" s="37" t="inlineStr">
        <is>
          <t>เพิ่ม: ตำแหน่งตาม A101 ขนาดรอยืนยัน</t>
        </is>
      </c>
    </row>
    <row r="68">
      <c r="A68" s="37" t="inlineStr">
        <is>
          <t>3.4.2</t>
        </is>
      </c>
      <c r="B68" s="40" t="inlineStr">
        <is>
          <t>รอข้อมูล</t>
        </is>
      </c>
      <c r="C68" s="37" t="inlineStr">
        <is>
          <t>ประตู D1/D2/D4 และหน้าต่าง ตามแบบ A101</t>
        </is>
      </c>
      <c r="D68" s="37" t="inlineStr">
        <is>
          <t>เพิ่ม: รอตารางประตู-หน้าต่าง</t>
        </is>
      </c>
    </row>
    <row r="69">
      <c r="A69" s="37" t="inlineStr">
        <is>
          <t>3.5.1</t>
        </is>
      </c>
      <c r="B69" s="39" t="inlineStr">
        <is>
          <t>เพิ่มใหม่</t>
        </is>
      </c>
      <c r="C69" s="37" t="inlineStr">
        <is>
          <t>ทาสีผนังและเสา ภายใน-ภายนอก (รองพื้น + ทับหน้า 2 เที่ยว)</t>
        </is>
      </c>
      <c r="D69" s="37" t="inlineStr">
        <is>
          <t>แก้ไข: เท่ากับพื้นที่ฉาบ 3.2.2 + 3.2.7</t>
        </is>
      </c>
    </row>
    <row r="70">
      <c r="A70" s="37" t="inlineStr">
        <is>
          <t>3.6.1</t>
        </is>
      </c>
      <c r="B70" s="39" t="inlineStr">
        <is>
          <t>เพิ่มใหม่</t>
        </is>
      </c>
      <c r="C70" s="37" t="inlineStr">
        <is>
          <t>ห้อง MDB 17.79 ตร.ม. (ผนัง ประตูกันไฟ พื้น ฝ้า)</t>
        </is>
      </c>
      <c r="D70" s="37" t="inlineStr">
        <is>
          <t>เพิ่ม: A101</t>
        </is>
      </c>
    </row>
    <row r="71">
      <c r="A71" s="37" t="inlineStr">
        <is>
          <t>3.6.2</t>
        </is>
      </c>
      <c r="B71" s="39" t="inlineStr">
        <is>
          <t>เพิ่มใหม่</t>
        </is>
      </c>
      <c r="C71" s="37" t="inlineStr">
        <is>
          <t>ห้องเก็บสารเคมี (Chemical Drum Storage) 4.00x6.00 ม. พื้น +0.40 ผนัง W2 สูงถึง +3.30 จันทันเหล็ก C100x50x20x2.3 พร้อมขอบกั้นรั่วไหล</t>
        </is>
      </c>
      <c r="D71" s="37" t="inlineStr">
        <is>
          <t>แบบ A103 (พื้น +0.40 และเสากลางผนังที่ y=3.0 ม. ไม่ตรงกับ S201/S6.1 ยืนยัน)</t>
        </is>
      </c>
    </row>
    <row r="72">
      <c r="A72" s="37" t="inlineStr">
        <is>
          <t>3.6.3</t>
        </is>
      </c>
      <c r="B72" s="40" t="inlineStr">
        <is>
          <t>รอข้อมูล</t>
        </is>
      </c>
      <c r="C72" s="37" t="inlineStr">
        <is>
          <t>อาคารห้องน้ำ 2.40 x 8.00 ม. (สุขภัณฑ์ กระเบื้อง ระบบสุขาภิบาลภายใน)</t>
        </is>
      </c>
      <c r="D72" s="37" t="inlineStr">
        <is>
          <t>เพิ่ม: A101/S201 รอแบบสถาปัตย์</t>
        </is>
      </c>
    </row>
    <row r="73">
      <c r="A73" s="37" t="inlineStr">
        <is>
          <t>3.6.4</t>
        </is>
      </c>
      <c r="B73" s="40" t="inlineStr">
        <is>
          <t>รอข้อมูล</t>
        </is>
      </c>
      <c r="C73" s="37" t="inlineStr">
        <is>
          <t>ห้องประกอบแนวกริด A (กริด 8-10)</t>
        </is>
      </c>
      <c r="D73" s="37" t="inlineStr">
        <is>
          <t>เพิ่ม: เห็นในผัง A101 รอแบบ</t>
        </is>
      </c>
    </row>
    <row r="74">
      <c r="A74" s="37" t="inlineStr">
        <is>
          <t>3.6.5</t>
        </is>
      </c>
      <c r="B74" s="39" t="inlineStr">
        <is>
          <t>เพิ่มใหม่</t>
        </is>
      </c>
      <c r="C74" s="37" t="inlineStr">
        <is>
          <t>บันได/ชานพัก คสล. หน้าประตู D1 ภายนอก (พื้น +0.50 ถนน ±0.00)</t>
        </is>
      </c>
      <c r="D74" s="37" t="inlineStr">
        <is>
          <t>เพิ่ม: ประตู D1 ผนังแนวกริด 1 และ 11 (A101) ระดับต่างกัน 0.50 ม.</t>
        </is>
      </c>
    </row>
    <row r="75">
      <c r="A75" s="37" t="inlineStr">
        <is>
          <t>4.1.1</t>
        </is>
      </c>
      <c r="B75" s="39" t="inlineStr">
        <is>
          <t>เพิ่มใหม่</t>
        </is>
      </c>
      <c r="C75" s="37" t="inlineStr">
        <is>
          <t>เสาเข็มตอก I-220x220 ยาว 22 ม. รับพื้นถนนรอบอาคาร (I22-22) รวมค่าตอก</t>
        </is>
      </c>
      <c r="D75" s="37" t="inlineStr">
        <is>
          <t>กลุ่มเข็มถนน: ผู้ว่าจ้างยืนยัน 249 ต้น (ผัง S201/S202 แสดงตำแหน่ง 232 ต้น ขอตำแหน่งอีก 17 ต้นจากผู้ออกแบบ)</t>
        </is>
      </c>
    </row>
    <row r="76">
      <c r="A76" s="37" t="inlineStr">
        <is>
          <t>4.1.2</t>
        </is>
      </c>
      <c r="B76" s="39" t="inlineStr">
        <is>
          <t>เพิ่มใหม่</t>
        </is>
      </c>
      <c r="C76" s="37" t="inlineStr">
        <is>
          <t>ฐาน F1A 0.60x0.60x0.30 ม. รับพื้นถนน</t>
        </is>
      </c>
      <c r="D76" s="37" t="inlineStr">
        <is>
          <t>ตามเข็มถนน 249 ต้น คอนกรีต 26.78, ทราย 35.86, คอนกรีตหยาบ 6.10 ลบ.ม. (S1.1)</t>
        </is>
      </c>
    </row>
    <row r="77">
      <c r="A77" s="37" t="inlineStr">
        <is>
          <t>4.1.3</t>
        </is>
      </c>
      <c r="B77" s="39" t="inlineStr">
        <is>
          <t>เพิ่มใหม่</t>
        </is>
      </c>
      <c r="C77" s="37" t="inlineStr">
        <is>
          <t>พื้นถนน S2 คสล. หนา 0.15 ม. TOP ±0.00 พร้อมรอยต่อ/ตัดรอยต่อ</t>
        </is>
      </c>
      <c r="D77" s="37" t="inlineStr">
        <is>
          <t>คอนกรีต 366.10 ลบ.ม. (S6.1)</t>
        </is>
      </c>
    </row>
    <row r="78">
      <c r="A78" s="37" t="inlineStr">
        <is>
          <t>4.1.4</t>
        </is>
      </c>
      <c r="B78" s="39" t="inlineStr">
        <is>
          <t>เพิ่มใหม่</t>
        </is>
      </c>
      <c r="C78" s="37" t="inlineStr">
        <is>
          <t>พื้น AF01 / SF02 ระดับถนน</t>
        </is>
      </c>
      <c r="D78" s="37" t="inlineStr">
        <is>
          <t>AF01 16.88 + SF02 93.26 ตร.ม. คอนกรีต 25.76 ลบ.ม. (S6.1)</t>
        </is>
      </c>
    </row>
    <row r="79">
      <c r="A79" s="37" t="inlineStr">
        <is>
          <t>4.1.5</t>
        </is>
      </c>
      <c r="B79" s="40" t="inlineStr">
        <is>
          <t>รอข้อมูล</t>
        </is>
      </c>
      <c r="C79" s="37" t="inlineStr">
        <is>
          <t>ทราย/หินคลุกรองใต้พื้นถนน S2 หนา 0.10 ม. บดอัด</t>
        </is>
      </c>
      <c r="D79" s="37" t="inlineStr">
        <is>
          <t>เพิ่ม: 2,440.69 ตร.ม. x 0.10 ม. (ความหนาสมมติ รอแบบ)</t>
        </is>
      </c>
    </row>
    <row r="80">
      <c r="A80" s="37" t="inlineStr">
        <is>
          <t>4.1.6</t>
        </is>
      </c>
      <c r="B80" s="40" t="inlineStr">
        <is>
          <t>รอข้อมูล</t>
        </is>
      </c>
      <c r="C80" s="37" t="inlineStr">
        <is>
          <t>เหล็กเสริม/ตะแกรงเหล็ก พื้นถนน และฐาน F1A</t>
        </is>
      </c>
      <c r="D80" s="37" t="inlineStr">
        <is>
          <t>รอเอกสารออกแบบเหล็กเสริม</t>
        </is>
      </c>
    </row>
    <row r="81">
      <c r="A81" s="37" t="inlineStr">
        <is>
          <t>4.2.1</t>
        </is>
      </c>
      <c r="B81" s="39" t="inlineStr">
        <is>
          <t>เพิ่มใหม่</t>
        </is>
      </c>
      <c r="C81" s="37" t="inlineStr">
        <is>
          <t>ทางลาดขนส่ง คสล. กว้าง 6.00 ม. (ด้านเหนือแนวกริด 5-6 และด้านใต้แนวกริด 7-8)</t>
        </is>
      </c>
      <c r="D81" s="37" t="inlineStr">
        <is>
          <t>A101/S202 ขนาดวัดจากผัง</t>
        </is>
      </c>
    </row>
    <row r="82">
      <c r="A82" s="37" t="inlineStr">
        <is>
          <t>4.3.1</t>
        </is>
      </c>
      <c r="B82" s="40" t="inlineStr">
        <is>
          <t>รอข้อมูล</t>
        </is>
      </c>
      <c r="C82" s="37" t="inlineStr">
        <is>
          <t>เสาเข็มตอก I-220x220 ยาว 22 ม. รับฐานหม้อแปลง (I22-TR) รวมค่าตอก</t>
        </is>
      </c>
      <c r="D82" s="37" t="inlineStr">
        <is>
          <t>S2 / S201 = 6 ต้น; A104 แสดง 3x3 = 9 ต้น (ยืนยัน)</t>
        </is>
      </c>
    </row>
    <row r="83">
      <c r="A83" s="37" t="inlineStr">
        <is>
          <t>4.3.2</t>
        </is>
      </c>
      <c r="B83" s="38" t="inlineStr">
        <is>
          <t>แก้ไข</t>
        </is>
      </c>
      <c r="C83" s="37" t="inlineStr">
        <is>
          <t>แท่นหม้อแปลง 750 kVA คสล.: ฐาน 5.00x3.00x0.40 ม. + แท่น 3.50x1.75x0.15 ม. (A104)</t>
        </is>
      </c>
      <c r="D83" s="37" t="inlineStr">
        <is>
          <t>แบบ A104: คอนกรีต 6.00 + 0.92 ลบ.ม. ไม้แบบ 7.98 ตร.ม.; A104 แสดงเข็ม 9 ต้น แต่ S201 แสดง 6 ต้น (ยืนยัน)</t>
        </is>
      </c>
    </row>
    <row r="84">
      <c r="A84" s="37" t="inlineStr">
        <is>
          <t>4.4.1</t>
        </is>
      </c>
      <c r="B84" s="39" t="inlineStr">
        <is>
          <t>เพิ่มใหม่</t>
        </is>
      </c>
      <c r="C84" s="37" t="inlineStr">
        <is>
          <t>ขุดดินถังเก็บน้ำใต้ดิน ~12.12 x 6.63 ม. ลึก 3.00 ม. และขนทิ้ง</t>
        </is>
      </c>
      <c r="D84" s="37" t="inlineStr">
        <is>
          <t>เพิ่ม: ขนาดจากเวกเตอร์ S201/S202 ลึกจาก ±0.00 ถึงใต้คอนกรีตหยาบ -3.00</t>
        </is>
      </c>
    </row>
    <row r="85">
      <c r="A85" s="37" t="inlineStr">
        <is>
          <t>4.4.2</t>
        </is>
      </c>
      <c r="B85" s="39" t="inlineStr">
        <is>
          <t>เพิ่มใหม่</t>
        </is>
      </c>
      <c r="C85" s="37" t="inlineStr">
        <is>
          <t>พื้นถังเก็บน้ำใต้ดิน คสล. หนา 0.25 ม. (TF -2.60 / BF -2.85) พร้อมคอนกรีตหยาบ/ทราย</t>
        </is>
      </c>
      <c r="D85" s="37" t="inlineStr">
        <is>
          <t>เพิ่ม: 12.12 x 6.63 ม. คอนกรีต 20.09 ลบ.ม. (S202)</t>
        </is>
      </c>
    </row>
    <row r="86">
      <c r="A86" s="37" t="inlineStr">
        <is>
          <t>4.4.3</t>
        </is>
      </c>
      <c r="B86" s="40" t="inlineStr">
        <is>
          <t>รอข้อมูล</t>
        </is>
      </c>
      <c r="C86" s="37" t="inlineStr">
        <is>
          <t>ผนัง ฝา ช่องเปิด บ่อพัก บันไดลิง และกันซึม ถังเก็บน้ำใต้ดิน</t>
        </is>
      </c>
      <c r="D86" s="37" t="inlineStr">
        <is>
          <t>รอแบบขยาย (S202 แสดงเฉพาะพื้นถัง)</t>
        </is>
      </c>
    </row>
    <row r="87">
      <c r="A87" s="37" t="inlineStr">
        <is>
          <t>4.4.4</t>
        </is>
      </c>
      <c r="B87" s="40" t="inlineStr">
        <is>
          <t>รอข้อมูล</t>
        </is>
      </c>
      <c r="C87" s="37" t="inlineStr">
        <is>
          <t>เหล็กเสริมถังเก็บน้ำใต้ดิน</t>
        </is>
      </c>
      <c r="D87" s="37" t="inlineStr">
        <is>
          <t>รอเอกสารออกแบบเหล็กเสริม</t>
        </is>
      </c>
    </row>
    <row r="88">
      <c r="A88" s="37" t="inlineStr">
        <is>
          <t>4.5.1</t>
        </is>
      </c>
      <c r="B88" s="40" t="inlineStr">
        <is>
          <t>รอข้อมูล</t>
        </is>
      </c>
      <c r="C88" s="37" t="inlineStr">
        <is>
          <t>รางระบายน้ำ คสล. พร้อมฝาปิด ตามแนวเขตที่ดิน</t>
        </is>
      </c>
      <c r="D88" s="37" t="inlineStr">
        <is>
          <t>A101 ขนาดรางรอแบบขยาย</t>
        </is>
      </c>
    </row>
    <row r="89">
      <c r="A89" s="37" t="inlineStr">
        <is>
          <t>4.5.2</t>
        </is>
      </c>
      <c r="B89" s="40" t="inlineStr">
        <is>
          <t>รอข้อมูล</t>
        </is>
      </c>
      <c r="C89" s="37" t="inlineStr">
        <is>
          <t>บ่อพัก/บ่อบำบัด และจุดเชื่อมท่อระบายสาธารณะ</t>
        </is>
      </c>
      <c r="D89" s="37" t="inlineStr">
        <is>
          <t>รอแบบ</t>
        </is>
      </c>
    </row>
    <row r="90">
      <c r="A90" s="37" t="inlineStr">
        <is>
          <t>4.5.3</t>
        </is>
      </c>
      <c r="B90" s="39" t="inlineStr">
        <is>
          <t>เพิ่มใหม่</t>
        </is>
      </c>
      <c r="C90" s="37" t="inlineStr">
        <is>
          <t>ท่อระบายน้ำฝนใต้ดิน PVC Ø4" จากท่อลงถึงรางระบายน้ำ</t>
        </is>
      </c>
      <c r="D90" s="37" t="inlineStr">
        <is>
          <t>เพิ่ม: ท่อลง 10 จุด (3.1.5)</t>
        </is>
      </c>
    </row>
    <row r="91">
      <c r="A91" s="37" t="inlineStr">
        <is>
          <t>4.6.1</t>
        </is>
      </c>
      <c r="B91" s="40" t="inlineStr">
        <is>
          <t>รอข้อมูล</t>
        </is>
      </c>
      <c r="C91" s="37" t="inlineStr">
        <is>
          <t>เสาเข็ม I-260x260 + ฐาน 0.66x0.66 ม. แนวเขตที่ดินด้านใต้และตะวันออก (ไม่มีใน BOQ/ตาราง S2)</t>
        </is>
      </c>
      <c r="D91" s="37" t="inlineStr">
        <is>
          <t>พบในผัง S201 16 จุด ยังไม่ทราบหน้าที่ (เสารั้ว/เสาไฟ/ป้าย?) สอบถามผู้ออกแบบ</t>
        </is>
      </c>
    </row>
    <row r="92">
      <c r="A92" s="37" t="inlineStr">
        <is>
          <t>4.6.2</t>
        </is>
      </c>
      <c r="B92" s="40" t="inlineStr">
        <is>
          <t>รอข้อมูล</t>
        </is>
      </c>
      <c r="C92" s="37" t="inlineStr">
        <is>
          <t>รั้วถาวร / ประตูทางเข้าโครงการ</t>
        </is>
      </c>
      <c r="D92" s="37" t="inlineStr">
        <is>
          <t>ไม่มีในแบบ ยืนยันว่าอยู่ในขอบเขตหรือไม่</t>
        </is>
      </c>
    </row>
    <row r="93">
      <c r="A93" s="37" t="inlineStr">
        <is>
          <t>5.1.1</t>
        </is>
      </c>
      <c r="B93" s="40" t="inlineStr">
        <is>
          <t>รอข้อมูล</t>
        </is>
      </c>
      <c r="C93" s="37" t="inlineStr">
        <is>
          <t>ระบบไฟฟ้าแสงสว่างและเต้ารับภายในอาคารโกดัง 3,240 ตร.ม. และไฟส่องสว่างภายนอก</t>
        </is>
      </c>
      <c r="D93" s="37" t="inlineStr">
        <is>
          <t>เพิ่ม: Provisional sum</t>
        </is>
      </c>
    </row>
    <row r="94">
      <c r="A94" s="37" t="inlineStr">
        <is>
          <t>5.1.2</t>
        </is>
      </c>
      <c r="B94" s="40" t="inlineStr">
        <is>
          <t>รอข้อมูล</t>
        </is>
      </c>
      <c r="C94" s="37" t="inlineStr">
        <is>
          <t>สายเมนและท่อร้อยสายใต้ดินจากหม้อแปลงถึงห้อง MDB</t>
        </is>
      </c>
      <c r="D94" s="37" t="inlineStr">
        <is>
          <t>เพิ่ม: Provisional sum (ระยะประมาณ 10 ม.)</t>
        </is>
      </c>
    </row>
    <row r="95">
      <c r="A95" s="37" t="inlineStr">
        <is>
          <t>5.1.3</t>
        </is>
      </c>
      <c r="B95" s="40" t="inlineStr">
        <is>
          <t>รอข้อมูล</t>
        </is>
      </c>
      <c r="C95" s="37" t="inlineStr">
        <is>
          <t>ระบบป้องกันฟ้าผ่าและสายดิน อาคารสูง +15.25 ม.</t>
        </is>
      </c>
      <c r="D95" s="37" t="inlineStr">
        <is>
          <t>เพิ่ม: Provisional sum</t>
        </is>
      </c>
    </row>
    <row r="96">
      <c r="A96" s="37" t="inlineStr">
        <is>
          <t>5.1.4</t>
        </is>
      </c>
      <c r="B96" s="40" t="inlineStr">
        <is>
          <t>รอข้อมูล</t>
        </is>
      </c>
      <c r="C96" s="37" t="inlineStr">
        <is>
          <t>ระบบสุขาภิบาลและถังบำบัดน้ำเสียสำเร็จรูป อาคารห้องน้ำ</t>
        </is>
      </c>
      <c r="D96" s="37" t="inlineStr">
        <is>
          <t>เพิ่ม: Provisional sum</t>
        </is>
      </c>
    </row>
    <row r="97">
      <c r="A97" s="37" t="inlineStr">
        <is>
          <t>5.1.5</t>
        </is>
      </c>
      <c r="B97" s="40" t="inlineStr">
        <is>
          <t>รอข้อมูล</t>
        </is>
      </c>
      <c r="C97" s="37" t="inlineStr">
        <is>
          <t>ระบบน้ำประปา ปั๊มน้ำ และท่อจากถังเก็บน้ำใต้ดิน</t>
        </is>
      </c>
      <c r="D97" s="37" t="inlineStr">
        <is>
          <t>เพิ่ม: Provisional sum</t>
        </is>
      </c>
    </row>
    <row r="98">
      <c r="A98" s="37" t="inlineStr">
        <is>
          <t>5.1.6</t>
        </is>
      </c>
      <c r="B98" s="40" t="inlineStr">
        <is>
          <t>รอข้อมูล</t>
        </is>
      </c>
      <c r="C98" s="37" t="inlineStr">
        <is>
          <t>อุปกรณ์ดับเพลิง ป้ายทางออก ไฟฉุกเฉิน และระบบแจ้งเหตุเพลิงไหม้</t>
        </is>
      </c>
      <c r="D98" s="37" t="inlineStr">
        <is>
          <t>เพิ่ม: Provisional sum</t>
        </is>
      </c>
    </row>
    <row r="99">
      <c r="A99" s="37" t="n"/>
      <c r="B99" s="37" t="n"/>
      <c r="C99" s="37" t="n"/>
      <c r="D99" s="37" t="n"/>
    </row>
    <row r="100">
      <c r="A100" s="37" t="inlineStr"/>
      <c r="B100" s="41" t="inlineStr">
        <is>
          <t>ข้อสังเกต</t>
        </is>
      </c>
      <c r="C100" s="37" t="inlineStr"/>
      <c r="D100" s="37" t="inlineStr"/>
    </row>
    <row r="101">
      <c r="A101" s="37" t="inlineStr"/>
      <c r="B101" s="37" t="inlineStr">
        <is>
          <t>ขอบเขต</t>
        </is>
      </c>
      <c r="C101" s="37" t="inlineStr">
        <is>
          <t>งานระบบไฟฟ้า ประปา สุขาภิบาล ดับเพลิง (MEP) ไม่มีแบบ เสนอเป็นเงินสำรองในหมวด 5 ให้ผู้ว่าจ้างยืนยันขอบเขตก่อนสรุปราคา</t>
        </is>
      </c>
      <c r="D101" s="37" t="inlineStr"/>
    </row>
    <row r="102">
      <c r="A102" s="37" t="inlineStr"/>
      <c r="B102" s="37" t="inlineStr">
        <is>
          <t>แบบ</t>
        </is>
      </c>
      <c r="C102" s="37" t="inlineStr">
        <is>
          <t>กรอบชื่อแบบทุกแผ่นระบุ 'แบบก่อสร้างบ้านพักอาศัย คสล 1 ชั้น' และ Date 03/31/22 ควรแก้ก่อนแนบประกอบใบเสนอราคา</t>
        </is>
      </c>
      <c r="D102" s="37" t="inlineStr"/>
    </row>
    <row r="103">
      <c r="A103" s="37" t="inlineStr"/>
      <c r="B103" s="37" t="inlineStr">
        <is>
          <t>แบบ</t>
        </is>
      </c>
      <c r="C103" s="37" t="inlineStr">
        <is>
          <t>แบบไม่มีลูกศรทิศเหนือ ผู้ว่าจ้างยืนยันให้ด้านแนวกริด A เป็นทิศเหนือสำหรับทำแบบ</t>
        </is>
      </c>
      <c r="D103" s="37" t="inlineStr"/>
    </row>
    <row r="104">
      <c r="A104" s="37" t="inlineStr"/>
      <c r="B104" s="37" t="inlineStr">
        <is>
          <t>แบบ</t>
        </is>
      </c>
      <c r="C104" s="37" t="inlineStr">
        <is>
          <t>ตาราง S2 นับเข็ม 737 ต้น แต่ผัง S201 นับได้ 734 ต้น (+16 ต้นใต้ฐาน 0.66 ม. ที่ไม่อยู่ในตาราง) และ F2P ผู้ว่าจ้างยืนยัน 46 ฐาน (ตาราง S1.1 นับ 47 ผิด เสาเหล็ก H250x175 จึงเป็น 46 ต้น)</t>
        </is>
      </c>
      <c r="D104" s="37" t="inlineStr"/>
    </row>
    <row r="105">
      <c r="A105" s="37" t="inlineStr"/>
      <c r="B105" s="37" t="inlineStr">
        <is>
          <t>เหล็กเสริม</t>
        </is>
      </c>
      <c r="C105" s="37" t="inlineStr">
        <is>
          <t>เหล็กเสริม คสล. ทุกรายการรอเอกสารการออกแบบเหล็กเสริมจากผู้ออกแบบ ตัวเลขในหมายเหตุเป็นค่าอ้างอิงเท่านั้น ไม่ใช้เป็นปริมาณ</t>
        </is>
      </c>
      <c r="D105" s="37" t="inlineStr"/>
    </row>
    <row r="106">
      <c r="A106" s="37" t="inlineStr"/>
      <c r="B106" s="37" t="inlineStr">
        <is>
          <t>โครงหลังคา</t>
        </is>
      </c>
      <c r="C106" s="37" t="inlineStr">
        <is>
          <t>ยังไม่มีแบบโครงสร้างหลังคา น้ำหนักเหล็กโครงถัก/แป/ค้ำยันเป็นค่าประมาณจากโมเดล BIM</t>
        </is>
      </c>
      <c r="D106" s="37" t="inlineStr"/>
    </row>
    <row r="107">
      <c r="A107" s="37" t="inlineStr"/>
      <c r="B107" s="37" t="inlineStr">
        <is>
          <t>ดินถม</t>
        </is>
      </c>
      <c r="C107" s="37" t="inlineStr">
        <is>
          <t>ผู้ว่าจ้างยืนยัน 27/10/69: ดินเดิมอยู่ที่ ±0.00 (ระดับถนนรอบอาคาร) ระดับ -1.50 คือถนนสาธารณะ คิด BOQ ถมหนา 0.30 ม. ปริมาณจริงเบิกตามผลสำรวจระดับ P1.2</t>
        </is>
      </c>
      <c r="D107" s="3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9" customWidth="1" min="3" max="3"/>
    <col width="9" customWidth="1" min="4" max="4"/>
    <col width="10" customWidth="1" min="5" max="5"/>
    <col width="11" customWidth="1" min="6" max="6"/>
    <col width="12" customWidth="1" min="7" max="7"/>
    <col width="12" customWidth="1" min="8" max="8"/>
    <col width="13" customWidth="1" min="9" max="9"/>
    <col width="11" customWidth="1" min="10" max="10"/>
    <col width="13" customWidth="1" min="11" max="11"/>
    <col width="14" customWidth="1" min="12" max="12"/>
    <col width="14" customWidth="1" min="13" max="13"/>
  </cols>
  <sheetData>
    <row r="1">
      <c r="A1" s="1" t="inlineStr">
        <is>
          <t>รายละเอียดผนังก่อ เสาเอ็น คานเอ็น และจับเซี้ยม แยกตามผนัง (ผนังสูง +0.50 ถึง +4.35, คานทับหลัง +4.35 ถึง +4.50)</t>
        </is>
      </c>
    </row>
    <row r="2">
      <c r="A2" s="42" t="inlineStr">
        <is>
          <t>ผนัง</t>
        </is>
      </c>
      <c r="B2" s="42" t="inlineStr">
        <is>
          <t>ความยาวสุทธิ (ม.)</t>
        </is>
      </c>
      <c r="C2" s="42" t="inlineStr">
        <is>
          <t>ประตูม้วน</t>
        </is>
      </c>
      <c r="D2" s="42" t="inlineStr">
        <is>
          <t>ประตู D1</t>
        </is>
      </c>
      <c r="E2" s="42" t="inlineStr">
        <is>
          <t>เสาเอ็น (ต้น)</t>
        </is>
      </c>
      <c r="F2" s="42" t="inlineStr">
        <is>
          <t>คานเอ็น (ม.)</t>
        </is>
      </c>
      <c r="G2" s="42" t="inlineStr">
        <is>
          <t>คานทับหลัง (ม.)</t>
        </is>
      </c>
      <c r="H2" s="42" t="inlineStr">
        <is>
          <t>ผนังก่อ (ตร.ม.)</t>
        </is>
      </c>
      <c r="I2" s="42" t="inlineStr">
        <is>
          <t>ฉาบ 2 ด้าน (ตร.ม.)</t>
        </is>
      </c>
      <c r="J2" s="42" t="inlineStr">
        <is>
          <t>เสา คสล. แนวผนัง</t>
        </is>
      </c>
      <c r="K2" s="42" t="inlineStr">
        <is>
          <t>จับเซี้ยมมุมเสา (ม.)</t>
        </is>
      </c>
      <c r="L2" s="42" t="inlineStr">
        <is>
          <t>จับเซี้ยมขอบทับหลัง (ม.)</t>
        </is>
      </c>
      <c r="M2" s="42" t="inlineStr">
        <is>
          <t>จับเซี้ยมช่องประตู (ม.)</t>
        </is>
      </c>
    </row>
    <row r="3">
      <c r="A3" s="43" t="inlineStr">
        <is>
          <t>แนวกริด A</t>
        </is>
      </c>
      <c r="B3" s="43" t="n">
        <v>51.3</v>
      </c>
      <c r="C3" s="43" t="n">
        <v>1</v>
      </c>
      <c r="D3" s="43" t="n">
        <v>0</v>
      </c>
      <c r="E3" s="43" t="n">
        <v>9</v>
      </c>
      <c r="F3" s="43" t="n">
        <v>51.3</v>
      </c>
      <c r="G3" s="43" t="n">
        <v>51.3</v>
      </c>
      <c r="H3" s="43" t="n">
        <v>188.91</v>
      </c>
      <c r="I3" s="43" t="n">
        <v>410.4</v>
      </c>
      <c r="J3" s="43" t="n">
        <v>11</v>
      </c>
      <c r="K3" s="43" t="n">
        <v>176</v>
      </c>
      <c r="L3" s="43" t="n">
        <v>102.6</v>
      </c>
      <c r="M3" s="43" t="n">
        <v>0</v>
      </c>
    </row>
    <row r="4">
      <c r="A4" s="43" t="inlineStr">
        <is>
          <t>แนวกริด J</t>
        </is>
      </c>
      <c r="B4" s="43" t="n">
        <v>51.3</v>
      </c>
      <c r="C4" s="43" t="n">
        <v>1</v>
      </c>
      <c r="D4" s="43" t="n">
        <v>0</v>
      </c>
      <c r="E4" s="43" t="n">
        <v>9</v>
      </c>
      <c r="F4" s="43" t="n">
        <v>51.3</v>
      </c>
      <c r="G4" s="43" t="n">
        <v>51.3</v>
      </c>
      <c r="H4" s="43" t="n">
        <v>188.91</v>
      </c>
      <c r="I4" s="43" t="n">
        <v>410.4</v>
      </c>
      <c r="J4" s="43" t="n">
        <v>11</v>
      </c>
      <c r="K4" s="43" t="n">
        <v>176</v>
      </c>
      <c r="L4" s="43" t="n">
        <v>102.6</v>
      </c>
      <c r="M4" s="43" t="n">
        <v>0</v>
      </c>
    </row>
    <row r="5">
      <c r="A5" s="43" t="inlineStr">
        <is>
          <t>แนวกริด 1</t>
        </is>
      </c>
      <c r="B5" s="43" t="n">
        <v>51.3</v>
      </c>
      <c r="C5" s="43" t="n">
        <v>0</v>
      </c>
      <c r="D5" s="43" t="n">
        <v>1</v>
      </c>
      <c r="E5" s="43" t="n">
        <v>10</v>
      </c>
      <c r="F5" s="43" t="n">
        <v>51.3</v>
      </c>
      <c r="G5" s="43" t="n">
        <v>51.3</v>
      </c>
      <c r="H5" s="43" t="n">
        <v>186.43</v>
      </c>
      <c r="I5" s="43" t="n">
        <v>406.2</v>
      </c>
      <c r="J5" s="43" t="n">
        <v>8</v>
      </c>
      <c r="K5" s="43" t="n">
        <v>128</v>
      </c>
      <c r="L5" s="43" t="n">
        <v>102.6</v>
      </c>
      <c r="M5" s="43" t="n">
        <v>10.4</v>
      </c>
    </row>
    <row r="6">
      <c r="A6" s="43" t="inlineStr">
        <is>
          <t>แนวกริด 11</t>
        </is>
      </c>
      <c r="B6" s="43" t="n">
        <v>51.3</v>
      </c>
      <c r="C6" s="43" t="n">
        <v>0</v>
      </c>
      <c r="D6" s="43" t="n">
        <v>1</v>
      </c>
      <c r="E6" s="43" t="n">
        <v>10</v>
      </c>
      <c r="F6" s="43" t="n">
        <v>51.3</v>
      </c>
      <c r="G6" s="43" t="n">
        <v>51.3</v>
      </c>
      <c r="H6" s="43" t="n">
        <v>186.43</v>
      </c>
      <c r="I6" s="43" t="n">
        <v>406.2</v>
      </c>
      <c r="J6" s="43" t="n">
        <v>8</v>
      </c>
      <c r="K6" s="43" t="n">
        <v>128</v>
      </c>
      <c r="L6" s="43" t="n">
        <v>102.6</v>
      </c>
      <c r="M6" s="43" t="n">
        <v>10.4</v>
      </c>
    </row>
    <row r="7">
      <c r="A7" s="43" t="inlineStr">
        <is>
          <t>เสากลางอาคาร (กริด 6/B-I)</t>
        </is>
      </c>
      <c r="B7" s="43" t="inlineStr"/>
      <c r="C7" s="43" t="inlineStr"/>
      <c r="D7" s="43" t="inlineStr"/>
      <c r="E7" s="43" t="inlineStr"/>
      <c r="F7" s="43" t="inlineStr"/>
      <c r="G7" s="43" t="inlineStr"/>
      <c r="H7" s="43" t="inlineStr"/>
      <c r="I7" s="43" t="inlineStr"/>
      <c r="J7" s="43" t="n">
        <v>8</v>
      </c>
      <c r="K7" s="43" t="n">
        <v>128</v>
      </c>
      <c r="L7" s="43" t="inlineStr"/>
      <c r="M7" s="43" t="inlineStr"/>
    </row>
    <row r="8">
      <c r="A8" s="44" t="inlineStr">
        <is>
          <t>รวม</t>
        </is>
      </c>
      <c r="B8" s="44">
        <f>SUM(B3:B7)</f>
        <v/>
      </c>
      <c r="C8" s="44">
        <f>SUM(C3:C7)</f>
        <v/>
      </c>
      <c r="D8" s="44">
        <f>SUM(D3:D7)</f>
        <v/>
      </c>
      <c r="E8" s="44">
        <f>SUM(E3:E7)</f>
        <v/>
      </c>
      <c r="F8" s="44">
        <f>SUM(F3:F7)</f>
        <v/>
      </c>
      <c r="G8" s="44">
        <f>SUM(G3:G7)</f>
        <v/>
      </c>
      <c r="H8" s="44">
        <f>SUM(H3:H7)</f>
        <v/>
      </c>
      <c r="I8" s="44">
        <f>SUM(I3:I7)</f>
        <v/>
      </c>
      <c r="J8" s="44">
        <f>SUM(J3:J7)</f>
        <v/>
      </c>
      <c r="K8" s="44">
        <f>SUM(K3:K7)</f>
        <v/>
      </c>
      <c r="L8" s="44">
        <f>SUM(L3:L7)</f>
        <v/>
      </c>
      <c r="M8" s="44">
        <f>SUM(M3:M7)</f>
        <v/>
      </c>
    </row>
    <row r="9">
      <c r="A9" s="43" t="n"/>
      <c r="B9" s="43" t="n"/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 t="n"/>
    </row>
    <row r="10">
      <c r="A10" s="43" t="inlineStr">
        <is>
          <t>หมายเหตุ: เสาเอ็นกลางช่วงเสา 6 ม. และข้างวงกบประตู D1, คานเอ็นที่ระดับหลังวงกบ +2.60 ตลอดแนว, จับเซี้ยมนับมุมนอกของเสา คสล. 2 มุม/ด้าน x 2 ด้าน x สูง 4.00 ม., ขอบบนคานทับหลัง 2 ด้าน (ช่องระบาย +4.50 ถึง +5.20), ขอบช่องประตู D1 2 ด้าน; ผนังห้องประกอบ/ห้องน้ำ/ห้อง MDB คิดในหมวด 3.6</t>
        </is>
      </c>
      <c r="B10" s="43" t="n"/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7" customWidth="1" min="4" max="4"/>
    <col width="12" customWidth="1" min="5" max="5"/>
    <col width="8" customWidth="1" min="6" max="6"/>
    <col width="16" customWidth="1" min="7" max="7"/>
    <col width="52" customWidth="1" min="8" max="8"/>
  </cols>
  <sheetData>
    <row r="1">
      <c r="A1" s="1" t="inlineStr">
        <is>
          <t>ตรวจสอบรอบ 2: เทียบปริมาณ BOQ กับแหล่งข้อมูลอิสระ (เวกเตอร์ S201/S202, ตาราง S1.1/S3/S4.1/S6.1, โมเดล BIM)</t>
        </is>
      </c>
    </row>
    <row r="2">
      <c r="A2" s="45" t="inlineStr">
        <is>
          <t>ลำดับ</t>
        </is>
      </c>
      <c r="B2" s="45" t="inlineStr">
        <is>
          <t>รายการ</t>
        </is>
      </c>
      <c r="C2" s="45" t="inlineStr">
        <is>
          <t>BOQ</t>
        </is>
      </c>
      <c r="D2" s="45" t="inlineStr">
        <is>
          <t>หน่วย</t>
        </is>
      </c>
      <c r="E2" s="45" t="inlineStr">
        <is>
          <t>ค่าตรวจสอบ</t>
        </is>
      </c>
      <c r="F2" s="45" t="inlineStr">
        <is>
          <t>ต่าง %</t>
        </is>
      </c>
      <c r="G2" s="45" t="inlineStr">
        <is>
          <t>ผล</t>
        </is>
      </c>
      <c r="H2" s="45" t="inlineStr">
        <is>
          <t>แหล่งที่ใช้ตรวจ</t>
        </is>
      </c>
    </row>
    <row r="3">
      <c r="A3" s="46" t="inlineStr">
        <is>
          <t>1.1.2</t>
        </is>
      </c>
      <c r="B3" s="46" t="inlineStr">
        <is>
          <t>วางตำแหน่งเสาเข็มด้วยกล้องสำรวจ (Total Station) และตรวจสอบตำแหน่งหลังตอก</t>
        </is>
      </c>
      <c r="C3" s="46" t="n">
        <v>751</v>
      </c>
      <c r="D3" s="46" t="inlineStr">
        <is>
          <t>ต้น</t>
        </is>
      </c>
      <c r="E3" s="46" t="n">
        <v>751</v>
      </c>
      <c r="F3" s="46" t="n">
        <v>0</v>
      </c>
      <c r="G3" s="47" t="inlineStr">
        <is>
          <t>ตรง</t>
        </is>
      </c>
      <c r="H3" s="46" t="inlineStr">
        <is>
          <t>ผัง S201 นับได้ 734 + เข็มถนนส่วนต่างตาราง S2 (249-232)</t>
        </is>
      </c>
    </row>
    <row r="4">
      <c r="A4" s="46" t="inlineStr">
        <is>
          <t>1.2.1</t>
        </is>
      </c>
      <c r="B4" s="46" t="inlineStr">
        <is>
          <t>รั้วชั่วคราวแผ่นเหล็กรีดลอน (Metal Sheet) สูง 2.00 ม. โครงเหล็กกล่อง พร้อมทาสี</t>
        </is>
      </c>
      <c r="C4" s="46" t="n">
        <v>312</v>
      </c>
      <c r="D4" s="46" t="inlineStr">
        <is>
          <t>ม.</t>
        </is>
      </c>
      <c r="E4" s="46" t="n">
        <v>309.43</v>
      </c>
      <c r="F4" s="46" t="n">
        <v>0.8</v>
      </c>
      <c r="G4" s="47" t="inlineStr">
        <is>
          <t>ตรง</t>
        </is>
      </c>
      <c r="H4" s="46" t="inlineStr">
        <is>
          <t>เส้นรอบแนวเขตที่ดิน (เวกเตอร์ S202)</t>
        </is>
      </c>
    </row>
    <row r="5">
      <c r="A5" s="46" t="inlineStr">
        <is>
          <t>1.3.1</t>
        </is>
      </c>
      <c r="B5" s="46" t="inlineStr">
        <is>
          <t>ถมดินปรับระดับ บดอัดเป็นชั้นหนาไม่เกิน 0.20 ม. ความแน่นไม่น้อยกว่า 95% Standard Proctor</t>
        </is>
      </c>
      <c r="C5" s="46" t="n">
        <v>1113.6</v>
      </c>
      <c r="D5" s="46" t="inlineStr">
        <is>
          <t>ลบ.ม.</t>
        </is>
      </c>
      <c r="E5" s="46" t="n">
        <v>1113.6</v>
      </c>
      <c r="F5" s="46" t="n">
        <v>0</v>
      </c>
      <c r="G5" s="47" t="inlineStr">
        <is>
          <t>ตรง</t>
        </is>
      </c>
      <c r="H5" s="46" t="inlineStr">
        <is>
          <t>โมเดล: พื้นที่ถม 64x58 x 0.30</t>
        </is>
      </c>
    </row>
    <row r="6">
      <c r="A6" s="46" t="inlineStr">
        <is>
          <t>1.3.4</t>
        </is>
      </c>
      <c r="B6" s="46" t="inlineStr">
        <is>
          <t>ขุดดินฐานรากและขนย้ายดินส่วนเกิน (จากตาราง S1.1)</t>
        </is>
      </c>
      <c r="C6" s="46" t="n">
        <v>434.29</v>
      </c>
      <c r="D6" s="46" t="inlineStr">
        <is>
          <t>ลบ.ม.</t>
        </is>
      </c>
      <c r="E6" s="46" t="n">
        <v>434.28</v>
      </c>
      <c r="F6" s="46" t="n">
        <v>0</v>
      </c>
      <c r="G6" s="47" t="inlineStr">
        <is>
          <t>ตรง</t>
        </is>
      </c>
      <c r="H6" s="46" t="inlineStr">
        <is>
          <t>ผลรวมตาราง S1.1 คอลัมน์ดินขุด</t>
        </is>
      </c>
    </row>
    <row r="7">
      <c r="A7" s="46" t="inlineStr">
        <is>
          <t>1.3.6</t>
        </is>
      </c>
      <c r="B7" s="46" t="inlineStr">
        <is>
          <t>ถมดินกลับรอบฐานราก บดอัด (จากตาราง S1.1)</t>
        </is>
      </c>
      <c r="C7" s="46" t="n">
        <v>128.26</v>
      </c>
      <c r="D7" s="46" t="inlineStr">
        <is>
          <t>ลบ.ม.</t>
        </is>
      </c>
      <c r="E7" s="46" t="n">
        <v>128.25</v>
      </c>
      <c r="F7" s="46" t="n">
        <v>0</v>
      </c>
      <c r="G7" s="47" t="inlineStr">
        <is>
          <t>ตรง</t>
        </is>
      </c>
      <c r="H7" s="46" t="inlineStr">
        <is>
          <t>ผลรวมตาราง S1.1 คอลัมน์ดินถม</t>
        </is>
      </c>
    </row>
    <row r="8">
      <c r="A8" s="46" t="inlineStr">
        <is>
          <t>1.4.3</t>
        </is>
      </c>
      <c r="B8" s="46" t="inlineStr">
        <is>
          <t>ทดสอบความแน่นดินถมในสนาม (Field Density Test)</t>
        </is>
      </c>
      <c r="C8" s="46" t="n">
        <v>16</v>
      </c>
      <c r="D8" s="46" t="inlineStr">
        <is>
          <t>จุด</t>
        </is>
      </c>
      <c r="E8" s="46" t="n">
        <v>16</v>
      </c>
      <c r="F8" s="46" t="n">
        <v>0</v>
      </c>
      <c r="G8" s="47" t="inlineStr">
        <is>
          <t>ตรง</t>
        </is>
      </c>
      <c r="H8" s="46" t="inlineStr">
        <is>
          <t>พื้นที่ถม/500 x จำนวนชั้น</t>
        </is>
      </c>
    </row>
    <row r="9">
      <c r="A9" s="46" t="inlineStr">
        <is>
          <t>2.1.1</t>
        </is>
      </c>
      <c r="B9" s="46" t="inlineStr">
        <is>
          <t>เสาเข็มตอก I-260x260 ยาว 22 ม. เสริมหนวดกุ้ง 4-DB12-2.5 ม. รับฐานราก F2P (I26-22) รวมค่าตอก</t>
        </is>
      </c>
      <c r="C9" s="46" t="n">
        <v>92</v>
      </c>
      <c r="D9" s="46" t="inlineStr">
        <is>
          <t>ต้น</t>
        </is>
      </c>
      <c r="E9" s="46" t="n">
        <v>92</v>
      </c>
      <c r="F9" s="46" t="n">
        <v>0</v>
      </c>
      <c r="G9" s="47" t="inlineStr">
        <is>
          <t>ตรง</t>
        </is>
      </c>
      <c r="H9" s="46" t="inlineStr">
        <is>
          <t>ผัง S201</t>
        </is>
      </c>
    </row>
    <row r="10">
      <c r="A10" s="46" t="inlineStr">
        <is>
          <t>2.1.2</t>
        </is>
      </c>
      <c r="B10" s="46" t="inlineStr">
        <is>
          <t>เสาเข็มตอก I-350x350 ยาว 22 ม. รับพื้นโรงงาน (I35-22) ระยะ 3.00x3.00 ม. รวมค่าตอก</t>
        </is>
      </c>
      <c r="C10" s="46" t="n">
        <v>360</v>
      </c>
      <c r="D10" s="46" t="inlineStr">
        <is>
          <t>ต้น</t>
        </is>
      </c>
      <c r="E10" s="46" t="n">
        <v>360</v>
      </c>
      <c r="F10" s="46" t="n">
        <v>0</v>
      </c>
      <c r="G10" s="47" t="inlineStr">
        <is>
          <t>ตรง</t>
        </is>
      </c>
      <c r="H10" s="46" t="inlineStr">
        <is>
          <t>ผัง S201</t>
        </is>
      </c>
    </row>
    <row r="11">
      <c r="A11" s="46" t="inlineStr">
        <is>
          <t>2.1.3</t>
        </is>
      </c>
      <c r="B11" s="46" t="inlineStr">
        <is>
          <t>เสาเข็มตอก I-260x260 ยาว 22 ม. อาคารประกอบ ฐาน F1P-1 (ห้องน้ำ 6, ห้องสารเคมี 3, ทางลาดเหนือ 2) รวมค่าตอก</t>
        </is>
      </c>
      <c r="C11" s="46" t="n">
        <v>11</v>
      </c>
      <c r="D11" s="46" t="inlineStr">
        <is>
          <t>ต้น</t>
        </is>
      </c>
      <c r="E11" s="46" t="n">
        <v>11</v>
      </c>
      <c r="F11" s="46" t="n">
        <v>0</v>
      </c>
      <c r="G11" s="47" t="inlineStr">
        <is>
          <t>ตรง</t>
        </is>
      </c>
      <c r="H11" s="46" t="inlineStr">
        <is>
          <t>ผัง S201</t>
        </is>
      </c>
    </row>
    <row r="12">
      <c r="A12" s="46" t="inlineStr">
        <is>
          <t>2.1.4</t>
        </is>
      </c>
      <c r="B12" s="46" t="inlineStr">
        <is>
          <t>เสาเข็มตอก I-260x260 รับถังเก็บน้ำใต้ดิน (ตัดหัวลดระดับ 1 ม.) รวมค่าตอก</t>
        </is>
      </c>
      <c r="C12" s="46" t="n">
        <v>17</v>
      </c>
      <c r="D12" s="46" t="inlineStr">
        <is>
          <t>ต้น</t>
        </is>
      </c>
      <c r="E12" s="46" t="n">
        <v>17</v>
      </c>
      <c r="F12" s="46" t="n">
        <v>0</v>
      </c>
      <c r="G12" s="47" t="inlineStr">
        <is>
          <t>ตรง</t>
        </is>
      </c>
      <c r="H12" s="46" t="inlineStr">
        <is>
          <t>ผัง S201</t>
        </is>
      </c>
    </row>
    <row r="13">
      <c r="A13" s="46" t="inlineStr">
        <is>
          <t>2.1.5</t>
        </is>
      </c>
      <c r="B13" s="46" t="inlineStr">
        <is>
          <t>ตัดหัวเสาเข็มและขนทิ้ง</t>
        </is>
      </c>
      <c r="C13" s="46" t="n">
        <v>751</v>
      </c>
      <c r="D13" s="46" t="inlineStr">
        <is>
          <t>ต้น</t>
        </is>
      </c>
      <c r="E13" s="46" t="n">
        <v>751</v>
      </c>
      <c r="F13" s="46" t="n">
        <v>0</v>
      </c>
      <c r="G13" s="47" t="inlineStr">
        <is>
          <t>ตรง</t>
        </is>
      </c>
      <c r="H13" s="46" t="inlineStr">
        <is>
          <t>เท่ากับ 1.1.2</t>
        </is>
      </c>
    </row>
    <row r="14">
      <c r="A14" s="46" t="inlineStr">
        <is>
          <t>2.1.7</t>
        </is>
      </c>
      <c r="B14" s="46" t="inlineStr">
        <is>
          <t>เชื่อมต่อเสาเข็ม (เข็มยาว 22 ม. ส่ง 2 ท่อน) พร้อมแผ่นเหล็กต่อเชื่อม</t>
        </is>
      </c>
      <c r="C14" s="46" t="n">
        <v>751</v>
      </c>
      <c r="D14" s="46" t="inlineStr">
        <is>
          <t>จุด</t>
        </is>
      </c>
      <c r="E14" s="46" t="n">
        <v>751</v>
      </c>
      <c r="F14" s="46" t="n">
        <v>0</v>
      </c>
      <c r="G14" s="47" t="inlineStr">
        <is>
          <t>ตรง</t>
        </is>
      </c>
      <c r="H14" s="46" t="inlineStr">
        <is>
          <t>เท่ากับ 2.1.5</t>
        </is>
      </c>
    </row>
    <row r="15">
      <c r="A15" s="46" t="inlineStr">
        <is>
          <t>2.2.1</t>
        </is>
      </c>
      <c r="B15" s="46" t="inlineStr">
        <is>
          <t>ฐานราก F2P 0.60x1.50x0.80 ม. (เข็ม 2 ต้น) ทรายรองพื้น คอนกรีตหยาบ คอนกรีตโครงสร้าง ไม้แบบ</t>
        </is>
      </c>
      <c r="C15" s="46" t="n">
        <v>46</v>
      </c>
      <c r="D15" s="46" t="inlineStr">
        <is>
          <t>ฐาน</t>
        </is>
      </c>
      <c r="E15" s="46" t="n">
        <v>46</v>
      </c>
      <c r="F15" s="46" t="n">
        <v>0</v>
      </c>
      <c r="G15" s="47" t="inlineStr">
        <is>
          <t>ตรง</t>
        </is>
      </c>
      <c r="H15" s="46" t="inlineStr">
        <is>
          <t>ผัง S201</t>
        </is>
      </c>
    </row>
    <row r="16">
      <c r="A16" s="46" t="inlineStr">
        <is>
          <t>2.2.2</t>
        </is>
      </c>
      <c r="B16" s="46" t="inlineStr">
        <is>
          <t>Drop panel F1P 1.00x1.00x0.20 ม. รับพื้นบนเข็ม I35 ทรายรองพื้น คอนกรีตหยาบ คอนกรีต</t>
        </is>
      </c>
      <c r="C16" s="46" t="n">
        <v>360</v>
      </c>
      <c r="D16" s="46" t="inlineStr">
        <is>
          <t>จุด</t>
        </is>
      </c>
      <c r="E16" s="46" t="n">
        <v>360</v>
      </c>
      <c r="F16" s="46" t="n">
        <v>0</v>
      </c>
      <c r="G16" s="47" t="inlineStr">
        <is>
          <t>ตรง</t>
        </is>
      </c>
      <c r="H16" s="46" t="inlineStr">
        <is>
          <t>โมเดล (Drop panel ใต้เข็ม I35)</t>
        </is>
      </c>
    </row>
    <row r="17">
      <c r="A17" s="46" t="inlineStr">
        <is>
          <t>2.2.3</t>
        </is>
      </c>
      <c r="B17" s="46" t="inlineStr">
        <is>
          <t>ฐาน F1P-1 0.60x0.60x0.60 ม. (เข็มเดี่ยว อาคารประกอบ)</t>
        </is>
      </c>
      <c r="C17" s="46" t="n">
        <v>11</v>
      </c>
      <c r="D17" s="46" t="inlineStr">
        <is>
          <t>ฐาน</t>
        </is>
      </c>
      <c r="E17" s="46" t="n">
        <v>11</v>
      </c>
      <c r="F17" s="46" t="n">
        <v>0</v>
      </c>
      <c r="G17" s="47" t="inlineStr">
        <is>
          <t>ตรง</t>
        </is>
      </c>
      <c r="H17" s="46" t="inlineStr">
        <is>
          <t>ผัง S201</t>
        </is>
      </c>
    </row>
    <row r="18">
      <c r="A18" s="46" t="inlineStr">
        <is>
          <t>2.3.1</t>
        </is>
      </c>
      <c r="B18" s="46" t="inlineStr">
        <is>
          <t>เสา คสล. C1 0.30x0.50 ม. จากหลังฐานรากถึงหัวเสา +4.50 (ยาว 4.90 ม.)</t>
        </is>
      </c>
      <c r="C18" s="46" t="n">
        <v>45</v>
      </c>
      <c r="D18" s="46" t="inlineStr">
        <is>
          <t>ต้น</t>
        </is>
      </c>
      <c r="E18" s="46" t="n">
        <v>45</v>
      </c>
      <c r="F18" s="46" t="n">
        <v>0</v>
      </c>
      <c r="G18" s="47" t="inlineStr">
        <is>
          <t>ตรง</t>
        </is>
      </c>
      <c r="H18" s="46" t="inlineStr">
        <is>
          <t>ผัง S201</t>
        </is>
      </c>
    </row>
    <row r="19">
      <c r="A19" s="46" t="inlineStr">
        <is>
          <t>2.3.2</t>
        </is>
      </c>
      <c r="B19" s="46" t="inlineStr">
        <is>
          <t>เสา คสล. C2 0.50x0.50 ม. (กริด 6/J)</t>
        </is>
      </c>
      <c r="C19" s="46" t="n">
        <v>1</v>
      </c>
      <c r="D19" s="46" t="inlineStr">
        <is>
          <t>ต้น</t>
        </is>
      </c>
      <c r="E19" s="46" t="n">
        <v>1</v>
      </c>
      <c r="F19" s="46" t="n">
        <v>0</v>
      </c>
      <c r="G19" s="47" t="inlineStr">
        <is>
          <t>ตรง</t>
        </is>
      </c>
      <c r="H19" s="46" t="inlineStr">
        <is>
          <t>ผัง S201</t>
        </is>
      </c>
    </row>
    <row r="20">
      <c r="A20" s="46" t="inlineStr">
        <is>
          <t>2.3.3</t>
        </is>
      </c>
      <c r="B20" s="46" t="inlineStr">
        <is>
          <t>เสา คสล. C3 0.20x0.20 ม. อาคารประกอบ</t>
        </is>
      </c>
      <c r="C20" s="46" t="n">
        <v>13</v>
      </c>
      <c r="D20" s="46" t="inlineStr">
        <is>
          <t>ต้น</t>
        </is>
      </c>
      <c r="E20" s="46" t="n">
        <v>13</v>
      </c>
      <c r="F20" s="46" t="n">
        <v>0</v>
      </c>
      <c r="G20" s="47" t="inlineStr">
        <is>
          <t>ตรง</t>
        </is>
      </c>
      <c r="H20" s="46" t="inlineStr">
        <is>
          <t>ตาราง S4.1 (ผัง S201 ระดับฐานรากนับได้ 7)</t>
        </is>
      </c>
    </row>
    <row r="21">
      <c r="A21" s="46" t="inlineStr">
        <is>
          <t>2.3.4</t>
        </is>
      </c>
      <c r="B21" s="46" t="inlineStr">
        <is>
          <t>คานคอดิน B1 0.20x0.60 ม. TOP +0.50 (แนวรอบอาคาร + แนวกริด 6)</t>
        </is>
      </c>
      <c r="C21" s="46" t="n">
        <v>282</v>
      </c>
      <c r="D21" s="46" t="inlineStr">
        <is>
          <t>ม.</t>
        </is>
      </c>
      <c r="E21" s="46" t="n">
        <v>282</v>
      </c>
      <c r="F21" s="46" t="n">
        <v>0</v>
      </c>
      <c r="G21" s="47" t="inlineStr">
        <is>
          <t>ตรง</t>
        </is>
      </c>
      <c r="H21" s="46" t="inlineStr">
        <is>
          <t>โมเดล (แนวคาน B1 จาก S202)</t>
        </is>
      </c>
    </row>
    <row r="22">
      <c r="A22" s="46" t="inlineStr">
        <is>
          <t>2.3.5</t>
        </is>
      </c>
      <c r="B22" s="46" t="inlineStr">
        <is>
          <t>คาน B3 0.20x0.40 ม. อาคารประกอบ (ระดับถนน + ระดับพื้นชั้น 1)</t>
        </is>
      </c>
      <c r="C22" s="46" t="n">
        <v>40.45</v>
      </c>
      <c r="D22" s="46" t="inlineStr">
        <is>
          <t>ม.</t>
        </is>
      </c>
      <c r="E22" s="46" t="n">
        <v>38.87</v>
      </c>
      <c r="F22" s="46" t="n">
        <v>4.1</v>
      </c>
      <c r="G22" s="48" t="inlineStr">
        <is>
          <t>ใกล้เคียง (≤5%)</t>
        </is>
      </c>
      <c r="H22" s="46" t="inlineStr">
        <is>
          <t>โมเดล (แนวคาน B3 จาก S202)</t>
        </is>
      </c>
    </row>
    <row r="23">
      <c r="A23" s="46" t="inlineStr">
        <is>
          <t>2.4.1</t>
        </is>
      </c>
      <c r="B23" s="46" t="inlineStr">
        <is>
          <t>พื้น S1 คสล. หนา 0.20 ม. วางบนเสาเข็ม TOP +0.50 พร้อมไม้แบบข้าง</t>
        </is>
      </c>
      <c r="C23" s="46" t="n">
        <v>3206.48</v>
      </c>
      <c r="D23" s="46" t="inlineStr">
        <is>
          <t>ตร.ม.</t>
        </is>
      </c>
      <c r="E23" s="46" t="n">
        <v>3206.48</v>
      </c>
      <c r="F23" s="46" t="n">
        <v>0</v>
      </c>
      <c r="G23" s="47" t="inlineStr">
        <is>
          <t>ตรง</t>
        </is>
      </c>
      <c r="H23" s="46" t="inlineStr">
        <is>
          <t>ตาราง S6.1 (โมเดล 60x54 = 3,240 ไม่หักเสา/คาน)</t>
        </is>
      </c>
    </row>
    <row r="24">
      <c r="A24" s="46" t="inlineStr">
        <is>
          <t>2.4.4</t>
        </is>
      </c>
      <c r="B24" s="46" t="inlineStr">
        <is>
          <t>แผ่นพลาสติก PE รองใต้พื้น S1 และทรายรองพื้น</t>
        </is>
      </c>
      <c r="C24" s="46" t="n">
        <v>3206.48</v>
      </c>
      <c r="D24" s="46" t="inlineStr">
        <is>
          <t>ตร.ม.</t>
        </is>
      </c>
      <c r="E24" s="46" t="n">
        <v>3206.48</v>
      </c>
      <c r="F24" s="46" t="n">
        <v>0</v>
      </c>
      <c r="G24" s="47" t="inlineStr">
        <is>
          <t>ตรง</t>
        </is>
      </c>
      <c r="H24" s="46" t="inlineStr">
        <is>
          <t>ตาราง S6.1</t>
        </is>
      </c>
    </row>
    <row r="25">
      <c r="A25" s="46" t="inlineStr">
        <is>
          <t>2.4.5</t>
        </is>
      </c>
      <c r="B25" s="46" t="inlineStr">
        <is>
          <t>ตัดรอยต่อพื้น (Saw cut) และยาแนว Joint sealant พื้น S1</t>
        </is>
      </c>
      <c r="C25" s="46" t="n">
        <v>966</v>
      </c>
      <c r="D25" s="46" t="inlineStr">
        <is>
          <t>ม.</t>
        </is>
      </c>
      <c r="E25" s="46" t="n">
        <v>966</v>
      </c>
      <c r="F25" s="46" t="n">
        <v>0</v>
      </c>
      <c r="G25" s="47" t="inlineStr">
        <is>
          <t>ตรง</t>
        </is>
      </c>
      <c r="H25" s="46" t="inlineStr">
        <is>
          <t>รอยต่อทุก 6 ม.</t>
        </is>
      </c>
    </row>
    <row r="26">
      <c r="A26" s="46" t="inlineStr">
        <is>
          <t>2.5.1</t>
        </is>
      </c>
      <c r="B26" s="46" t="inlineStr">
        <is>
          <t>เสาเหล็ก H244x175x7x11 (H250x175) 44.1 กก./ม. จากแผ่นเหล็กฐาน +4.545 ถึงใต้แผ่นหัวเสา +8.98</t>
        </is>
      </c>
      <c r="C26" s="46" t="n">
        <v>8997</v>
      </c>
      <c r="D26" s="46" t="inlineStr">
        <is>
          <t>กก.</t>
        </is>
      </c>
      <c r="E26" s="46" t="n">
        <v>8996.84</v>
      </c>
      <c r="F26" s="46" t="n">
        <v>0</v>
      </c>
      <c r="G26" s="47" t="inlineStr">
        <is>
          <t>ตรง</t>
        </is>
      </c>
      <c r="H26" s="46" t="inlineStr">
        <is>
          <t>โมเดล เสาเหล็ก 46 ต้น</t>
        </is>
      </c>
    </row>
    <row r="27">
      <c r="A27" s="46" t="inlineStr">
        <is>
          <t>2.5.2</t>
        </is>
      </c>
      <c r="B27" s="46" t="inlineStr">
        <is>
          <t>โครงถักหลังคา ช่วง 2 x 30 ม. 10 แนว (กริด A-J) สันหลังคา +14.10</t>
        </is>
      </c>
      <c r="C27" s="46" t="n">
        <v>25534</v>
      </c>
      <c r="D27" s="46" t="inlineStr">
        <is>
          <t>กก.</t>
        </is>
      </c>
      <c r="E27" s="46" t="n">
        <v>25533.86</v>
      </c>
      <c r="F27" s="46" t="n">
        <v>0</v>
      </c>
      <c r="G27" s="47" t="inlineStr">
        <is>
          <t>ตรง</t>
        </is>
      </c>
      <c r="H27" s="46" t="inlineStr">
        <is>
          <t>โมเดล</t>
        </is>
      </c>
    </row>
    <row r="28">
      <c r="A28" s="46" t="inlineStr">
        <is>
          <t>2.5.3</t>
        </is>
      </c>
      <c r="B28" s="46" t="inlineStr">
        <is>
          <t>แปหลังคา C-125x50x20x3.2 และแปผนัง (Girt)</t>
        </is>
      </c>
      <c r="C28" s="46" t="n">
        <v>20928</v>
      </c>
      <c r="D28" s="46" t="inlineStr">
        <is>
          <t>กก.</t>
        </is>
      </c>
      <c r="E28" s="46" t="n">
        <v>20927.82</v>
      </c>
      <c r="F28" s="46" t="n">
        <v>0</v>
      </c>
      <c r="G28" s="47" t="inlineStr">
        <is>
          <t>ตรง</t>
        </is>
      </c>
      <c r="H28" s="46" t="inlineStr">
        <is>
          <t>โมเดล</t>
        </is>
      </c>
    </row>
    <row r="29">
      <c r="A29" s="46" t="inlineStr">
        <is>
          <t>2.5.4</t>
        </is>
      </c>
      <c r="B29" s="46" t="inlineStr">
        <is>
          <t>ค้ำยันหลังคา/ผนัง RB12 + Turnbuckle, Sag rod, แผ่นต่อ สลักเกลียว (จุดต่อ ~10%)</t>
        </is>
      </c>
      <c r="C29" s="46" t="n">
        <v>5849</v>
      </c>
      <c r="D29" s="46" t="inlineStr">
        <is>
          <t>กก.</t>
        </is>
      </c>
      <c r="E29" s="46" t="n">
        <v>5848.55</v>
      </c>
      <c r="F29" s="46" t="n">
        <v>0</v>
      </c>
      <c r="G29" s="47" t="inlineStr">
        <is>
          <t>ตรง</t>
        </is>
      </c>
      <c r="H29" s="46" t="inlineStr">
        <is>
          <t>โมเดล + 10%</t>
        </is>
      </c>
    </row>
    <row r="30">
      <c r="A30" s="46" t="inlineStr">
        <is>
          <t>2.5.6</t>
        </is>
      </c>
      <c r="B30" s="46" t="inlineStr">
        <is>
          <t>ปูนเกราท์ไม่หดตัว (Non-shrink grout) หนา 25 มม. ใต้แผ่นเหล็กฐาน</t>
        </is>
      </c>
      <c r="C30" s="46" t="n">
        <v>46</v>
      </c>
      <c r="D30" s="46" t="inlineStr">
        <is>
          <t>จุด</t>
        </is>
      </c>
      <c r="E30" s="46" t="n">
        <v>46</v>
      </c>
      <c r="F30" s="46" t="n">
        <v>0</v>
      </c>
      <c r="G30" s="47" t="inlineStr">
        <is>
          <t>ตรง</t>
        </is>
      </c>
      <c r="H30" s="46" t="inlineStr">
        <is>
          <t>ผัง S201</t>
        </is>
      </c>
    </row>
    <row r="31">
      <c r="A31" s="46" t="inlineStr">
        <is>
          <t>2.5.7</t>
        </is>
      </c>
      <c r="B31" s="46" t="inlineStr">
        <is>
          <t>แผ่นเหล็กฐาน (Base plate) PL 20x200x450 มม. เจาะรู 6 รู เชื่อมกับเสาเหล็ก</t>
        </is>
      </c>
      <c r="C31" s="46" t="n">
        <v>649.98</v>
      </c>
      <c r="D31" s="46" t="inlineStr">
        <is>
          <t>กก.</t>
        </is>
      </c>
      <c r="E31" s="46" t="n">
        <v>649.98</v>
      </c>
      <c r="F31" s="46" t="n">
        <v>0</v>
      </c>
      <c r="G31" s="47" t="inlineStr">
        <is>
          <t>ตรง</t>
        </is>
      </c>
      <c r="H31" s="46" t="inlineStr">
        <is>
          <t>โมเดล แผ่นเหล็กฐาน</t>
        </is>
      </c>
    </row>
    <row r="32">
      <c r="A32" s="46" t="inlineStr">
        <is>
          <t>2.5.8</t>
        </is>
      </c>
      <c r="B32" s="46" t="inlineStr">
        <is>
          <t>แผ่นเหล็กหัวเสา (Top plate) PL 20x200x450 มม. ที่ +9.00 รับโครงถัก</t>
        </is>
      </c>
      <c r="C32" s="46" t="n">
        <v>649.98</v>
      </c>
      <c r="D32" s="46" t="inlineStr">
        <is>
          <t>กก.</t>
        </is>
      </c>
      <c r="E32" s="46" t="n">
        <v>649.98</v>
      </c>
      <c r="F32" s="46" t="n">
        <v>0</v>
      </c>
      <c r="G32" s="47" t="inlineStr">
        <is>
          <t>ตรง</t>
        </is>
      </c>
      <c r="H32" s="46" t="inlineStr">
        <is>
          <t>โมเดล แผ่นหัวเสา</t>
        </is>
      </c>
    </row>
    <row r="33">
      <c r="A33" s="46" t="inlineStr">
        <is>
          <t>2.5.9</t>
        </is>
      </c>
      <c r="B33" s="46" t="inlineStr">
        <is>
          <t>Anchor bolt M20 ยาว 750 มม. ปลายงอ พร้อมแป้นเกลียว 2 ตัว แหวน และแบบจับตำแหน่ง (Template) ฝังในหัวเสา คสล.</t>
        </is>
      </c>
      <c r="C33" s="46" t="n">
        <v>276</v>
      </c>
      <c r="D33" s="46" t="inlineStr">
        <is>
          <t>ชุด</t>
        </is>
      </c>
      <c r="E33" s="46" t="n">
        <v>276</v>
      </c>
      <c r="F33" s="46" t="n">
        <v>0</v>
      </c>
      <c r="G33" s="47" t="inlineStr">
        <is>
          <t>ตรง</t>
        </is>
      </c>
      <c r="H33" s="46" t="inlineStr">
        <is>
          <t>โมเดล Anchor bolt</t>
        </is>
      </c>
    </row>
    <row r="34">
      <c r="A34" s="46" t="inlineStr">
        <is>
          <t>2.6.1</t>
        </is>
      </c>
      <c r="B34" s="46" t="inlineStr">
        <is>
          <t>เสาเหล็กชั้นลอย H250x250x66.5 กก./ม.</t>
        </is>
      </c>
      <c r="C34" s="46" t="n">
        <v>6703</v>
      </c>
      <c r="D34" s="46" t="inlineStr">
        <is>
          <t>กก.</t>
        </is>
      </c>
      <c r="E34" s="46" t="n">
        <v>6703.2</v>
      </c>
      <c r="F34" s="46" t="n">
        <v>-0</v>
      </c>
      <c r="G34" s="47" t="inlineStr">
        <is>
          <t>ตรง</t>
        </is>
      </c>
      <c r="H34" s="46" t="inlineStr">
        <is>
          <t>ตาราง S4.1 100.80 ม. x 66.5 กก./ม.</t>
        </is>
      </c>
    </row>
    <row r="35">
      <c r="A35" s="46" t="inlineStr">
        <is>
          <t>2.6.2</t>
        </is>
      </c>
      <c r="B35" s="46" t="inlineStr">
        <is>
          <t>คานเหล็กชั้นลอย (หน้าตัดรอแบบ)</t>
        </is>
      </c>
      <c r="C35" s="46" t="n">
        <v>5219</v>
      </c>
      <c r="D35" s="46" t="inlineStr">
        <is>
          <t>กก.</t>
        </is>
      </c>
      <c r="E35" s="46" t="n">
        <v>5218.5</v>
      </c>
      <c r="F35" s="46" t="n">
        <v>0</v>
      </c>
      <c r="G35" s="47" t="inlineStr">
        <is>
          <t>ตรง</t>
        </is>
      </c>
      <c r="H35" s="46" t="inlineStr">
        <is>
          <t>โมเดล</t>
        </is>
      </c>
    </row>
    <row r="36">
      <c r="A36" s="46" t="inlineStr">
        <is>
          <t>2.6.3</t>
        </is>
      </c>
      <c r="B36" s="46" t="inlineStr">
        <is>
          <t>พื้นชั้นลอย F8 (Metal deck/พื้นสำเร็จ ตามแบบ)</t>
        </is>
      </c>
      <c r="C36" s="46" t="n">
        <v>306.15</v>
      </c>
      <c r="D36" s="46" t="inlineStr">
        <is>
          <t>ตร.ม.</t>
        </is>
      </c>
      <c r="E36" s="46" t="n">
        <v>306.15</v>
      </c>
      <c r="F36" s="46" t="n">
        <v>0</v>
      </c>
      <c r="G36" s="47" t="inlineStr">
        <is>
          <t>ตรง</t>
        </is>
      </c>
      <c r="H36" s="46" t="inlineStr">
        <is>
          <t>ตาราง S6.1</t>
        </is>
      </c>
    </row>
    <row r="37">
      <c r="A37" s="46" t="inlineStr">
        <is>
          <t>2.6.5</t>
        </is>
      </c>
      <c r="B37" s="46" t="inlineStr">
        <is>
          <t>ราวกันตกเหล็กขอบชั้นลอยด้านเปิด สูง 1.10 ม.</t>
        </is>
      </c>
      <c r="C37" s="46" t="n">
        <v>33.6</v>
      </c>
      <c r="D37" s="46" t="inlineStr">
        <is>
          <t>ม.</t>
        </is>
      </c>
      <c r="E37" s="46" t="n">
        <v>33.6</v>
      </c>
      <c r="F37" s="46" t="n">
        <v>0</v>
      </c>
      <c r="G37" s="47" t="inlineStr">
        <is>
          <t>ตรง</t>
        </is>
      </c>
      <c r="H37" s="46" t="inlineStr">
        <is>
          <t>โมเดลชั้นลอย</t>
        </is>
      </c>
    </row>
    <row r="38">
      <c r="A38" s="46" t="inlineStr">
        <is>
          <t>3.1.1</t>
        </is>
      </c>
      <c r="B38" s="46" t="inlineStr">
        <is>
          <t>หลังคาเมทัลชีทหนา 0.47 มม. พร้อมฉนวน PU 25 มม. (พื้นที่ตามลาด)</t>
        </is>
      </c>
      <c r="C38" s="46" t="n">
        <v>3395</v>
      </c>
      <c r="D38" s="46" t="inlineStr">
        <is>
          <t>ตร.ม.</t>
        </is>
      </c>
      <c r="E38" s="46" t="n">
        <v>3395.07</v>
      </c>
      <c r="F38" s="46" t="n">
        <v>-0</v>
      </c>
      <c r="G38" s="47" t="inlineStr">
        <is>
          <t>ตรง</t>
        </is>
      </c>
      <c r="H38" s="46" t="inlineStr">
        <is>
          <t>โมเดล</t>
        </is>
      </c>
    </row>
    <row r="39">
      <c r="A39" s="46" t="inlineStr">
        <is>
          <t>3.1.2</t>
        </is>
      </c>
      <c r="B39" s="46" t="inlineStr">
        <is>
          <t>Jack roof กว้าง 6.00 ม. ยาว 42.00 ม. สัน +15.25 พร้อมตะแกรงระบายอากาศ</t>
        </is>
      </c>
      <c r="C39" s="46" t="n">
        <v>252</v>
      </c>
      <c r="D39" s="46" t="inlineStr">
        <is>
          <t>ตร.ม.</t>
        </is>
      </c>
      <c r="E39" s="46" t="n">
        <v>252</v>
      </c>
      <c r="F39" s="46" t="n">
        <v>0</v>
      </c>
      <c r="G39" s="47" t="inlineStr">
        <is>
          <t>ตรง</t>
        </is>
      </c>
      <c r="H39" s="46" t="inlineStr">
        <is>
          <t>A202 / โมเดล</t>
        </is>
      </c>
    </row>
    <row r="40">
      <c r="A40" s="46" t="inlineStr">
        <is>
          <t>3.1.4</t>
        </is>
      </c>
      <c r="B40" s="46" t="inlineStr">
        <is>
          <t>รางน้ำฝนเหล็กอาบสังกะสี 0.30x0.30 ม.</t>
        </is>
      </c>
      <c r="C40" s="46" t="n">
        <v>110</v>
      </c>
      <c r="D40" s="46" t="inlineStr">
        <is>
          <t>ม.</t>
        </is>
      </c>
      <c r="E40" s="46" t="n">
        <v>110</v>
      </c>
      <c r="F40" s="46" t="n">
        <v>0</v>
      </c>
      <c r="G40" s="47" t="inlineStr">
        <is>
          <t>ตรง</t>
        </is>
      </c>
      <c r="H40" s="46" t="inlineStr">
        <is>
          <t>โมเดล</t>
        </is>
      </c>
    </row>
    <row r="41">
      <c r="A41" s="46" t="inlineStr">
        <is>
          <t>3.1.6</t>
        </is>
      </c>
      <c r="B41" s="46" t="inlineStr">
        <is>
          <t>ผนังเมทัลชีท ระดับ +5.20 ถึงชายคา/จั่ว</t>
        </is>
      </c>
      <c r="C41" s="46" t="n">
        <v>1379</v>
      </c>
      <c r="D41" s="46" t="inlineStr">
        <is>
          <t>ตร.ม.</t>
        </is>
      </c>
      <c r="E41" s="46" t="n">
        <v>1379</v>
      </c>
      <c r="F41" s="46" t="n">
        <v>0</v>
      </c>
      <c r="G41" s="47" t="inlineStr">
        <is>
          <t>ตรง</t>
        </is>
      </c>
      <c r="H41" s="46" t="inlineStr">
        <is>
          <t>โมเดล</t>
        </is>
      </c>
    </row>
    <row r="42">
      <c r="A42" s="46" t="inlineStr">
        <is>
          <t>3.1.7</t>
        </is>
      </c>
      <c r="B42" s="46" t="inlineStr">
        <is>
          <t>ตะแกรงกันนก/ช่องระบายอากาศ ระดับ +4.50 ถึง +5.20 รอบอาคาร</t>
        </is>
      </c>
      <c r="C42" s="46" t="n">
        <v>216</v>
      </c>
      <c r="D42" s="46" t="inlineStr">
        <is>
          <t>ม.</t>
        </is>
      </c>
      <c r="E42" s="46" t="n">
        <v>216</v>
      </c>
      <c r="F42" s="46" t="n">
        <v>0</v>
      </c>
      <c r="G42" s="47" t="inlineStr">
        <is>
          <t>ตรง</t>
        </is>
      </c>
      <c r="H42" s="46" t="inlineStr">
        <is>
          <t>เส้นรอบอาคาร - ประตูม้วน</t>
        </is>
      </c>
    </row>
    <row r="43">
      <c r="A43" s="46" t="inlineStr">
        <is>
          <t>3.2.1</t>
        </is>
      </c>
      <c r="B43" s="46" t="inlineStr">
        <is>
          <t>ผนังก่ออิฐมวลเบา หนา 0.15 ม. +0.50 ถึง +4.35 (ต่ำกว่าหัวเสา คสล. 0.15 ม.)</t>
        </is>
      </c>
      <c r="C43" s="46" t="n">
        <v>750.67</v>
      </c>
      <c r="D43" s="46" t="inlineStr">
        <is>
          <t>ตร.ม.</t>
        </is>
      </c>
      <c r="E43" s="46" t="n">
        <v>744.63</v>
      </c>
      <c r="F43" s="46" t="n">
        <v>0.8</v>
      </c>
      <c r="G43" s="47" t="inlineStr">
        <is>
          <t>ตรง</t>
        </is>
      </c>
      <c r="H43" s="46" t="inlineStr">
        <is>
          <t>โมเดล (ผนัง W1 หักเสาเอ็น/คานเอ็น/ประตู)</t>
        </is>
      </c>
    </row>
    <row r="44">
      <c r="A44" s="46" t="inlineStr">
        <is>
          <t>3.2.3</t>
        </is>
      </c>
      <c r="B44" s="46" t="inlineStr">
        <is>
          <t>คานทับหลัง คสล. 0.15x0.15 ม. ระดับ +4.35 ถึง +4.50 (คอนกรีต ไม้แบบ)</t>
        </is>
      </c>
      <c r="C44" s="46" t="n">
        <v>205.2</v>
      </c>
      <c r="D44" s="46" t="inlineStr">
        <is>
          <t>ม.</t>
        </is>
      </c>
      <c r="E44" s="46" t="n">
        <v>205.2</v>
      </c>
      <c r="F44" s="46" t="n">
        <v>-0</v>
      </c>
      <c r="G44" s="47" t="inlineStr">
        <is>
          <t>ตรง</t>
        </is>
      </c>
      <c r="H44" s="46" t="inlineStr">
        <is>
          <t>โมเดล คานทับหลัง</t>
        </is>
      </c>
    </row>
    <row r="45">
      <c r="A45" s="46" t="inlineStr">
        <is>
          <t>3.2.4</t>
        </is>
      </c>
      <c r="B45" s="46" t="inlineStr">
        <is>
          <t>คานเอ็น คสล. 0.15x0.10 ม. ระดับหลังวงกบประตู +2.60 (คอนกรีต ไม้แบบ)</t>
        </is>
      </c>
      <c r="C45" s="46" t="n">
        <v>205.2</v>
      </c>
      <c r="D45" s="46" t="inlineStr">
        <is>
          <t>ม.</t>
        </is>
      </c>
      <c r="E45" s="46" t="n">
        <v>205.2</v>
      </c>
      <c r="F45" s="46" t="n">
        <v>-0</v>
      </c>
      <c r="G45" s="47" t="inlineStr">
        <is>
          <t>ตรง</t>
        </is>
      </c>
      <c r="H45" s="46" t="inlineStr">
        <is>
          <t>โมเดล คานเอ็น</t>
        </is>
      </c>
    </row>
    <row r="46">
      <c r="A46" s="46" t="inlineStr">
        <is>
          <t>3.2.5</t>
        </is>
      </c>
      <c r="B46" s="46" t="inlineStr">
        <is>
          <t>เสาเอ็น คสล. 0.15x0.10 ม. สูง 3.85 ม. (กลางช่วงเสา 6 ม. และข้างวงกบประตู)</t>
        </is>
      </c>
      <c r="C46" s="46" t="n">
        <v>38</v>
      </c>
      <c r="D46" s="46" t="inlineStr">
        <is>
          <t>ต้น</t>
        </is>
      </c>
      <c r="E46" s="46" t="n">
        <v>38</v>
      </c>
      <c r="F46" s="46" t="n">
        <v>0</v>
      </c>
      <c r="G46" s="47" t="inlineStr">
        <is>
          <t>ตรง</t>
        </is>
      </c>
      <c r="H46" s="46" t="inlineStr">
        <is>
          <t>โมเดล เสาเอ็น</t>
        </is>
      </c>
    </row>
    <row r="47">
      <c r="A47" s="46" t="inlineStr">
        <is>
          <t>3.3.1</t>
        </is>
      </c>
      <c r="B47" s="46" t="inlineStr">
        <is>
          <t>พื้นขัดมันผสม Floor Hardener</t>
        </is>
      </c>
      <c r="C47" s="46" t="n">
        <v>3206.48</v>
      </c>
      <c r="D47" s="46" t="inlineStr">
        <is>
          <t>ตร.ม.</t>
        </is>
      </c>
      <c r="E47" s="46" t="n">
        <v>3206.48</v>
      </c>
      <c r="F47" s="46" t="n">
        <v>0</v>
      </c>
      <c r="G47" s="47" t="inlineStr">
        <is>
          <t>ตรง</t>
        </is>
      </c>
      <c r="H47" s="46" t="inlineStr">
        <is>
          <t>ตาราง S6.1</t>
        </is>
      </c>
    </row>
    <row r="48">
      <c r="A48" s="46" t="inlineStr">
        <is>
          <t>4.1.1</t>
        </is>
      </c>
      <c r="B48" s="46" t="inlineStr">
        <is>
          <t>เสาเข็มตอก I-220x220 ยาว 22 ม. รับพื้นถนนรอบอาคาร (I22-22) รวมค่าตอก</t>
        </is>
      </c>
      <c r="C48" s="46" t="n">
        <v>249</v>
      </c>
      <c r="D48" s="46" t="inlineStr">
        <is>
          <t>ต้น</t>
        </is>
      </c>
      <c r="E48" s="46" t="n">
        <v>232</v>
      </c>
      <c r="F48" s="46" t="n">
        <v>7.3</v>
      </c>
      <c r="G48" s="48" t="inlineStr">
        <is>
          <t>ต่าง – ตรวจ</t>
        </is>
      </c>
      <c r="H48" s="46" t="inlineStr">
        <is>
          <t>ผัง S201 (ตาราง S2 = 249)</t>
        </is>
      </c>
    </row>
    <row r="49">
      <c r="A49" s="46" t="inlineStr">
        <is>
          <t>4.1.2</t>
        </is>
      </c>
      <c r="B49" s="46" t="inlineStr">
        <is>
          <t>ฐาน F1A 0.60x0.60x0.30 ม. รับพื้นถนน</t>
        </is>
      </c>
      <c r="C49" s="46" t="n">
        <v>249</v>
      </c>
      <c r="D49" s="46" t="inlineStr">
        <is>
          <t>ฐาน</t>
        </is>
      </c>
      <c r="E49" s="46" t="n">
        <v>232</v>
      </c>
      <c r="F49" s="46" t="n">
        <v>7.3</v>
      </c>
      <c r="G49" s="48" t="inlineStr">
        <is>
          <t>ต่าง – ตรวจ</t>
        </is>
      </c>
      <c r="H49" s="46" t="inlineStr">
        <is>
          <t>ผัง S201 (ตาราง S1.1 = 249)</t>
        </is>
      </c>
    </row>
    <row r="50">
      <c r="A50" s="46" t="inlineStr">
        <is>
          <t>4.1.3</t>
        </is>
      </c>
      <c r="B50" s="46" t="inlineStr">
        <is>
          <t>พื้นถนน S2 คสล. หนา 0.15 ม. TOP ±0.00 พร้อมรอยต่อ/ตัดรอยต่อ</t>
        </is>
      </c>
      <c r="C50" s="46" t="n">
        <v>2440.69</v>
      </c>
      <c r="D50" s="46" t="inlineStr">
        <is>
          <t>ตร.ม.</t>
        </is>
      </c>
      <c r="E50" s="46" t="n">
        <v>2384.78</v>
      </c>
      <c r="F50" s="46" t="n">
        <v>2.3</v>
      </c>
      <c r="G50" s="48" t="inlineStr">
        <is>
          <t>ใกล้เคียง (≤5%)</t>
        </is>
      </c>
      <c r="H50" s="46" t="inlineStr">
        <is>
          <t>โมเดล (แนวเขต S202 หักอาคาร/ถัง/ทางลาด)</t>
        </is>
      </c>
    </row>
    <row r="51">
      <c r="A51" s="46" t="inlineStr">
        <is>
          <t>4.1.4</t>
        </is>
      </c>
      <c r="B51" s="46" t="inlineStr">
        <is>
          <t>พื้น AF01 / SF02 ระดับถนน</t>
        </is>
      </c>
      <c r="C51" s="46" t="n">
        <v>110.14</v>
      </c>
      <c r="D51" s="46" t="inlineStr">
        <is>
          <t>ตร.ม.</t>
        </is>
      </c>
      <c r="E51" s="46" t="n">
        <v>110.14</v>
      </c>
      <c r="F51" s="46" t="n">
        <v>0</v>
      </c>
      <c r="G51" s="47" t="inlineStr">
        <is>
          <t>ตรง</t>
        </is>
      </c>
      <c r="H51" s="46" t="inlineStr">
        <is>
          <t>ตาราง S6.1</t>
        </is>
      </c>
    </row>
    <row r="52">
      <c r="A52" s="46" t="inlineStr">
        <is>
          <t>4.1.5</t>
        </is>
      </c>
      <c r="B52" s="46" t="inlineStr">
        <is>
          <t>ทราย/หินคลุกรองใต้พื้นถนน S2 หนา 0.10 ม. บดอัด</t>
        </is>
      </c>
      <c r="C52" s="46" t="n">
        <v>244.07</v>
      </c>
      <c r="D52" s="46" t="inlineStr">
        <is>
          <t>ลบ.ม.</t>
        </is>
      </c>
      <c r="E52" s="46" t="n">
        <v>244.07</v>
      </c>
      <c r="F52" s="46" t="n">
        <v>0</v>
      </c>
      <c r="G52" s="47" t="inlineStr">
        <is>
          <t>ตรง</t>
        </is>
      </c>
      <c r="H52" s="46" t="inlineStr">
        <is>
          <t>S2 x 0.10</t>
        </is>
      </c>
    </row>
    <row r="53">
      <c r="A53" s="46" t="inlineStr">
        <is>
          <t>4.3.1</t>
        </is>
      </c>
      <c r="B53" s="46" t="inlineStr">
        <is>
          <t>เสาเข็มตอก I-220x220 ยาว 22 ม. รับฐานหม้อแปลง (I22-TR) รวมค่าตอก</t>
        </is>
      </c>
      <c r="C53" s="46" t="n">
        <v>6</v>
      </c>
      <c r="D53" s="46" t="inlineStr">
        <is>
          <t>ต้น</t>
        </is>
      </c>
      <c r="E53" s="46" t="n">
        <v>6</v>
      </c>
      <c r="F53" s="46" t="n">
        <v>0</v>
      </c>
      <c r="G53" s="47" t="inlineStr">
        <is>
          <t>ตรง</t>
        </is>
      </c>
      <c r="H53" s="46" t="inlineStr">
        <is>
          <t>ผัง S201</t>
        </is>
      </c>
    </row>
    <row r="54">
      <c r="A54" s="46" t="inlineStr">
        <is>
          <t>4.4.1</t>
        </is>
      </c>
      <c r="B54" s="46" t="inlineStr">
        <is>
          <t>ขุดดินถังเก็บน้ำใต้ดิน ~12.12 x 6.63 ม. ลึก 3.00 ม. และขนทิ้ง</t>
        </is>
      </c>
      <c r="C54" s="46" t="n">
        <v>241.07</v>
      </c>
      <c r="D54" s="46" t="inlineStr">
        <is>
          <t>ลบ.ม.</t>
        </is>
      </c>
      <c r="E54" s="46" t="n">
        <v>241.07</v>
      </c>
      <c r="F54" s="46" t="n">
        <v>0</v>
      </c>
      <c r="G54" s="47" t="inlineStr">
        <is>
          <t>ตรง</t>
        </is>
      </c>
      <c r="H54" s="46" t="inlineStr">
        <is>
          <t>ขนาดถังจากเวกเตอร์</t>
        </is>
      </c>
    </row>
    <row r="55">
      <c r="A55" s="46" t="inlineStr">
        <is>
          <t>4.4.2</t>
        </is>
      </c>
      <c r="B55" s="46" t="inlineStr">
        <is>
          <t>พื้นถังเก็บน้ำใต้ดิน คสล. หนา 0.25 ม. (TF -2.60 / BF -2.85) พร้อมคอนกรีตหยาบ/ทราย</t>
        </is>
      </c>
      <c r="C55" s="46" t="n">
        <v>80.36</v>
      </c>
      <c r="D55" s="46" t="inlineStr">
        <is>
          <t>ตร.ม.</t>
        </is>
      </c>
      <c r="E55" s="46" t="n">
        <v>80.36</v>
      </c>
      <c r="F55" s="46" t="n">
        <v>0</v>
      </c>
      <c r="G55" s="47" t="inlineStr">
        <is>
          <t>ตรง</t>
        </is>
      </c>
      <c r="H55" s="46" t="inlineStr">
        <is>
          <t>ขนาดถังจากเวกเตอร์</t>
        </is>
      </c>
    </row>
    <row r="56">
      <c r="A56" s="46" t="inlineStr">
        <is>
          <t>4.5.1</t>
        </is>
      </c>
      <c r="B56" s="46" t="inlineStr">
        <is>
          <t>รางระบายน้ำ คสล. พร้อมฝาปิด ตามแนวเขตที่ดิน</t>
        </is>
      </c>
      <c r="C56" s="46" t="n">
        <v>302</v>
      </c>
      <c r="D56" s="46" t="inlineStr">
        <is>
          <t>ม.</t>
        </is>
      </c>
      <c r="E56" s="46" t="n">
        <v>300.09</v>
      </c>
      <c r="F56" s="46" t="n">
        <v>0.6</v>
      </c>
      <c r="G56" s="47" t="inlineStr">
        <is>
          <t>ตรง</t>
        </is>
      </c>
      <c r="H56" s="46" t="inlineStr">
        <is>
          <t>โมเดล (แนวราง)</t>
        </is>
      </c>
    </row>
    <row r="57">
      <c r="A57" s="46" t="inlineStr">
        <is>
          <t>4.5.3</t>
        </is>
      </c>
      <c r="B57" s="46" t="inlineStr">
        <is>
          <t>ท่อระบายน้ำฝนใต้ดิน PVC Ø4" จากท่อลงถึงรางระบายน้ำ</t>
        </is>
      </c>
      <c r="C57" s="46" t="n">
        <v>10</v>
      </c>
      <c r="D57" s="46" t="inlineStr">
        <is>
          <t>จุด</t>
        </is>
      </c>
      <c r="E57" s="46" t="n">
        <v>10</v>
      </c>
      <c r="F57" s="46" t="n">
        <v>0</v>
      </c>
      <c r="G57" s="47" t="inlineStr">
        <is>
          <t>ตรง</t>
        </is>
      </c>
      <c r="H57" s="46" t="inlineStr">
        <is>
          <t>โมเดล</t>
        </is>
      </c>
    </row>
    <row r="58">
      <c r="A58" s="46" t="inlineStr">
        <is>
          <t>4.6.1</t>
        </is>
      </c>
      <c r="B58" s="46" t="inlineStr">
        <is>
          <t>เสาเข็ม I-260x260 + ฐาน 0.66x0.66 ม. แนวเขตที่ดินด้านใต้และตะวันออก (ไม่มีใน BOQ/ตาราง S2)</t>
        </is>
      </c>
      <c r="C58" s="46" t="n">
        <v>16</v>
      </c>
      <c r="D58" s="46" t="inlineStr">
        <is>
          <t>ชุด</t>
        </is>
      </c>
      <c r="E58" s="46" t="n">
        <v>16</v>
      </c>
      <c r="F58" s="46" t="n">
        <v>0</v>
      </c>
      <c r="G58" s="47" t="inlineStr">
        <is>
          <t>ตรง</t>
        </is>
      </c>
      <c r="H58" s="46" t="inlineStr">
        <is>
          <t>ผัง S201</t>
        </is>
      </c>
    </row>
    <row r="59">
      <c r="A59" s="46" t="n"/>
      <c r="B59" s="46" t="n"/>
      <c r="C59" s="46" t="n"/>
      <c r="D59" s="46" t="n"/>
      <c r="E59" s="46" t="n"/>
      <c r="F59" s="46" t="n"/>
      <c r="G59" s="46" t="n"/>
      <c r="H59" s="46" t="n"/>
    </row>
    <row r="60">
      <c r="A60" s="46" t="inlineStr"/>
      <c r="B60" s="41" t="inlineStr">
        <is>
          <t>สรุปประเด็นที่ต้องตรวจ</t>
        </is>
      </c>
      <c r="C60" s="46" t="n"/>
      <c r="D60" s="46" t="n"/>
      <c r="E60" s="46" t="n"/>
      <c r="F60" s="46" t="n"/>
      <c r="G60" s="46" t="n"/>
      <c r="H60" s="46" t="n"/>
    </row>
    <row r="61">
      <c r="A61" s="46" t="inlineStr"/>
      <c r="B61" s="46" t="inlineStr">
        <is>
          <t>2.3.5: BOQ 40.45 เทียบ 38.87 (+4.1%) – โมเดล (แนวคาน B3 จาก S202) → ใช้ตาราง S3 (ความยาวรวมช่วงที่ซ้อนเสา) โมเดลวัดระหว่างผิวเสา – ยอมรับ</t>
        </is>
      </c>
      <c r="C61" s="46" t="n"/>
      <c r="D61" s="46" t="n"/>
      <c r="E61" s="46" t="n"/>
      <c r="F61" s="46" t="n"/>
      <c r="G61" s="46" t="n"/>
      <c r="H61" s="46" t="n"/>
    </row>
    <row r="62">
      <c r="A62" s="46" t="inlineStr"/>
      <c r="B62" s="46" t="inlineStr">
        <is>
          <t>4.1.1: BOQ 249.00 เทียบ 232.00 (+7.3%) – ผัง S201 (ตาราง S2 = 249) → ผู้ว่าจ้างยืนยัน 249 – ผังแสดง 232 ตำแหน่ง ขอตำแหน่ง 17 ต้นจากผู้ออกแบบ</t>
        </is>
      </c>
      <c r="C62" s="46" t="n"/>
      <c r="D62" s="46" t="n"/>
      <c r="E62" s="46" t="n"/>
      <c r="F62" s="46" t="n"/>
      <c r="G62" s="46" t="n"/>
      <c r="H62" s="46" t="n"/>
    </row>
    <row r="63">
      <c r="A63" s="46" t="inlineStr"/>
      <c r="B63" s="46" t="inlineStr">
        <is>
          <t>4.1.2: BOQ 249.00 เทียบ 232.00 (+7.3%) – ผัง S201 (ตาราง S1.1 = 249) → ตาม 4.1.1 – ยอมรับ</t>
        </is>
      </c>
      <c r="C63" s="46" t="n"/>
      <c r="D63" s="46" t="n"/>
      <c r="E63" s="46" t="n"/>
      <c r="F63" s="46" t="n"/>
      <c r="G63" s="46" t="n"/>
      <c r="H63" s="46" t="n"/>
    </row>
    <row r="64">
      <c r="A64" s="46" t="inlineStr"/>
      <c r="B64" s="46" t="inlineStr">
        <is>
          <t>4.1.3: BOQ 2,440.69 เทียบ 2,384.78 (+2.3%) – โมเดล (แนวเขต S202 หักอาคาร/ถัง/ทางลาด) → ใช้ตาราง S6.1 (ค่าออกแบบ) โมเดลใช้แนวเขตที่ดินร่นเข้า 0.6 ม. โดยประมาณ – ยอมรับ</t>
        </is>
      </c>
      <c r="C64" s="46" t="n"/>
      <c r="D64" s="46" t="n"/>
      <c r="E64" s="46" t="n"/>
      <c r="F64" s="46" t="n"/>
      <c r="G64" s="46" t="n"/>
      <c r="H64" s="4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2026-10-28T12:56:37Z</dcterms:created>
  <dcterms:modified xmlns:dcterms="http://purl.org/dc/terms/" xmlns:xsi="http://www.w3.org/2001/XMLSchema-instance" xsi:type="dcterms:W3CDTF">2026-10-28T12:56:38Z</dcterms:modified>
</cp:coreProperties>
</file>