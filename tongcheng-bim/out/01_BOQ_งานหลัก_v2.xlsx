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1-งานเตรียมการ" sheetId="2" state="visible" r:id="rId2"/>
    <sheet xmlns:r="http://schemas.openxmlformats.org/officeDocument/2006/relationships" name="2-งานโครงสร้าง" sheetId="3" state="visible" r:id="rId3"/>
    <sheet xmlns:r="http://schemas.openxmlformats.org/officeDocument/2006/relationships" name="3-งานสถาปัตยกรรม" sheetId="4" state="visible" r:id="rId4"/>
    <sheet xmlns:r="http://schemas.openxmlformats.org/officeDocument/2006/relationships" name="4-งานบริเวณ" sheetId="5" state="visible" r:id="rId5"/>
    <sheet xmlns:r="http://schemas.openxmlformats.org/officeDocument/2006/relationships" name="บันทึกการแก้ไ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sz val="13"/>
    </font>
    <font>
      <name val="Tahoma"/>
      <b val="1"/>
      <color rgb="00FFFFFF"/>
    </font>
    <font>
      <name val="Tahoma"/>
      <b val="1"/>
    </font>
    <font>
      <name val="Tahoma"/>
      <sz val="10"/>
    </font>
    <font>
      <name val="Tahoma"/>
      <i val="1"/>
      <sz val="9"/>
    </font>
    <font>
      <name val="Tahoma"/>
    </font>
    <font>
      <name val="Tahoma"/>
      <b val="1"/>
      <sz val="10"/>
    </font>
  </fonts>
  <fills count="8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8EEF0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7E6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6" fillId="2" borderId="1" pivotButton="0" quotePrefix="0" xfId="0"/>
    <xf numFmtId="4" fontId="6" fillId="2" borderId="1" pivotButton="0" quotePrefix="0" xfId="0"/>
    <xf numFmtId="0" fontId="6" fillId="2" borderId="1" applyAlignment="1" pivotButton="0" quotePrefix="0" xfId="0">
      <alignment vertical="top" wrapText="1"/>
    </xf>
    <xf numFmtId="0" fontId="6" fillId="0" borderId="1" pivotButton="0" quotePrefix="0" xfId="0"/>
    <xf numFmtId="4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3" fillId="0" borderId="1" pivotButton="0" quotePrefix="0" xfId="0"/>
    <xf numFmtId="4" fontId="3" fillId="0" borderId="1" pivotButton="0" quotePrefix="0" xfId="0"/>
    <xf numFmtId="0" fontId="3" fillId="0" borderId="1" applyAlignment="1" pivotButton="0" quotePrefix="0" xfId="0">
      <alignment vertical="top" wrapText="1"/>
    </xf>
    <xf numFmtId="9" fontId="3" fillId="4" borderId="1" pivotButton="0" quotePrefix="0" xfId="0"/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/>
    </xf>
    <xf numFmtId="4" fontId="4" fillId="4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4" fontId="4" fillId="5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4" fontId="4" fillId="6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/>
    </xf>
    <xf numFmtId="0" fontId="7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6" customWidth="1" min="3" max="3"/>
    <col width="16" customWidth="1" min="4" max="4"/>
    <col width="18" customWidth="1" min="5" max="5"/>
    <col width="70" customWidth="1" min="6" max="6"/>
  </cols>
  <sheetData>
    <row r="1">
      <c r="A1" s="1" t="inlineStr">
        <is>
          <t>สรุปราคาค่าก่อสร้างงานหลัก (ไม่รวมงาน Preconstruction) – ฉบับแก้ไข v2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</t>
        </is>
      </c>
    </row>
    <row r="3">
      <c r="A3" t="inlineStr">
        <is>
          <t>สถานที่: เลขที่ 10/7 หมู่ที่ 5 ตำบลท่าข้าม อำเภอสามพราน จังหวัดนครปฐม 73110 | อ้างอิงแบบ S201, S201-B, S202, A101, A202 (Issue 01/09/69)</t>
        </is>
      </c>
    </row>
    <row r="4">
      <c r="A4" s="2" t="inlineStr">
        <is>
          <t>หมวด</t>
        </is>
      </c>
      <c r="B4" s="2" t="inlineStr">
        <is>
          <t>รายการ</t>
        </is>
      </c>
      <c r="C4" s="3" t="inlineStr">
        <is>
          <t>ค่าวัสดุ</t>
        </is>
      </c>
      <c r="D4" s="3" t="inlineStr">
        <is>
          <t>ค่าแรง</t>
        </is>
      </c>
      <c r="E4" s="3" t="inlineStr">
        <is>
          <t>รวมเป็นเงิน</t>
        </is>
      </c>
      <c r="F4" s="4" t="inlineStr">
        <is>
          <t>หมายเหตุ</t>
        </is>
      </c>
    </row>
    <row r="5">
      <c r="A5" s="5" t="inlineStr">
        <is>
          <t>1</t>
        </is>
      </c>
      <c r="B5" s="5" t="inlineStr">
        <is>
          <t>งานเตรียมการ</t>
        </is>
      </c>
      <c r="C5" s="6">
        <f>'1-งานเตรียมการ'!F37</f>
        <v/>
      </c>
      <c r="D5" s="6">
        <f>'1-งานเตรียมการ'!H37</f>
        <v/>
      </c>
      <c r="E5" s="6">
        <f>'1-งานเตรียมการ'!I37</f>
        <v/>
      </c>
      <c r="F5" s="7" t="inlineStr">
        <is>
          <t>วางผัง, สิ่งอำนวยความสะดวกชั่วคราว, ถมดิน/ขุดดิน, เครื่องจักรและการทดสอบ, ความปลอดภัยและการบริหาร</t>
        </is>
      </c>
    </row>
    <row r="6">
      <c r="A6" s="5" t="inlineStr">
        <is>
          <t>2</t>
        </is>
      </c>
      <c r="B6" s="5" t="inlineStr">
        <is>
          <t>งานโครงสร้าง</t>
        </is>
      </c>
      <c r="C6" s="6">
        <f>'2-งานโครงสร้าง'!F39</f>
        <v/>
      </c>
      <c r="D6" s="6">
        <f>'2-งานโครงสร้าง'!H39</f>
        <v/>
      </c>
      <c r="E6" s="6">
        <f>'2-งานโครงสร้าง'!I39</f>
        <v/>
      </c>
      <c r="F6" s="7" t="inlineStr">
        <is>
          <t>เสาเข็ม, ฐานราก, เสา-คาน คสล., พื้น คสล., โครงสร้างเหล็ก, ชั้นลอย</t>
        </is>
      </c>
    </row>
    <row r="7">
      <c r="A7" s="5" t="inlineStr">
        <is>
          <t>3</t>
        </is>
      </c>
      <c r="B7" s="5" t="inlineStr">
        <is>
          <t>งานสถาปัตยกรรม</t>
        </is>
      </c>
      <c r="C7" s="6">
        <f>'3-งานสถาปัตยกรรม'!F27</f>
        <v/>
      </c>
      <c r="D7" s="6">
        <f>'3-งานสถาปัตยกรรม'!H27</f>
        <v/>
      </c>
      <c r="E7" s="6">
        <f>'3-งานสถาปัตยกรรม'!I27</f>
        <v/>
      </c>
      <c r="F7" s="7" t="inlineStr">
        <is>
          <t>หลังคาและผนังภายนอก, ผนังก่ออิฐฉาบปูน, ผิวพื้น, ประตูหน้าต่าง, ทาสี, อาคารประกอบ</t>
        </is>
      </c>
    </row>
    <row r="8">
      <c r="A8" s="5" t="inlineStr">
        <is>
          <t>4</t>
        </is>
      </c>
      <c r="B8" s="5" t="inlineStr">
        <is>
          <t>งานบริเวณ (เพิ่มใหม่ทั้งหมวด)</t>
        </is>
      </c>
      <c r="C8" s="6">
        <f>'4-งานบริเวณ'!F24</f>
        <v/>
      </c>
      <c r="D8" s="6">
        <f>'4-งานบริเวณ'!H24</f>
        <v/>
      </c>
      <c r="E8" s="6">
        <f>'4-งานบริเวณ'!I24</f>
        <v/>
      </c>
      <c r="F8" s="7" t="inlineStr">
        <is>
          <t>พื้นถนน+เข็ม I22, ทางลาด, ฐานหม้อแปลง, ถังเก็บน้ำใต้ดิน, ระบายน้ำ (หมวดใหม่)</t>
        </is>
      </c>
    </row>
    <row r="9">
      <c r="A9" s="8" t="n"/>
      <c r="B9" s="8" t="inlineStr">
        <is>
          <t>รวมค่างานต้นทุน</t>
        </is>
      </c>
      <c r="C9" s="9" t="n"/>
      <c r="D9" s="9" t="n"/>
      <c r="E9" s="9">
        <f>SUM(E5:E8)</f>
        <v/>
      </c>
      <c r="F9" s="10" t="n"/>
    </row>
    <row r="10">
      <c r="A10" s="8" t="n"/>
      <c r="B10" s="8" t="inlineStr">
        <is>
          <t>ค่าบริหารโครงการและกำไร (Overhead &amp; Profit) %</t>
        </is>
      </c>
      <c r="C10" s="9" t="n"/>
      <c r="D10" s="11" t="n">
        <v>0.1</v>
      </c>
      <c r="E10" s="9" t="n"/>
      <c r="F10" s="10" t="n"/>
    </row>
    <row r="11">
      <c r="A11" s="8" t="n"/>
      <c r="B11" s="8" t="inlineStr">
        <is>
          <t>ค่าบริหารโครงการและกำไร (Overhead &amp; Profit)</t>
        </is>
      </c>
      <c r="C11" s="9" t="n"/>
      <c r="D11" s="9" t="n"/>
      <c r="E11" s="9">
        <f>E9*D10</f>
        <v/>
      </c>
      <c r="F11" s="10" t="n"/>
    </row>
    <row r="12">
      <c r="A12" s="8" t="n"/>
      <c r="B12" s="8" t="inlineStr">
        <is>
          <t>รวมราคาก่อนภาษีมูลค่าเพิ่ม</t>
        </is>
      </c>
      <c r="C12" s="9" t="n"/>
      <c r="D12" s="9" t="n"/>
      <c r="E12" s="9">
        <f>E9+E11</f>
        <v/>
      </c>
      <c r="F12" s="10" t="n"/>
    </row>
    <row r="13">
      <c r="A13" s="8" t="n"/>
      <c r="B13" s="8" t="inlineStr">
        <is>
          <t>ภาษีมูลค่าเพิ่ม 7%</t>
        </is>
      </c>
      <c r="C13" s="9" t="n"/>
      <c r="D13" s="9" t="n"/>
      <c r="E13" s="9">
        <f>E12*0.07</f>
        <v/>
      </c>
      <c r="F13" s="10" t="n"/>
    </row>
    <row r="14">
      <c r="A14" s="8" t="n"/>
      <c r="B14" s="8" t="inlineStr">
        <is>
          <t>รวมราคาเสนอทั้งสิ้น</t>
        </is>
      </c>
      <c r="C14" s="9" t="n"/>
      <c r="D14" s="9" t="n"/>
      <c r="E14" s="9">
        <f>E12+E13</f>
        <v/>
      </c>
      <c r="F14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8" customWidth="1" min="2" max="2"/>
    <col width="11" customWidth="1" min="3" max="3"/>
    <col width="8" customWidth="1" min="4" max="4"/>
    <col width="13" customWidth="1" min="5" max="5"/>
    <col width="15" customWidth="1" min="6" max="6"/>
    <col width="13" customWidth="1" min="7" max="7"/>
    <col width="15" customWidth="1" min="8" max="8"/>
    <col width="16" customWidth="1" min="9" max="9"/>
    <col width="11" customWidth="1" min="10" max="10"/>
    <col width="60" customWidth="1" min="11" max="11"/>
  </cols>
  <sheetData>
    <row r="1">
      <c r="A1" s="1" t="inlineStr">
        <is>
          <t>บัญชีปริมาณงานและราคา หมวดที่ 1 งานเตรียมการ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</t>
        </is>
      </c>
    </row>
    <row r="3">
      <c r="A3" t="inlineStr">
        <is>
          <t>สถานที่: เลขที่ 10/7 หมู่ที่ 5 ตำบลท่าข้าม อำเภอสามพราน จังหวัดนครปฐม 73110 | อ้างอิงแบบ S201, S201-B, S202, A101, A202 (Issue 01/09/69) | ฉบับแก้ไข v2 (ทวนสอบแบบ + BIM) 27/10/2569</t>
        </is>
      </c>
    </row>
    <row r="4">
      <c r="A4" s="12" t="inlineStr">
        <is>
          <t>ลำดับ</t>
        </is>
      </c>
      <c r="B4" s="13" t="inlineStr">
        <is>
          <t>รายการ</t>
        </is>
      </c>
      <c r="C4" s="14" t="inlineStr">
        <is>
          <t>ปริมาณ</t>
        </is>
      </c>
      <c r="D4" s="12" t="inlineStr">
        <is>
          <t>หน่วย</t>
        </is>
      </c>
      <c r="E4" s="14" t="inlineStr">
        <is>
          <t>ค่าวัสดุ/หน่วย</t>
        </is>
      </c>
      <c r="F4" s="14" t="inlineStr">
        <is>
          <t>ค่าวัสดุรวม</t>
        </is>
      </c>
      <c r="G4" s="14" t="inlineStr">
        <is>
          <t>ค่าแรง/หน่วย</t>
        </is>
      </c>
      <c r="H4" s="14" t="inlineStr">
        <is>
          <t>ค่าแรงรวม</t>
        </is>
      </c>
      <c r="I4" s="14" t="inlineStr">
        <is>
          <t>รวมเป็นเงิน</t>
        </is>
      </c>
      <c r="J4" s="12" t="inlineStr">
        <is>
          <t>สถานะ</t>
        </is>
      </c>
      <c r="K4" s="13" t="inlineStr">
        <is>
          <t>หมายเหตุ / ที่มาของปริมาณ</t>
        </is>
      </c>
    </row>
    <row r="5">
      <c r="A5" s="15" t="inlineStr">
        <is>
          <t>1.1</t>
        </is>
      </c>
      <c r="B5" s="16" t="inlineStr">
        <is>
          <t>หมวดงานวางผัง</t>
        </is>
      </c>
      <c r="C5" s="17" t="n"/>
      <c r="D5" s="15" t="n"/>
      <c r="E5" s="17" t="n"/>
      <c r="F5" s="17" t="n"/>
      <c r="G5" s="17" t="n"/>
      <c r="H5" s="17" t="n"/>
      <c r="I5" s="17" t="n"/>
      <c r="J5" s="15" t="n"/>
      <c r="K5" s="16" t="n"/>
    </row>
    <row r="6">
      <c r="A6" s="18" t="inlineStr">
        <is>
          <t>1.1.1</t>
        </is>
      </c>
      <c r="B6" s="19" t="inlineStr">
        <is>
          <t>วางผังอาคาร กำหนดแนวกริด 1-11 และ A-J ตั้งหมุดอ้างอิงถาวร (BM) และระดับ ±0.00</t>
        </is>
      </c>
      <c r="C6" s="20" t="n">
        <v>1</v>
      </c>
      <c r="D6" s="18" t="inlineStr">
        <is>
          <t>งาน</t>
        </is>
      </c>
      <c r="E6" s="21" t="n"/>
      <c r="F6" s="20">
        <f>IF(C6="",0,C6*E6)</f>
        <v/>
      </c>
      <c r="G6" s="21" t="n"/>
      <c r="H6" s="20">
        <f>IF(C6="",0,C6*G6)</f>
        <v/>
      </c>
      <c r="I6" s="20">
        <f>F6+H6</f>
        <v/>
      </c>
      <c r="J6" s="18" t="inlineStr"/>
      <c r="K6" s="19" t="inlineStr">
        <is>
          <t>ผังอาคาร 60.00 x 54.00 ม. (S201)</t>
        </is>
      </c>
    </row>
    <row r="7">
      <c r="A7" s="22" t="inlineStr">
        <is>
          <t>1.1.2</t>
        </is>
      </c>
      <c r="B7" s="23" t="inlineStr">
        <is>
          <t>วางตำแหน่งเสาเข็มด้วยกล้องสำรวจ (Total Station) และตรวจสอบตำแหน่งหลังตอก</t>
        </is>
      </c>
      <c r="C7" s="24" t="n">
        <v>751</v>
      </c>
      <c r="D7" s="22" t="inlineStr">
        <is>
          <t>ต้น</t>
        </is>
      </c>
      <c r="E7" s="21" t="n"/>
      <c r="F7" s="20">
        <f>IF(C7="",0,C7*E7)</f>
        <v/>
      </c>
      <c r="G7" s="21" t="n"/>
      <c r="H7" s="20">
        <f>IF(C7="",0,C7*G7)</f>
        <v/>
      </c>
      <c r="I7" s="20">
        <f>F7+H7</f>
        <v/>
      </c>
      <c r="J7" s="22" t="inlineStr">
        <is>
          <t>แก้ไข</t>
        </is>
      </c>
      <c r="K7" s="19" t="inlineStr">
        <is>
          <t>เดิม 470 → นับจากผัง S201 ทุกชนิด (ดูหมวด 2.1 และ 4.1)</t>
        </is>
      </c>
    </row>
    <row r="8">
      <c r="A8" s="15" t="inlineStr">
        <is>
          <t>1.2</t>
        </is>
      </c>
      <c r="B8" s="16" t="inlineStr">
        <is>
          <t>หมวดงานสิ่งอำนวยความสะดวกชั่วคราว</t>
        </is>
      </c>
      <c r="C8" s="17" t="n"/>
      <c r="D8" s="15" t="n"/>
      <c r="E8" s="17" t="n"/>
      <c r="F8" s="17" t="n"/>
      <c r="G8" s="17" t="n"/>
      <c r="H8" s="17" t="n"/>
      <c r="I8" s="17" t="n"/>
      <c r="J8" s="15" t="n"/>
      <c r="K8" s="16" t="n"/>
    </row>
    <row r="9">
      <c r="A9" s="22" t="inlineStr">
        <is>
          <t>1.2.1</t>
        </is>
      </c>
      <c r="B9" s="23" t="inlineStr">
        <is>
          <t>รั้วชั่วคราวแผ่นเหล็กรีดลอน (Metal Sheet) สูง 2.00 ม. โครงเหล็กกล่อง พร้อมทาสี</t>
        </is>
      </c>
      <c r="C9" s="24" t="n">
        <v>312</v>
      </c>
      <c r="D9" s="22" t="inlineStr">
        <is>
          <t>ม.</t>
        </is>
      </c>
      <c r="E9" s="21" t="n"/>
      <c r="F9" s="20">
        <f>IF(C9="",0,C9*E9)</f>
        <v/>
      </c>
      <c r="G9" s="21" t="n"/>
      <c r="H9" s="20">
        <f>IF(C9="",0,C9*G9)</f>
        <v/>
      </c>
      <c r="I9" s="20">
        <f>F9+H9</f>
        <v/>
      </c>
      <c r="J9" s="22" t="inlineStr">
        <is>
          <t>แก้ไข</t>
        </is>
      </c>
      <c r="K9" s="19" t="inlineStr">
        <is>
          <t>เดิม 308 (สมมติ 80x74) → เส้นรอบแนวเขตที่ดินจากผัง S202</t>
        </is>
      </c>
    </row>
    <row r="10">
      <c r="A10" s="18" t="inlineStr">
        <is>
          <t>1.2.2</t>
        </is>
      </c>
      <c r="B10" s="19" t="inlineStr">
        <is>
          <t>ประตูรั้วชั่วคราว บานเลื่อน/บานเปิดคู่ กว้าง 6.00 ม.</t>
        </is>
      </c>
      <c r="C10" s="20" t="n">
        <v>1</v>
      </c>
      <c r="D10" s="18" t="inlineStr">
        <is>
          <t>ชุด</t>
        </is>
      </c>
      <c r="E10" s="21" t="n"/>
      <c r="F10" s="20">
        <f>IF(C10="",0,C10*E10)</f>
        <v/>
      </c>
      <c r="G10" s="21" t="n"/>
      <c r="H10" s="20">
        <f>IF(C10="",0,C10*G10)</f>
        <v/>
      </c>
      <c r="I10" s="20">
        <f>F10+H10</f>
        <v/>
      </c>
      <c r="J10" s="18" t="inlineStr"/>
      <c r="K10" s="19" t="inlineStr"/>
    </row>
    <row r="11">
      <c r="A11" s="18" t="inlineStr">
        <is>
          <t>1.2.3</t>
        </is>
      </c>
      <c r="B11" s="19" t="inlineStr">
        <is>
          <t>สำนักงานสนาม (Site Office) ขนาดไม่น้อยกว่า 3.00 x 8.00 ม. พร้อมเครื่องปรับอากาศ โต๊ะประชุม และอุปกรณ์สำนักงาน</t>
        </is>
      </c>
      <c r="C11" s="20" t="n">
        <v>1</v>
      </c>
      <c r="D11" s="18" t="inlineStr">
        <is>
          <t>หลัง</t>
        </is>
      </c>
      <c r="E11" s="21" t="n"/>
      <c r="F11" s="20">
        <f>IF(C11="",0,C11*E11)</f>
        <v/>
      </c>
      <c r="G11" s="21" t="n"/>
      <c r="H11" s="20">
        <f>IF(C11="",0,C11*G11)</f>
        <v/>
      </c>
      <c r="I11" s="20">
        <f>F11+H11</f>
        <v/>
      </c>
      <c r="J11" s="18" t="inlineStr"/>
      <c r="K11" s="19" t="inlineStr">
        <is>
          <t>รวมพื้นที่สำหรับผู้ควบคุมงานของผู้ว่าจ้าง</t>
        </is>
      </c>
    </row>
    <row r="12">
      <c r="A12" s="22" t="inlineStr">
        <is>
          <t>1.2.4</t>
        </is>
      </c>
      <c r="B12" s="23" t="inlineStr">
        <is>
          <t>โรงเก็บวัสดุและเครื่องมือ (Store) พร้อมลานกองเหล็กเสริมและลานดัดเหล็ก</t>
        </is>
      </c>
      <c r="C12" s="24" t="n">
        <v>1</v>
      </c>
      <c r="D12" s="22" t="inlineStr">
        <is>
          <t>แห่ง</t>
        </is>
      </c>
      <c r="E12" s="21" t="n"/>
      <c r="F12" s="20">
        <f>IF(C12="",0,C12*E12)</f>
        <v/>
      </c>
      <c r="G12" s="21" t="n"/>
      <c r="H12" s="20">
        <f>IF(C12="",0,C12*G12)</f>
        <v/>
      </c>
      <c r="I12" s="20">
        <f>F12+H12</f>
        <v/>
      </c>
      <c r="J12" s="22" t="inlineStr">
        <is>
          <t>แก้ไข</t>
        </is>
      </c>
      <c r="K12" s="19" t="inlineStr">
        <is>
          <t>พื้นที่ว่างรอบอาคารแคบ (4-14 ม.) ต้องย้ายออกก่อนงานพื้นถนน หรือเช่าพื้นที่ข้างเคียง</t>
        </is>
      </c>
    </row>
    <row r="13">
      <c r="A13" s="18" t="inlineStr">
        <is>
          <t>1.2.5</t>
        </is>
      </c>
      <c r="B13" s="19" t="inlineStr">
        <is>
          <t>ห้องน้ำ-ห้องส้วมชั่วคราว พร้อมถังบำบัดสำเร็จรูป</t>
        </is>
      </c>
      <c r="C13" s="20" t="n">
        <v>2</v>
      </c>
      <c r="D13" s="18" t="inlineStr">
        <is>
          <t>ห้อง</t>
        </is>
      </c>
      <c r="E13" s="21" t="n"/>
      <c r="F13" s="20">
        <f>IF(C13="",0,C13*E13)</f>
        <v/>
      </c>
      <c r="G13" s="21" t="n"/>
      <c r="H13" s="20">
        <f>IF(C13="",0,C13*G13)</f>
        <v/>
      </c>
      <c r="I13" s="20">
        <f>F13+H13</f>
        <v/>
      </c>
      <c r="J13" s="18" t="inlineStr"/>
      <c r="K13" s="19" t="inlineStr">
        <is>
          <t>ไม่น้อยกว่า 1 ห้อง/คนงาน 15 คน</t>
        </is>
      </c>
    </row>
    <row r="14">
      <c r="A14" s="18" t="inlineStr">
        <is>
          <t>1.2.6</t>
        </is>
      </c>
      <c r="B14" s="19" t="inlineStr">
        <is>
          <t>ที่พักคนงาน (หากจัดภายในพื้นที่ ต้องได้รับอนุญาตจากผู้ว่าจ้าง)</t>
        </is>
      </c>
      <c r="C14" s="20" t="n">
        <v>1</v>
      </c>
      <c r="D14" s="18" t="inlineStr">
        <is>
          <t>เหมา</t>
        </is>
      </c>
      <c r="E14" s="21" t="n"/>
      <c r="F14" s="20">
        <f>IF(C14="",0,C14*E14)</f>
        <v/>
      </c>
      <c r="G14" s="21" t="n"/>
      <c r="H14" s="20">
        <f>IF(C14="",0,C14*G14)</f>
        <v/>
      </c>
      <c r="I14" s="20">
        <f>F14+H14</f>
        <v/>
      </c>
      <c r="J14" s="18" t="inlineStr"/>
      <c r="K14" s="19" t="inlineStr"/>
    </row>
    <row r="15">
      <c r="A15" s="18" t="inlineStr">
        <is>
          <t>1.2.7</t>
        </is>
      </c>
      <c r="B15" s="19" t="inlineStr">
        <is>
          <t>ระบบไฟฟ้าชั่วคราว ตู้ควบคุม เดินสายไฟ พร้อมเครื่องตัดไฟรั่ว (RCBO)</t>
        </is>
      </c>
      <c r="C15" s="20" t="n">
        <v>1</v>
      </c>
      <c r="D15" s="18" t="inlineStr">
        <is>
          <t>เหมา</t>
        </is>
      </c>
      <c r="E15" s="21" t="n"/>
      <c r="F15" s="20">
        <f>IF(C15="",0,C15*E15)</f>
        <v/>
      </c>
      <c r="G15" s="21" t="n"/>
      <c r="H15" s="20">
        <f>IF(C15="",0,C15*G15)</f>
        <v/>
      </c>
      <c r="I15" s="20">
        <f>F15+H15</f>
        <v/>
      </c>
      <c r="J15" s="18" t="inlineStr"/>
      <c r="K15" s="19" t="inlineStr"/>
    </row>
    <row r="16">
      <c r="A16" s="18" t="inlineStr">
        <is>
          <t>1.2.8</t>
        </is>
      </c>
      <c r="B16" s="19" t="inlineStr">
        <is>
          <t>ระบบประปาชั่วคราว ท่อเมน ถังพักน้ำ และปั๊มน้ำ</t>
        </is>
      </c>
      <c r="C16" s="20" t="n">
        <v>1</v>
      </c>
      <c r="D16" s="18" t="inlineStr">
        <is>
          <t>เหมา</t>
        </is>
      </c>
      <c r="E16" s="21" t="n"/>
      <c r="F16" s="20">
        <f>IF(C16="",0,C16*E16)</f>
        <v/>
      </c>
      <c r="G16" s="21" t="n"/>
      <c r="H16" s="20">
        <f>IF(C16="",0,C16*G16)</f>
        <v/>
      </c>
      <c r="I16" s="20">
        <f>F16+H16</f>
        <v/>
      </c>
      <c r="J16" s="18" t="inlineStr"/>
      <c r="K16" s="19" t="inlineStr"/>
    </row>
    <row r="17">
      <c r="A17" s="18" t="inlineStr">
        <is>
          <t>1.2.9</t>
        </is>
      </c>
      <c r="B17" s="19" t="inlineStr">
        <is>
          <t>ค่าน้ำประปาและค่าไฟฟ้าระหว่างก่อสร้าง</t>
        </is>
      </c>
      <c r="C17" s="20" t="n">
        <v>6</v>
      </c>
      <c r="D17" s="18" t="inlineStr">
        <is>
          <t>เดือน</t>
        </is>
      </c>
      <c r="E17" s="21" t="n"/>
      <c r="F17" s="20">
        <f>IF(C17="",0,C17*E17)</f>
        <v/>
      </c>
      <c r="G17" s="21" t="n"/>
      <c r="H17" s="20">
        <f>IF(C17="",0,C17*G17)</f>
        <v/>
      </c>
      <c r="I17" s="20">
        <f>F17+H17</f>
        <v/>
      </c>
      <c r="J17" s="18" t="inlineStr"/>
      <c r="K17" s="19" t="inlineStr">
        <is>
          <t>แผน CPM งานหลัก 5.4 เดือน (14 ธ.ค. 69 – 27 พ.ค. 70)</t>
        </is>
      </c>
    </row>
    <row r="18">
      <c r="A18" s="18" t="inlineStr">
        <is>
          <t>1.2.10</t>
        </is>
      </c>
      <c r="B18" s="19" t="inlineStr">
        <is>
          <t>ป้ายโครงการ ขนาด 1.20 x 2.40 ม. โครงเหล็ก พิมพ์อิงค์เจ็ท ตามที่ผู้ว่าจ้างอนุมัติ</t>
        </is>
      </c>
      <c r="C18" s="20" t="n">
        <v>1</v>
      </c>
      <c r="D18" s="18" t="inlineStr">
        <is>
          <t>ป้าย</t>
        </is>
      </c>
      <c r="E18" s="21" t="n"/>
      <c r="F18" s="20">
        <f>IF(C18="",0,C18*E18)</f>
        <v/>
      </c>
      <c r="G18" s="21" t="n"/>
      <c r="H18" s="20">
        <f>IF(C18="",0,C18*G18)</f>
        <v/>
      </c>
      <c r="I18" s="20">
        <f>F18+H18</f>
        <v/>
      </c>
      <c r="J18" s="18" t="inlineStr"/>
      <c r="K18" s="19" t="inlineStr"/>
    </row>
    <row r="19">
      <c r="A19" s="15" t="inlineStr">
        <is>
          <t>1.3</t>
        </is>
      </c>
      <c r="B19" s="16" t="inlineStr">
        <is>
          <t>หมวดงานถมดินและปรับพื้นที่</t>
        </is>
      </c>
      <c r="C19" s="17" t="n"/>
      <c r="D19" s="15" t="n"/>
      <c r="E19" s="17" t="n"/>
      <c r="F19" s="17" t="n"/>
      <c r="G19" s="17" t="n"/>
      <c r="H19" s="17" t="n"/>
      <c r="I19" s="17" t="n"/>
      <c r="J19" s="15" t="n"/>
      <c r="K19" s="16" t="n"/>
    </row>
    <row r="20">
      <c r="A20" s="22" t="inlineStr">
        <is>
          <t>1.3.1</t>
        </is>
      </c>
      <c r="B20" s="23" t="inlineStr">
        <is>
          <t>ถมดินปรับระดับ บดอัดเป็นชั้นหนาไม่เกิน 0.20 ม. ความแน่นไม่น้อยกว่า 95% Standard Proctor</t>
        </is>
      </c>
      <c r="C20" s="24" t="n">
        <v>8566</v>
      </c>
      <c r="D20" s="22" t="inlineStr">
        <is>
          <t>ลบ.ม.</t>
        </is>
      </c>
      <c r="E20" s="21" t="n"/>
      <c r="F20" s="20">
        <f>IF(C20="",0,C20*E20)</f>
        <v/>
      </c>
      <c r="G20" s="21" t="n"/>
      <c r="H20" s="20">
        <f>IF(C20="",0,C20*G20)</f>
        <v/>
      </c>
      <c r="I20" s="20">
        <f>F20+H20</f>
        <v/>
      </c>
      <c r="J20" s="22" t="inlineStr">
        <is>
          <t>แก้ไข</t>
        </is>
      </c>
      <c r="K20" s="19" t="inlineStr">
        <is>
          <t>เดิม 1,856 (ถมเฉลี่ย 0.50 ม.) → A202: ถนนอ้างอิง -1.50 / ถนนรอบอาคาร ±0.00 / FFL +0.50 ถ้าดินเดิม -1.50 = 8,566; -1.00 = 5,593; -0.50 = 2,620 ลบ.ม. ยืนยันด้วยผลสำรวจระดับ P1.2 และเสนอราคาต่อ ลบ.ม.</t>
        </is>
      </c>
    </row>
    <row r="21">
      <c r="A21" s="18" t="inlineStr">
        <is>
          <t>1.3.2</t>
        </is>
      </c>
      <c r="B21" s="19" t="inlineStr">
        <is>
          <t>ลานทำงานเครื่องตอกเข็ม (Working Platform) ปูหินคลุก/เศษหิน</t>
        </is>
      </c>
      <c r="C21" s="20" t="n">
        <v>1</v>
      </c>
      <c r="D21" s="18" t="inlineStr">
        <is>
          <t>เหมา</t>
        </is>
      </c>
      <c r="E21" s="21" t="n"/>
      <c r="F21" s="20">
        <f>IF(C21="",0,C21*E21)</f>
        <v/>
      </c>
      <c r="G21" s="21" t="n"/>
      <c r="H21" s="20">
        <f>IF(C21="",0,C21*G21)</f>
        <v/>
      </c>
      <c r="I21" s="20">
        <f>F21+H21</f>
        <v/>
      </c>
      <c r="J21" s="18" t="inlineStr"/>
      <c r="K21" s="19" t="inlineStr"/>
    </row>
    <row r="22">
      <c r="A22" s="18" t="inlineStr">
        <is>
          <t>1.3.3</t>
        </is>
      </c>
      <c r="B22" s="19" t="inlineStr">
        <is>
          <t>รางระบายน้ำชั่วคราวและบ่อพักตะกอน ป้องกันน้ำท่วมขังและดินไหลลงพื้นที่ข้างเคียง</t>
        </is>
      </c>
      <c r="C22" s="20" t="n">
        <v>1</v>
      </c>
      <c r="D22" s="18" t="inlineStr">
        <is>
          <t>เหมา</t>
        </is>
      </c>
      <c r="E22" s="21" t="n"/>
      <c r="F22" s="20">
        <f>IF(C22="",0,C22*E22)</f>
        <v/>
      </c>
      <c r="G22" s="21" t="n"/>
      <c r="H22" s="20">
        <f>IF(C22="",0,C22*G22)</f>
        <v/>
      </c>
      <c r="I22" s="20">
        <f>F22+H22</f>
        <v/>
      </c>
      <c r="J22" s="18" t="inlineStr"/>
      <c r="K22" s="19" t="inlineStr"/>
    </row>
    <row r="23">
      <c r="A23" s="25" t="inlineStr">
        <is>
          <t>1.3.4</t>
        </is>
      </c>
      <c r="B23" s="26" t="inlineStr">
        <is>
          <t>ขุดดินฐานรากและขนย้ายดินส่วนเกิน (จากตาราง S1.1)</t>
        </is>
      </c>
      <c r="C23" s="27" t="n">
        <v>434.29</v>
      </c>
      <c r="D23" s="25" t="inlineStr">
        <is>
          <t>ลบ.ม.</t>
        </is>
      </c>
      <c r="E23" s="21" t="n"/>
      <c r="F23" s="20">
        <f>IF(C23="",0,C23*E23)</f>
        <v/>
      </c>
      <c r="G23" s="21" t="n"/>
      <c r="H23" s="20">
        <f>IF(C23="",0,C23*G23)</f>
        <v/>
      </c>
      <c r="I23" s="20">
        <f>F23+H23</f>
        <v/>
      </c>
      <c r="J23" s="25" t="inlineStr">
        <is>
          <t>เพิ่มใหม่</t>
        </is>
      </c>
      <c r="K23" s="19" t="inlineStr">
        <is>
          <t>S201-B ตาราง S1.1 รวม F1/F1A/F1P/F2P (ไม่รวมถังใต้ดิน 4.4)</t>
        </is>
      </c>
    </row>
    <row r="24">
      <c r="A24" s="25" t="inlineStr">
        <is>
          <t>1.3.5</t>
        </is>
      </c>
      <c r="B24" s="26" t="inlineStr">
        <is>
          <t>ป้องกันดินพังและสูบน้ำ งานขุดถังเก็บน้ำใต้ดิน ลึก ~3.0 ม. (Sheet pile/ค้ำยัน)</t>
        </is>
      </c>
      <c r="C24" s="27" t="n">
        <v>1</v>
      </c>
      <c r="D24" s="25" t="inlineStr">
        <is>
          <t>เหมา</t>
        </is>
      </c>
      <c r="E24" s="21" t="n"/>
      <c r="F24" s="20">
        <f>IF(C24="",0,C24*E24)</f>
        <v/>
      </c>
      <c r="G24" s="21" t="n"/>
      <c r="H24" s="20">
        <f>IF(C24="",0,C24*G24)</f>
        <v/>
      </c>
      <c r="I24" s="20">
        <f>F24+H24</f>
        <v/>
      </c>
      <c r="J24" s="25" t="inlineStr">
        <is>
          <t>เพิ่มใหม่</t>
        </is>
      </c>
      <c r="K24" s="19" t="inlineStr">
        <is>
          <t>ระดับก้นถัง BF -2.85 (S202)</t>
        </is>
      </c>
    </row>
    <row r="25">
      <c r="A25" s="15" t="inlineStr">
        <is>
          <t>1.4</t>
        </is>
      </c>
      <c r="B25" s="16" t="inlineStr">
        <is>
          <t>หมวดเครื่องจักรและการทดสอบ</t>
        </is>
      </c>
      <c r="C25" s="17" t="n"/>
      <c r="D25" s="15" t="n"/>
      <c r="E25" s="17" t="n"/>
      <c r="F25" s="17" t="n"/>
      <c r="G25" s="17" t="n"/>
      <c r="H25" s="17" t="n"/>
      <c r="I25" s="17" t="n"/>
      <c r="J25" s="15" t="n"/>
      <c r="K25" s="16" t="n"/>
    </row>
    <row r="26">
      <c r="A26" s="18" t="inlineStr">
        <is>
          <t>1.4.1</t>
        </is>
      </c>
      <c r="B26" s="19" t="inlineStr">
        <is>
          <t>ค่าขนย้ายเครื่องจักรเข้า-ออกพื้นที่ ปั้นจั่นตอกเข็ม และเครื่องจักรงานดิน</t>
        </is>
      </c>
      <c r="C26" s="20" t="n">
        <v>1</v>
      </c>
      <c r="D26" s="18" t="inlineStr">
        <is>
          <t>เหมา</t>
        </is>
      </c>
      <c r="E26" s="21" t="n"/>
      <c r="F26" s="20">
        <f>IF(C26="",0,C26*E26)</f>
        <v/>
      </c>
      <c r="G26" s="21" t="n"/>
      <c r="H26" s="20">
        <f>IF(C26="",0,C26*G26)</f>
        <v/>
      </c>
      <c r="I26" s="20">
        <f>F26+H26</f>
        <v/>
      </c>
      <c r="J26" s="18" t="inlineStr"/>
      <c r="K26" s="19" t="inlineStr">
        <is>
          <t>แนะนำตอกเข็มทุกชนิด (รวมเข็มถนน) ในการเข้าพื้นที่ครั้งเดียว</t>
        </is>
      </c>
    </row>
    <row r="27">
      <c r="A27" s="22" t="inlineStr">
        <is>
          <t>1.4.2</t>
        </is>
      </c>
      <c r="B27" s="23" t="inlineStr">
        <is>
          <t>ทดสอบกำลังรับน้ำหนักเสาเข็มแบบพลศาสตร์ (Dynamic Load Test)</t>
        </is>
      </c>
      <c r="C27" s="24" t="n">
        <v>3</v>
      </c>
      <c r="D27" s="22" t="inlineStr">
        <is>
          <t>ต้น</t>
        </is>
      </c>
      <c r="E27" s="21" t="n"/>
      <c r="F27" s="20">
        <f>IF(C27="",0,C27*E27)</f>
        <v/>
      </c>
      <c r="G27" s="21" t="n"/>
      <c r="H27" s="20">
        <f>IF(C27="",0,C27*G27)</f>
        <v/>
      </c>
      <c r="I27" s="20">
        <f>F27+H27</f>
        <v/>
      </c>
      <c r="J27" s="22" t="inlineStr">
        <is>
          <t>แก้ไข</t>
        </is>
      </c>
      <c r="K27" s="19" t="inlineStr">
        <is>
          <t>เดิม 2 → อย่างน้อย 1 ต้นต่อขนาดเข็ม (I22/I26/I35) หรือตามวิศวกรกำหนด</t>
        </is>
      </c>
    </row>
    <row r="28">
      <c r="A28" s="22" t="inlineStr">
        <is>
          <t>1.4.3</t>
        </is>
      </c>
      <c r="B28" s="23" t="inlineStr">
        <is>
          <t>ทดสอบความแน่นดินถมในสนาม (Field Density Test)</t>
        </is>
      </c>
      <c r="C28" s="24" t="n">
        <v>96</v>
      </c>
      <c r="D28" s="22" t="inlineStr">
        <is>
          <t>จุด</t>
        </is>
      </c>
      <c r="E28" s="21" t="n"/>
      <c r="F28" s="20">
        <f>IF(C28="",0,C28*E28)</f>
        <v/>
      </c>
      <c r="G28" s="21" t="n"/>
      <c r="H28" s="20">
        <f>IF(C28="",0,C28*G28)</f>
        <v/>
      </c>
      <c r="I28" s="20">
        <f>F28+H28</f>
        <v/>
      </c>
      <c r="J28" s="22" t="inlineStr">
        <is>
          <t>แก้ไข</t>
        </is>
      </c>
      <c r="K28" s="19" t="inlineStr">
        <is>
          <t>เดิม 6 → พื้นที่ 5,946 ตร.ม. ÷ 500 = 12 จุด/ชั้น x 8 ชั้น (ถม 1.60 ม. ชั้นละ 0.20)</t>
        </is>
      </c>
    </row>
    <row r="29">
      <c r="A29" s="18" t="inlineStr">
        <is>
          <t>1.4.4</t>
        </is>
      </c>
      <c r="B29" s="19" t="inlineStr">
        <is>
          <t>ทดสอบวัสดุก่อสร้าง (ตัวอย่างคอนกรีต กำลังดึงเหล็กเสริม) ตลอดโครงการ</t>
        </is>
      </c>
      <c r="C29" s="20" t="n">
        <v>1</v>
      </c>
      <c r="D29" s="18" t="inlineStr">
        <is>
          <t>เหมา</t>
        </is>
      </c>
      <c r="E29" s="21" t="n"/>
      <c r="F29" s="20">
        <f>IF(C29="",0,C29*E29)</f>
        <v/>
      </c>
      <c r="G29" s="21" t="n"/>
      <c r="H29" s="20">
        <f>IF(C29="",0,C29*G29)</f>
        <v/>
      </c>
      <c r="I29" s="20">
        <f>F29+H29</f>
        <v/>
      </c>
      <c r="J29" s="18" t="inlineStr"/>
      <c r="K29" s="19" t="inlineStr">
        <is>
          <t>คอนกรีตรวม ~1,180 ลบ.ม.</t>
        </is>
      </c>
    </row>
    <row r="30">
      <c r="A30" s="15" t="inlineStr">
        <is>
          <t>1.5</t>
        </is>
      </c>
      <c r="B30" s="16" t="inlineStr">
        <is>
          <t>หมวดความปลอดภัย การบริหาร และเอกสาร</t>
        </is>
      </c>
      <c r="C30" s="17" t="n"/>
      <c r="D30" s="15" t="n"/>
      <c r="E30" s="17" t="n"/>
      <c r="F30" s="17" t="n"/>
      <c r="G30" s="17" t="n"/>
      <c r="H30" s="17" t="n"/>
      <c r="I30" s="17" t="n"/>
      <c r="J30" s="15" t="n"/>
      <c r="K30" s="16" t="n"/>
    </row>
    <row r="31">
      <c r="A31" s="18" t="inlineStr">
        <is>
          <t>1.5.1</t>
        </is>
      </c>
      <c r="B31" s="19" t="inlineStr">
        <is>
          <t>ระบบความปลอดภัย: ป้ายเตือน กรวย ไฟส่องสว่าง PPE ถังดับเพลิง ชุดปฐมพยาบาล และเจ้าหน้าที่ความปลอดภัย (จป.)</t>
        </is>
      </c>
      <c r="C31" s="20" t="n">
        <v>6</v>
      </c>
      <c r="D31" s="18" t="inlineStr">
        <is>
          <t>เดือน</t>
        </is>
      </c>
      <c r="E31" s="21" t="n"/>
      <c r="F31" s="20">
        <f>IF(C31="",0,C31*E31)</f>
        <v/>
      </c>
      <c r="G31" s="21" t="n"/>
      <c r="H31" s="20">
        <f>IF(C31="",0,C31*G31)</f>
        <v/>
      </c>
      <c r="I31" s="20">
        <f>F31+H31</f>
        <v/>
      </c>
      <c r="J31" s="18" t="inlineStr"/>
      <c r="K31" s="19" t="inlineStr"/>
    </row>
    <row r="32">
      <c r="A32" s="18" t="inlineStr">
        <is>
          <t>1.5.2</t>
        </is>
      </c>
      <c r="B32" s="19" t="inlineStr">
        <is>
          <t>วิศวกรควบคุมงาน โฟร์แมน และเจ้าหน้าที่สำนักงานสนาม</t>
        </is>
      </c>
      <c r="C32" s="20" t="n">
        <v>6</v>
      </c>
      <c r="D32" s="18" t="inlineStr">
        <is>
          <t>เดือน</t>
        </is>
      </c>
      <c r="E32" s="21" t="n"/>
      <c r="F32" s="20">
        <f>IF(C32="",0,C32*E32)</f>
        <v/>
      </c>
      <c r="G32" s="21" t="n"/>
      <c r="H32" s="20">
        <f>IF(C32="",0,C32*G32)</f>
        <v/>
      </c>
      <c r="I32" s="20">
        <f>F32+H32</f>
        <v/>
      </c>
      <c r="J32" s="18" t="inlineStr"/>
      <c r="K32" s="19" t="inlineStr"/>
    </row>
    <row r="33">
      <c r="A33" s="18" t="inlineStr">
        <is>
          <t>1.5.3</t>
        </is>
      </c>
      <c r="B33" s="19" t="inlineStr">
        <is>
          <t>ประกันภัยความเสี่ยงงานก่อสร้าง (CAR) และบุคคลภายนอก (Third Party)</t>
        </is>
      </c>
      <c r="C33" s="20" t="n">
        <v>1</v>
      </c>
      <c r="D33" s="18" t="inlineStr">
        <is>
          <t>เหมา</t>
        </is>
      </c>
      <c r="E33" s="21" t="n"/>
      <c r="F33" s="20">
        <f>IF(C33="",0,C33*E33)</f>
        <v/>
      </c>
      <c r="G33" s="21" t="n"/>
      <c r="H33" s="20">
        <f>IF(C33="",0,C33*G33)</f>
        <v/>
      </c>
      <c r="I33" s="20">
        <f>F33+H33</f>
        <v/>
      </c>
      <c r="J33" s="18" t="inlineStr"/>
      <c r="K33" s="19" t="inlineStr"/>
    </row>
    <row r="34">
      <c r="A34" s="18" t="inlineStr">
        <is>
          <t>1.5.4</t>
        </is>
      </c>
      <c r="B34" s="19" t="inlineStr">
        <is>
          <t>แบบขยายการก่อสร้าง (Shop Drawing) แผนงาน รายงานประจำวัน/สัปดาห์ และภาพถ่ายความก้าวหน้า</t>
        </is>
      </c>
      <c r="C34" s="20" t="n">
        <v>1</v>
      </c>
      <c r="D34" s="18" t="inlineStr">
        <is>
          <t>เหมา</t>
        </is>
      </c>
      <c r="E34" s="21" t="n"/>
      <c r="F34" s="20">
        <f>IF(C34="",0,C34*E34)</f>
        <v/>
      </c>
      <c r="G34" s="21" t="n"/>
      <c r="H34" s="20">
        <f>IF(C34="",0,C34*G34)</f>
        <v/>
      </c>
      <c r="I34" s="20">
        <f>F34+H34</f>
        <v/>
      </c>
      <c r="J34" s="18" t="inlineStr"/>
      <c r="K34" s="19" t="inlineStr">
        <is>
          <t>รวม Shop drawing โครงเหล็กหลังคา</t>
        </is>
      </c>
    </row>
    <row r="35">
      <c r="A35" s="18" t="inlineStr">
        <is>
          <t>1.5.5</t>
        </is>
      </c>
      <c r="B35" s="19" t="inlineStr">
        <is>
          <t>แบบก่อสร้างจริง (As-Built Drawing) และเอกสารส่งมอบงาน</t>
        </is>
      </c>
      <c r="C35" s="20" t="n">
        <v>1</v>
      </c>
      <c r="D35" s="18" t="inlineStr">
        <is>
          <t>เหมา</t>
        </is>
      </c>
      <c r="E35" s="21" t="n"/>
      <c r="F35" s="20">
        <f>IF(C35="",0,C35*E35)</f>
        <v/>
      </c>
      <c r="G35" s="21" t="n"/>
      <c r="H35" s="20">
        <f>IF(C35="",0,C35*G35)</f>
        <v/>
      </c>
      <c r="I35" s="20">
        <f>F35+H35</f>
        <v/>
      </c>
      <c r="J35" s="18" t="inlineStr"/>
      <c r="K35" s="19" t="inlineStr"/>
    </row>
    <row r="36">
      <c r="A36" s="18" t="inlineStr">
        <is>
          <t>1.5.6</t>
        </is>
      </c>
      <c r="B36" s="19" t="inlineStr">
        <is>
          <t>ทำความสะอาดพื้นที่ รื้อถอนสิ่งปลูกสร้างชั่วคราว และคืนสภาพพื้นที่ก่อนส่งมอบ</t>
        </is>
      </c>
      <c r="C36" s="20" t="n">
        <v>1</v>
      </c>
      <c r="D36" s="18" t="inlineStr">
        <is>
          <t>เหมา</t>
        </is>
      </c>
      <c r="E36" s="21" t="n"/>
      <c r="F36" s="20">
        <f>IF(C36="",0,C36*E36)</f>
        <v/>
      </c>
      <c r="G36" s="21" t="n"/>
      <c r="H36" s="20">
        <f>IF(C36="",0,C36*G36)</f>
        <v/>
      </c>
      <c r="I36" s="20">
        <f>F36+H36</f>
        <v/>
      </c>
      <c r="J36" s="18" t="inlineStr"/>
      <c r="K36" s="19" t="inlineStr"/>
    </row>
    <row r="37">
      <c r="A37" s="28" t="n"/>
      <c r="B37" s="10" t="inlineStr">
        <is>
          <t>รวมหมวดที่ 1 งานเตรียมการ</t>
        </is>
      </c>
      <c r="C37" s="29" t="n"/>
      <c r="D37" s="28" t="n"/>
      <c r="E37" s="29" t="n"/>
      <c r="F37" s="30">
        <f>SUM(F5:F36)</f>
        <v/>
      </c>
      <c r="G37" s="29" t="n"/>
      <c r="H37" s="30">
        <f>SUM(H5:H36)</f>
        <v/>
      </c>
      <c r="I37" s="30">
        <f>SUM(I5:I36)</f>
        <v/>
      </c>
      <c r="J37" s="28" t="n"/>
      <c r="K37" s="31" t="n"/>
    </row>
    <row r="38">
      <c r="B38" s="32" t="inlineStr">
        <is>
          <t>หมายเหตุ: ช่องสีเหลืองสำหรับกรอกราคาต่อหน่วย | สีแดง = เพิ่มใหม่ | สีส้ม = แก้ไขปริมาณ/รายละเอียด | สีม่วง = รอข้อมูล/ยืนยันจากผู้ออกแบบ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8" customWidth="1" min="2" max="2"/>
    <col width="11" customWidth="1" min="3" max="3"/>
    <col width="8" customWidth="1" min="4" max="4"/>
    <col width="13" customWidth="1" min="5" max="5"/>
    <col width="15" customWidth="1" min="6" max="6"/>
    <col width="13" customWidth="1" min="7" max="7"/>
    <col width="15" customWidth="1" min="8" max="8"/>
    <col width="16" customWidth="1" min="9" max="9"/>
    <col width="11" customWidth="1" min="10" max="10"/>
    <col width="60" customWidth="1" min="11" max="11"/>
  </cols>
  <sheetData>
    <row r="1">
      <c r="A1" s="1" t="inlineStr">
        <is>
          <t>บัญชีปริมาณงานและราคา หมวดที่ 2 งานโครงสร้าง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</t>
        </is>
      </c>
    </row>
    <row r="3">
      <c r="A3" t="inlineStr">
        <is>
          <t>สถานที่: เลขที่ 10/7 หมู่ที่ 5 ตำบลท่าข้าม อำเภอสามพราน จังหวัดนครปฐม 73110 | อ้างอิงแบบ S201, S201-B, S202, A101, A202 (Issue 01/09/69) | ฉบับแก้ไข v2 (ทวนสอบแบบ + BIM) 27/10/2569</t>
        </is>
      </c>
    </row>
    <row r="4">
      <c r="A4" s="12" t="inlineStr">
        <is>
          <t>ลำดับ</t>
        </is>
      </c>
      <c r="B4" s="13" t="inlineStr">
        <is>
          <t>รายการ</t>
        </is>
      </c>
      <c r="C4" s="14" t="inlineStr">
        <is>
          <t>ปริมาณ</t>
        </is>
      </c>
      <c r="D4" s="12" t="inlineStr">
        <is>
          <t>หน่วย</t>
        </is>
      </c>
      <c r="E4" s="14" t="inlineStr">
        <is>
          <t>ค่าวัสดุ/หน่วย</t>
        </is>
      </c>
      <c r="F4" s="14" t="inlineStr">
        <is>
          <t>ค่าวัสดุรวม</t>
        </is>
      </c>
      <c r="G4" s="14" t="inlineStr">
        <is>
          <t>ค่าแรง/หน่วย</t>
        </is>
      </c>
      <c r="H4" s="14" t="inlineStr">
        <is>
          <t>ค่าแรงรวม</t>
        </is>
      </c>
      <c r="I4" s="14" t="inlineStr">
        <is>
          <t>รวมเป็นเงิน</t>
        </is>
      </c>
      <c r="J4" s="12" t="inlineStr">
        <is>
          <t>สถานะ</t>
        </is>
      </c>
      <c r="K4" s="13" t="inlineStr">
        <is>
          <t>หมายเหตุ / ที่มาของปริมาณ</t>
        </is>
      </c>
    </row>
    <row r="5">
      <c r="A5" s="15" t="inlineStr">
        <is>
          <t>2.1</t>
        </is>
      </c>
      <c r="B5" s="16" t="inlineStr">
        <is>
          <t>หมวดงานเสาเข็ม (ตอกรูปตัวไอ ยาว 22 ม. ตาม Type Mark ปรับความยาวตามผลสำรวจดิน P3)</t>
        </is>
      </c>
      <c r="C5" s="17" t="n"/>
      <c r="D5" s="15" t="n"/>
      <c r="E5" s="17" t="n"/>
      <c r="F5" s="17" t="n"/>
      <c r="G5" s="17" t="n"/>
      <c r="H5" s="17" t="n"/>
      <c r="I5" s="17" t="n"/>
      <c r="J5" s="15" t="n"/>
      <c r="K5" s="16" t="n"/>
    </row>
    <row r="6">
      <c r="A6" s="18" t="inlineStr">
        <is>
          <t>2.1.1</t>
        </is>
      </c>
      <c r="B6" s="19" t="inlineStr">
        <is>
          <t>เสาเข็มตอก I-260x260 ยาว 22 ม. เสริมหนวดกุ้ง 4-DB12-2.5 ม. รับฐานราก F2P (I26-22) รวมค่าตอก</t>
        </is>
      </c>
      <c r="C6" s="20" t="n">
        <v>92</v>
      </c>
      <c r="D6" s="18" t="inlineStr">
        <is>
          <t>ต้น</t>
        </is>
      </c>
      <c r="E6" s="21" t="n"/>
      <c r="F6" s="20">
        <f>IF(C6="",0,C6*E6)</f>
        <v/>
      </c>
      <c r="G6" s="21" t="n"/>
      <c r="H6" s="20">
        <f>IF(C6="",0,C6*G6)</f>
        <v/>
      </c>
      <c r="I6" s="20">
        <f>F6+H6</f>
        <v/>
      </c>
      <c r="J6" s="18" t="inlineStr"/>
      <c r="K6" s="19" t="inlineStr">
        <is>
          <t>เดิม 92 ตรงกัน: 46 ฐาน x 2 ต้น (นับจาก S201)</t>
        </is>
      </c>
    </row>
    <row r="7">
      <c r="A7" s="22" t="inlineStr">
        <is>
          <t>2.1.2</t>
        </is>
      </c>
      <c r="B7" s="23" t="inlineStr">
        <is>
          <t>เสาเข็มตอก I-350x350 ยาว 22 ม. รับพื้นโรงงาน (I35-22) ระยะ 3.00x3.00 ม. รวมค่าตอก</t>
        </is>
      </c>
      <c r="C7" s="24" t="n">
        <v>360</v>
      </c>
      <c r="D7" s="22" t="inlineStr">
        <is>
          <t>ต้น</t>
        </is>
      </c>
      <c r="E7" s="21" t="n"/>
      <c r="F7" s="20">
        <f>IF(C7="",0,C7*E7)</f>
        <v/>
      </c>
      <c r="G7" s="21" t="n"/>
      <c r="H7" s="20">
        <f>IF(C7="",0,C7*G7)</f>
        <v/>
      </c>
      <c r="I7" s="20">
        <f>F7+H7</f>
        <v/>
      </c>
      <c r="J7" s="22" t="inlineStr">
        <is>
          <t>แก้ไข</t>
        </is>
      </c>
      <c r="K7" s="19" t="inlineStr">
        <is>
          <t>ตรงกัน 360 ต้น; ระบุขนาด 350 มม. (ราคาต่างจากเข็มฐานราก)</t>
        </is>
      </c>
    </row>
    <row r="8">
      <c r="A8" s="22" t="inlineStr">
        <is>
          <t>2.1.3</t>
        </is>
      </c>
      <c r="B8" s="23" t="inlineStr">
        <is>
          <t>เสาเข็มตอก I-260x260 ยาว 22 ม. อาคารประกอบ ฐาน F1P-1 (ห้องน้ำ 6, ห้องสารเคมี 3, ทางลาดเหนือ 2) รวมค่าตอก</t>
        </is>
      </c>
      <c r="C8" s="24" t="n">
        <v>11</v>
      </c>
      <c r="D8" s="22" t="inlineStr">
        <is>
          <t>ต้น</t>
        </is>
      </c>
      <c r="E8" s="21" t="n"/>
      <c r="F8" s="20">
        <f>IF(C8="",0,C8*E8)</f>
        <v/>
      </c>
      <c r="G8" s="21" t="n"/>
      <c r="H8" s="20">
        <f>IF(C8="",0,C8*G8)</f>
        <v/>
      </c>
      <c r="I8" s="20">
        <f>F8+H8</f>
        <v/>
      </c>
      <c r="J8" s="22" t="inlineStr">
        <is>
          <t>แก้ไข</t>
        </is>
      </c>
      <c r="K8" s="19" t="inlineStr">
        <is>
          <t>เดิม 18 → 11 (นับจาก S201)</t>
        </is>
      </c>
    </row>
    <row r="9">
      <c r="A9" s="25" t="inlineStr">
        <is>
          <t>2.1.4</t>
        </is>
      </c>
      <c r="B9" s="26" t="inlineStr">
        <is>
          <t>เสาเข็มตอก I-260x260 รับถังเก็บน้ำใต้ดิน (ตัดหัวลดระดับ 1 ม.) รวมค่าตอก</t>
        </is>
      </c>
      <c r="C9" s="27" t="n">
        <v>17</v>
      </c>
      <c r="D9" s="25" t="inlineStr">
        <is>
          <t>ต้น</t>
        </is>
      </c>
      <c r="E9" s="21" t="n"/>
      <c r="F9" s="20">
        <f>IF(C9="",0,C9*E9)</f>
        <v/>
      </c>
      <c r="G9" s="21" t="n"/>
      <c r="H9" s="20">
        <f>IF(C9="",0,C9*G9)</f>
        <v/>
      </c>
      <c r="I9" s="20">
        <f>F9+H9</f>
        <v/>
      </c>
      <c r="J9" s="25" t="inlineStr">
        <is>
          <t>เพิ่มใหม่</t>
        </is>
      </c>
      <c r="K9" s="19" t="inlineStr">
        <is>
          <t>เพิ่ม: S201-B (I26) นับจากผังได้ 17</t>
        </is>
      </c>
    </row>
    <row r="10">
      <c r="A10" s="22" t="inlineStr">
        <is>
          <t>2.1.5</t>
        </is>
      </c>
      <c r="B10" s="23" t="inlineStr">
        <is>
          <t>ตัดหัวเสาเข็มและขนทิ้ง</t>
        </is>
      </c>
      <c r="C10" s="24" t="n">
        <v>751</v>
      </c>
      <c r="D10" s="22" t="inlineStr">
        <is>
          <t>ต้น</t>
        </is>
      </c>
      <c r="E10" s="21" t="n"/>
      <c r="F10" s="20">
        <f>IF(C10="",0,C10*E10)</f>
        <v/>
      </c>
      <c r="G10" s="21" t="n"/>
      <c r="H10" s="20">
        <f>IF(C10="",0,C10*G10)</f>
        <v/>
      </c>
      <c r="I10" s="20">
        <f>F10+H10</f>
        <v/>
      </c>
      <c r="J10" s="22" t="inlineStr">
        <is>
          <t>แก้ไข</t>
        </is>
      </c>
      <c r="K10" s="19" t="inlineStr">
        <is>
          <t>เดิม 470 → รวมทุกชนิดในหมวด 2.1 + 4.1 + 4.3 + 4.6</t>
        </is>
      </c>
    </row>
    <row r="11">
      <c r="A11" s="22" t="inlineStr">
        <is>
          <t>2.1.6</t>
        </is>
      </c>
      <c r="B11" s="23" t="inlineStr">
        <is>
          <t>ราคาปรับเพิ่ม/ลดความยาวเสาเข็ม กรณีผลสำรวจดินต่างจากความยาวที่สมมติ แยกตามขนาด I22 / I26 / I35</t>
        </is>
      </c>
      <c r="C11" s="24" t="n"/>
      <c r="D11" s="22" t="inlineStr">
        <is>
          <t>ม.</t>
        </is>
      </c>
      <c r="E11" s="21" t="n"/>
      <c r="F11" s="20">
        <f>IF(C11="",0,C11*E11)</f>
        <v/>
      </c>
      <c r="G11" s="21" t="n"/>
      <c r="H11" s="20">
        <f>IF(C11="",0,C11*G11)</f>
        <v/>
      </c>
      <c r="I11" s="20">
        <f>F11+H11</f>
        <v/>
      </c>
      <c r="J11" s="22" t="inlineStr">
        <is>
          <t>แก้ไข</t>
        </is>
      </c>
      <c r="K11" s="19" t="inlineStr">
        <is>
          <t>ราคาต่อเมตร ใช้ปรับหลังได้ผลสำรวจดิน P3</t>
        </is>
      </c>
    </row>
    <row r="12">
      <c r="A12" s="15" t="inlineStr">
        <is>
          <t>2.2</t>
        </is>
      </c>
      <c r="B12" s="16" t="inlineStr">
        <is>
          <t>หมวดงานฐานราก (ข้อมูลจากตาราง S1.1 แบบ S201-B)</t>
        </is>
      </c>
      <c r="C12" s="17" t="n"/>
      <c r="D12" s="15" t="n"/>
      <c r="E12" s="17" t="n"/>
      <c r="F12" s="17" t="n"/>
      <c r="G12" s="17" t="n"/>
      <c r="H12" s="17" t="n"/>
      <c r="I12" s="17" t="n"/>
      <c r="J12" s="15" t="n"/>
      <c r="K12" s="16" t="n"/>
    </row>
    <row r="13">
      <c r="A13" s="22" t="inlineStr">
        <is>
          <t>2.2.1</t>
        </is>
      </c>
      <c r="B13" s="23" t="inlineStr">
        <is>
          <t>ฐานราก F2P 0.60x1.50x0.80 ม. (เข็ม 2 ต้น) ทรายรองพื้น คอนกรีตหยาบ คอนกรีตโครงสร้าง ไม้แบบ</t>
        </is>
      </c>
      <c r="C13" s="24" t="n">
        <v>46</v>
      </c>
      <c r="D13" s="22" t="inlineStr">
        <is>
          <t>ฐาน</t>
        </is>
      </c>
      <c r="E13" s="21" t="n"/>
      <c r="F13" s="20">
        <f>IF(C13="",0,C13*E13)</f>
        <v/>
      </c>
      <c r="G13" s="21" t="n"/>
      <c r="H13" s="20">
        <f>IF(C13="",0,C13*G13)</f>
        <v/>
      </c>
      <c r="I13" s="20">
        <f>F13+H13</f>
        <v/>
      </c>
      <c r="J13" s="22" t="inlineStr">
        <is>
          <t>แก้ไข</t>
        </is>
      </c>
      <c r="K13" s="19" t="inlineStr">
        <is>
          <t>คอนกรีต 33.12 ลบ.ม., ทราย 11.84, คอนกรีตหยาบ 2.63, ไม้แบบ 154.6 ตร.ม.; ตารางนับ 47 แต่ปริมาตร = 46 ฐาน (ยืนยัน)</t>
        </is>
      </c>
    </row>
    <row r="14">
      <c r="A14" s="25" t="inlineStr">
        <is>
          <t>2.2.2</t>
        </is>
      </c>
      <c r="B14" s="26" t="inlineStr">
        <is>
          <t>Drop panel F1P 1.00x1.00x0.20 ม. รับพื้นบนเข็ม I35 ทรายรองพื้น คอนกรีตหยาบ คอนกรีต</t>
        </is>
      </c>
      <c r="C14" s="27" t="n">
        <v>360</v>
      </c>
      <c r="D14" s="25" t="inlineStr">
        <is>
          <t>จุด</t>
        </is>
      </c>
      <c r="E14" s="21" t="n"/>
      <c r="F14" s="20">
        <f>IF(C14="",0,C14*E14)</f>
        <v/>
      </c>
      <c r="G14" s="21" t="n"/>
      <c r="H14" s="20">
        <f>IF(C14="",0,C14*G14)</f>
        <v/>
      </c>
      <c r="I14" s="20">
        <f>F14+H14</f>
        <v/>
      </c>
      <c r="J14" s="25" t="inlineStr">
        <is>
          <t>เพิ่มใหม่</t>
        </is>
      </c>
      <c r="K14" s="19" t="inlineStr">
        <is>
          <t>เพิ่ม: คอนกรีต 72.00, ทราย 92.16, คอนกรีตหยาบ 21.78 ลบ.ม.</t>
        </is>
      </c>
    </row>
    <row r="15">
      <c r="A15" s="25" t="inlineStr">
        <is>
          <t>2.2.3</t>
        </is>
      </c>
      <c r="B15" s="26" t="inlineStr">
        <is>
          <t>ฐาน F1P-1 0.60x0.60x0.60 ม. (เข็มเดี่ยว อาคารประกอบ)</t>
        </is>
      </c>
      <c r="C15" s="27" t="n">
        <v>11</v>
      </c>
      <c r="D15" s="25" t="inlineStr">
        <is>
          <t>ฐาน</t>
        </is>
      </c>
      <c r="E15" s="21" t="n"/>
      <c r="F15" s="20">
        <f>IF(C15="",0,C15*E15)</f>
        <v/>
      </c>
      <c r="G15" s="21" t="n"/>
      <c r="H15" s="20">
        <f>IF(C15="",0,C15*G15)</f>
        <v/>
      </c>
      <c r="I15" s="20">
        <f>F15+H15</f>
        <v/>
      </c>
      <c r="J15" s="25" t="inlineStr">
        <is>
          <t>เพิ่มใหม่</t>
        </is>
      </c>
      <c r="K15" s="19" t="inlineStr">
        <is>
          <t>เพิ่ม: คอนกรีต 2.38, ทราย 1.58, คอนกรีตหยาบ 0.27 ลบ.ม.</t>
        </is>
      </c>
    </row>
    <row r="16">
      <c r="A16" s="33" t="inlineStr">
        <is>
          <t>2.2.4</t>
        </is>
      </c>
      <c r="B16" s="34" t="inlineStr">
        <is>
          <t>เหล็กเสริมฐานราก F2P / F1P / F1P-1</t>
        </is>
      </c>
      <c r="C16" s="35" t="n"/>
      <c r="D16" s="33" t="inlineStr">
        <is>
          <t>กก.</t>
        </is>
      </c>
      <c r="E16" s="21" t="n"/>
      <c r="F16" s="20">
        <f>IF(C16="",0,C16*E16)</f>
        <v/>
      </c>
      <c r="G16" s="21" t="n"/>
      <c r="H16" s="20">
        <f>IF(C16="",0,C16*G16)</f>
        <v/>
      </c>
      <c r="I16" s="20">
        <f>F16+H16</f>
        <v/>
      </c>
      <c r="J16" s="33" t="inlineStr">
        <is>
          <t>รอข้อมูล</t>
        </is>
      </c>
      <c r="K16" s="19" t="inlineStr">
        <is>
          <t>รอเอกสารออกแบบเหล็กเสริม (อ้างอิงประมาณ 100 กก./ลบ.ม. ≈ 10,750 กก.)</t>
        </is>
      </c>
    </row>
    <row r="17">
      <c r="A17" s="15" t="inlineStr">
        <is>
          <t>2.3</t>
        </is>
      </c>
      <c r="B17" s="16" t="inlineStr">
        <is>
          <t>หมวดงานเสาและคาน คสล.</t>
        </is>
      </c>
      <c r="C17" s="17" t="n"/>
      <c r="D17" s="15" t="n"/>
      <c r="E17" s="17" t="n"/>
      <c r="F17" s="17" t="n"/>
      <c r="G17" s="17" t="n"/>
      <c r="H17" s="17" t="n"/>
      <c r="I17" s="17" t="n"/>
      <c r="J17" s="15" t="n"/>
      <c r="K17" s="16" t="n"/>
    </row>
    <row r="18">
      <c r="A18" s="22" t="inlineStr">
        <is>
          <t>2.3.1</t>
        </is>
      </c>
      <c r="B18" s="23" t="inlineStr">
        <is>
          <t>เสา คสล. C1 0.30x0.50 ม. จากหลังฐานรากถึงหัวเสา +4.50 (ยาว 4.90 ม.)</t>
        </is>
      </c>
      <c r="C18" s="24" t="n">
        <v>45</v>
      </c>
      <c r="D18" s="22" t="inlineStr">
        <is>
          <t>ต้น</t>
        </is>
      </c>
      <c r="E18" s="21" t="n"/>
      <c r="F18" s="20">
        <f>IF(C18="",0,C18*E18)</f>
        <v/>
      </c>
      <c r="G18" s="21" t="n"/>
      <c r="H18" s="20">
        <f>IF(C18="",0,C18*G18)</f>
        <v/>
      </c>
      <c r="I18" s="20">
        <f>F18+H18</f>
        <v/>
      </c>
      <c r="J18" s="22" t="inlineStr">
        <is>
          <t>แก้ไข</t>
        </is>
      </c>
      <c r="K18" s="19" t="inlineStr">
        <is>
          <t>เดิม 'เสาตอม่อ 46' → C1 45 ต้น คอนกรีต 32.37 ลบ.ม. ไม้แบบ 352.80 ตร.ม. (S4.1)</t>
        </is>
      </c>
    </row>
    <row r="19">
      <c r="A19" s="25" t="inlineStr">
        <is>
          <t>2.3.2</t>
        </is>
      </c>
      <c r="B19" s="26" t="inlineStr">
        <is>
          <t>เสา คสล. C2 0.50x0.50 ม. (กริด 6/J)</t>
        </is>
      </c>
      <c r="C19" s="27" t="n">
        <v>1</v>
      </c>
      <c r="D19" s="25" t="inlineStr">
        <is>
          <t>ต้น</t>
        </is>
      </c>
      <c r="E19" s="21" t="n"/>
      <c r="F19" s="20">
        <f>IF(C19="",0,C19*E19)</f>
        <v/>
      </c>
      <c r="G19" s="21" t="n"/>
      <c r="H19" s="20">
        <f>IF(C19="",0,C19*G19)</f>
        <v/>
      </c>
      <c r="I19" s="20">
        <f>F19+H19</f>
        <v/>
      </c>
      <c r="J19" s="25" t="inlineStr">
        <is>
          <t>เพิ่มใหม่</t>
        </is>
      </c>
      <c r="K19" s="19" t="inlineStr">
        <is>
          <t>เพิ่ม: คอนกรีต 1.13 ลบ.ม. ไม้แบบ 9.80 ตร.ม.</t>
        </is>
      </c>
    </row>
    <row r="20">
      <c r="A20" s="25" t="inlineStr">
        <is>
          <t>2.3.3</t>
        </is>
      </c>
      <c r="B20" s="26" t="inlineStr">
        <is>
          <t>เสา คสล. C3 0.20x0.20 ม. อาคารประกอบ</t>
        </is>
      </c>
      <c r="C20" s="27" t="n">
        <v>13</v>
      </c>
      <c r="D20" s="25" t="inlineStr">
        <is>
          <t>ต้น</t>
        </is>
      </c>
      <c r="E20" s="21" t="n"/>
      <c r="F20" s="20">
        <f>IF(C20="",0,C20*E20)</f>
        <v/>
      </c>
      <c r="G20" s="21" t="n"/>
      <c r="H20" s="20">
        <f>IF(C20="",0,C20*G20)</f>
        <v/>
      </c>
      <c r="I20" s="20">
        <f>F20+H20</f>
        <v/>
      </c>
      <c r="J20" s="25" t="inlineStr">
        <is>
          <t>เพิ่มใหม่</t>
        </is>
      </c>
      <c r="K20" s="19" t="inlineStr">
        <is>
          <t>เพิ่ม: คอนกรีต 1.60 ลบ.ม. ไม้แบบ 34.74 ตร.ม. (S4.1 รวม 3 ระดับ)</t>
        </is>
      </c>
    </row>
    <row r="21">
      <c r="A21" s="22" t="inlineStr">
        <is>
          <t>2.3.4</t>
        </is>
      </c>
      <c r="B21" s="23" t="inlineStr">
        <is>
          <t>คานคอดิน B1 0.20x0.60 ม. TOP +0.50 (แนวรอบอาคาร + แนวกริด 6)</t>
        </is>
      </c>
      <c r="C21" s="24" t="n">
        <v>282</v>
      </c>
      <c r="D21" s="22" t="inlineStr">
        <is>
          <t>ม.</t>
        </is>
      </c>
      <c r="E21" s="21" t="n"/>
      <c r="F21" s="20">
        <f>IF(C21="",0,C21*E21)</f>
        <v/>
      </c>
      <c r="G21" s="21" t="n"/>
      <c r="H21" s="20">
        <f>IF(C21="",0,C21*G21)</f>
        <v/>
      </c>
      <c r="I21" s="20">
        <f>F21+H21</f>
        <v/>
      </c>
      <c r="J21" s="22" t="inlineStr">
        <is>
          <t>แก้ไข</t>
        </is>
      </c>
      <c r="K21" s="19" t="inlineStr">
        <is>
          <t>เดิมว่าง → คอนกรีต 32.04 ลบ.ม. ไม้แบบ 394.80 ตร.ม. (S3)</t>
        </is>
      </c>
    </row>
    <row r="22">
      <c r="A22" s="25" t="inlineStr">
        <is>
          <t>2.3.5</t>
        </is>
      </c>
      <c r="B22" s="26" t="inlineStr">
        <is>
          <t>คาน B3 0.20x0.40 ม. อาคารประกอบ (ระดับถนน + ระดับพื้นชั้น 1)</t>
        </is>
      </c>
      <c r="C22" s="27" t="n">
        <v>40.45</v>
      </c>
      <c r="D22" s="25" t="inlineStr">
        <is>
          <t>ม.</t>
        </is>
      </c>
      <c r="E22" s="21" t="n"/>
      <c r="F22" s="20">
        <f>IF(C22="",0,C22*E22)</f>
        <v/>
      </c>
      <c r="G22" s="21" t="n"/>
      <c r="H22" s="20">
        <f>IF(C22="",0,C22*G22)</f>
        <v/>
      </c>
      <c r="I22" s="20">
        <f>F22+H22</f>
        <v/>
      </c>
      <c r="J22" s="25" t="inlineStr">
        <is>
          <t>เพิ่มใหม่</t>
        </is>
      </c>
      <c r="K22" s="19" t="inlineStr">
        <is>
          <t>เพิ่ม: คอนกรีต 1.81 ลบ.ม. ไม้แบบ 40.45 ตร.ม. (S3)</t>
        </is>
      </c>
    </row>
    <row r="23">
      <c r="A23" s="33" t="inlineStr">
        <is>
          <t>2.3.6</t>
        </is>
      </c>
      <c r="B23" s="34" t="inlineStr">
        <is>
          <t>เหล็กเสริมเสาและคาน คสล. (C1, C2, C3, B1, B3)</t>
        </is>
      </c>
      <c r="C23" s="35" t="n"/>
      <c r="D23" s="33" t="inlineStr">
        <is>
          <t>กก.</t>
        </is>
      </c>
      <c r="E23" s="21" t="n"/>
      <c r="F23" s="20">
        <f>IF(C23="",0,C23*E23)</f>
        <v/>
      </c>
      <c r="G23" s="21" t="n"/>
      <c r="H23" s="20">
        <f>IF(C23="",0,C23*G23)</f>
        <v/>
      </c>
      <c r="I23" s="20">
        <f>F23+H23</f>
        <v/>
      </c>
      <c r="J23" s="33" t="inlineStr">
        <is>
          <t>รอข้อมูล</t>
        </is>
      </c>
      <c r="K23" s="19" t="inlineStr">
        <is>
          <t>รอเอกสารออกแบบเหล็กเสริม (อ้างอิงประมาณ 160 กก./ลบ.ม. ≈ 11,000 กก.)</t>
        </is>
      </c>
    </row>
    <row r="24">
      <c r="A24" s="15" t="inlineStr">
        <is>
          <t>2.4</t>
        </is>
      </c>
      <c r="B24" s="16" t="inlineStr">
        <is>
          <t>หมวดงานพื้น คสล.</t>
        </is>
      </c>
      <c r="C24" s="17" t="n"/>
      <c r="D24" s="15" t="n"/>
      <c r="E24" s="17" t="n"/>
      <c r="F24" s="17" t="n"/>
      <c r="G24" s="17" t="n"/>
      <c r="H24" s="17" t="n"/>
      <c r="I24" s="17" t="n"/>
      <c r="J24" s="15" t="n"/>
      <c r="K24" s="16" t="n"/>
    </row>
    <row r="25">
      <c r="A25" s="22" t="inlineStr">
        <is>
          <t>2.4.1</t>
        </is>
      </c>
      <c r="B25" s="23" t="inlineStr">
        <is>
          <t>พื้น S1 คสล. หนา 0.20 ม. วางบนเสาเข็ม TOP +0.50 พร้อมไม้แบบข้าง</t>
        </is>
      </c>
      <c r="C25" s="24" t="n">
        <v>3206.48</v>
      </c>
      <c r="D25" s="22" t="inlineStr">
        <is>
          <t>ตร.ม.</t>
        </is>
      </c>
      <c r="E25" s="21" t="n"/>
      <c r="F25" s="20">
        <f>IF(C25="",0,C25*E25)</f>
        <v/>
      </c>
      <c r="G25" s="21" t="n"/>
      <c r="H25" s="20">
        <f>IF(C25="",0,C25*G25)</f>
        <v/>
      </c>
      <c r="I25" s="20">
        <f>F25+H25</f>
        <v/>
      </c>
      <c r="J25" s="22" t="inlineStr">
        <is>
          <t>แก้ไข</t>
        </is>
      </c>
      <c r="K25" s="19" t="inlineStr">
        <is>
          <t>เดิม 3,240 → 3,206.48 ตร.ม. คอนกรีต 641.30 ลบ.ม. (S6.1)</t>
        </is>
      </c>
    </row>
    <row r="26">
      <c r="A26" s="25" t="inlineStr">
        <is>
          <t>2.4.2</t>
        </is>
      </c>
      <c r="B26" s="26" t="inlineStr">
        <is>
          <t>พื้นห้อง SF02 หนา 0.25 / AF01 หนา 0.10 ระดับพื้นชั้น 1</t>
        </is>
      </c>
      <c r="C26" s="27" t="n">
        <v>51.82</v>
      </c>
      <c r="D26" s="25" t="inlineStr">
        <is>
          <t>ตร.ม.</t>
        </is>
      </c>
      <c r="E26" s="21" t="n"/>
      <c r="F26" s="20">
        <f>IF(C26="",0,C26*E26)</f>
        <v/>
      </c>
      <c r="G26" s="21" t="n"/>
      <c r="H26" s="20">
        <f>IF(C26="",0,C26*G26)</f>
        <v/>
      </c>
      <c r="I26" s="20">
        <f>F26+H26</f>
        <v/>
      </c>
      <c r="J26" s="25" t="inlineStr">
        <is>
          <t>เพิ่มใหม่</t>
        </is>
      </c>
      <c r="K26" s="19" t="inlineStr">
        <is>
          <t>เพิ่ม: SF02 30.50 + AF01 21.32 ตร.ม. คอนกรีต 9.76 ลบ.ม. (S6.1)</t>
        </is>
      </c>
    </row>
    <row r="27">
      <c r="A27" s="33" t="inlineStr">
        <is>
          <t>2.4.3</t>
        </is>
      </c>
      <c r="B27" s="34" t="inlineStr">
        <is>
          <t>เหล็กเสริม/ตะแกรงเหล็ก พื้น S1, SF02, AF01</t>
        </is>
      </c>
      <c r="C27" s="35" t="n"/>
      <c r="D27" s="33" t="inlineStr">
        <is>
          <t>กก.</t>
        </is>
      </c>
      <c r="E27" s="21" t="n"/>
      <c r="F27" s="20">
        <f>IF(C27="",0,C27*E27)</f>
        <v/>
      </c>
      <c r="G27" s="21" t="n"/>
      <c r="H27" s="20">
        <f>IF(C27="",0,C27*G27)</f>
        <v/>
      </c>
      <c r="I27" s="20">
        <f>F27+H27</f>
        <v/>
      </c>
      <c r="J27" s="33" t="inlineStr">
        <is>
          <t>รอข้อมูล</t>
        </is>
      </c>
      <c r="K27" s="19" t="inlineStr">
        <is>
          <t>รอเอกสารออกแบบเหล็กเสริม (อ้างอิงประมาณ 80 กก./ลบ.ม. ≈ 52,000 กก.)</t>
        </is>
      </c>
    </row>
    <row r="28">
      <c r="A28" s="15" t="inlineStr">
        <is>
          <t>2.5</t>
        </is>
      </c>
      <c r="B28" s="16" t="inlineStr">
        <is>
          <t>หมวดงานโครงสร้างเหล็ก (หน้าตัดโครงถัก แป ค้ำยัน รอแบบโครงหลังคา)</t>
        </is>
      </c>
      <c r="C28" s="17" t="n"/>
      <c r="D28" s="15" t="n"/>
      <c r="E28" s="17" t="n"/>
      <c r="F28" s="17" t="n"/>
      <c r="G28" s="17" t="n"/>
      <c r="H28" s="17" t="n"/>
      <c r="I28" s="17" t="n"/>
      <c r="J28" s="15" t="n"/>
      <c r="K28" s="16" t="n"/>
    </row>
    <row r="29">
      <c r="A29" s="22" t="inlineStr">
        <is>
          <t>2.5.1</t>
        </is>
      </c>
      <c r="B29" s="23" t="inlineStr">
        <is>
          <t>เสาเหล็ก H250x175x44.1 กก./ม. บนหัวเสา คสล. +4.50 ถึง +9.00 พร้อมแผ่นเหล็กฐาน Anchor bolt</t>
        </is>
      </c>
      <c r="C29" s="24" t="n">
        <v>9513</v>
      </c>
      <c r="D29" s="22" t="inlineStr">
        <is>
          <t>กก.</t>
        </is>
      </c>
      <c r="E29" s="21" t="n"/>
      <c r="F29" s="20">
        <f>IF(C29="",0,C29*E29)</f>
        <v/>
      </c>
      <c r="G29" s="21" t="n"/>
      <c r="H29" s="20">
        <f>IF(C29="",0,C29*G29)</f>
        <v/>
      </c>
      <c r="I29" s="20">
        <f>F29+H29</f>
        <v/>
      </c>
      <c r="J29" s="22" t="inlineStr">
        <is>
          <t>แก้ไข</t>
        </is>
      </c>
      <c r="K29" s="19" t="inlineStr">
        <is>
          <t>S4.1: 47 ต้น ยาว 215.72 ม.</t>
        </is>
      </c>
    </row>
    <row r="30">
      <c r="A30" s="33" t="inlineStr">
        <is>
          <t>2.5.2</t>
        </is>
      </c>
      <c r="B30" s="34" t="inlineStr">
        <is>
          <t>โครงถักหลังคา ช่วง 2 x 30 ม. 10 แนว (กริด A-J) สันหลังคา +14.10</t>
        </is>
      </c>
      <c r="C30" s="35" t="n">
        <v>25534</v>
      </c>
      <c r="D30" s="33" t="inlineStr">
        <is>
          <t>กก.</t>
        </is>
      </c>
      <c r="E30" s="21" t="n"/>
      <c r="F30" s="20">
        <f>IF(C30="",0,C30*E30)</f>
        <v/>
      </c>
      <c r="G30" s="21" t="n"/>
      <c r="H30" s="20">
        <f>IF(C30="",0,C30*G30)</f>
        <v/>
      </c>
      <c r="I30" s="20">
        <f>F30+H30</f>
        <v/>
      </c>
      <c r="J30" s="33" t="inlineStr">
        <is>
          <t>รอข้อมูล</t>
        </is>
      </c>
      <c r="K30" s="19" t="inlineStr">
        <is>
          <t>ประมาณการจากโมเดล (คอร์ด 2C-150x65x20x3.2, ค้ำ C-100x50x20x2.3) รอแบบ</t>
        </is>
      </c>
    </row>
    <row r="31">
      <c r="A31" s="33" t="inlineStr">
        <is>
          <t>2.5.3</t>
        </is>
      </c>
      <c r="B31" s="34" t="inlineStr">
        <is>
          <t>แปหลังคา C-125x50x20x3.2 และแปผนัง (Girt)</t>
        </is>
      </c>
      <c r="C31" s="35" t="n">
        <v>20928</v>
      </c>
      <c r="D31" s="33" t="inlineStr">
        <is>
          <t>กก.</t>
        </is>
      </c>
      <c r="E31" s="21" t="n"/>
      <c r="F31" s="20">
        <f>IF(C31="",0,C31*E31)</f>
        <v/>
      </c>
      <c r="G31" s="21" t="n"/>
      <c r="H31" s="20">
        <f>IF(C31="",0,C31*G31)</f>
        <v/>
      </c>
      <c r="I31" s="20">
        <f>F31+H31</f>
        <v/>
      </c>
      <c r="J31" s="33" t="inlineStr">
        <is>
          <t>รอข้อมูล</t>
        </is>
      </c>
      <c r="K31" s="19" t="inlineStr">
        <is>
          <t>ประมาณการจากโมเดล แปหลังคา ~2,730 ม. + แปผนัง 684 ม. รอแบบ</t>
        </is>
      </c>
    </row>
    <row r="32">
      <c r="A32" s="33" t="inlineStr">
        <is>
          <t>2.5.4</t>
        </is>
      </c>
      <c r="B32" s="34" t="inlineStr">
        <is>
          <t>ค้ำยันหลังคา/ผนัง RB12 + Turnbuckle, Sag rod, แผ่นต่อ สลักเกลียว (จุดต่อ ~10%)</t>
        </is>
      </c>
      <c r="C32" s="35" t="n">
        <v>7100</v>
      </c>
      <c r="D32" s="33" t="inlineStr">
        <is>
          <t>กก.</t>
        </is>
      </c>
      <c r="E32" s="21" t="n"/>
      <c r="F32" s="20">
        <f>IF(C32="",0,C32*E32)</f>
        <v/>
      </c>
      <c r="G32" s="21" t="n"/>
      <c r="H32" s="20">
        <f>IF(C32="",0,C32*G32)</f>
        <v/>
      </c>
      <c r="I32" s="20">
        <f>F32+H32</f>
        <v/>
      </c>
      <c r="J32" s="33" t="inlineStr">
        <is>
          <t>รอข้อมูล</t>
        </is>
      </c>
      <c r="K32" s="19" t="inlineStr">
        <is>
          <t>ประมาณการ รอแบบ</t>
        </is>
      </c>
    </row>
    <row r="33">
      <c r="A33" s="25" t="inlineStr">
        <is>
          <t>2.5.5</t>
        </is>
      </c>
      <c r="B33" s="26" t="inlineStr">
        <is>
          <t>ทาสีกันสนิม 2 เที่ยว + สีทับหน้า 1 เที่ยว โครงสร้างเหล็กทั้งหมด</t>
        </is>
      </c>
      <c r="C33" s="27" t="n">
        <v>1</v>
      </c>
      <c r="D33" s="25" t="inlineStr">
        <is>
          <t>เหมา</t>
        </is>
      </c>
      <c r="E33" s="21" t="n"/>
      <c r="F33" s="20">
        <f>IF(C33="",0,C33*E33)</f>
        <v/>
      </c>
      <c r="G33" s="21" t="n"/>
      <c r="H33" s="20">
        <f>IF(C33="",0,C33*G33)</f>
        <v/>
      </c>
      <c r="I33" s="20">
        <f>F33+H33</f>
        <v/>
      </c>
      <c r="J33" s="25" t="inlineStr">
        <is>
          <t>เพิ่มใหม่</t>
        </is>
      </c>
      <c r="K33" s="19" t="inlineStr"/>
    </row>
    <row r="34">
      <c r="A34" s="15" t="inlineStr">
        <is>
          <t>2.6</t>
        </is>
      </c>
      <c r="B34" s="16" t="inlineStr">
        <is>
          <t>หมวดงานชั้นลอย F8 (ระดับ +3.30)</t>
        </is>
      </c>
      <c r="C34" s="17" t="n"/>
      <c r="D34" s="15" t="n"/>
      <c r="E34" s="17" t="n"/>
      <c r="F34" s="17" t="n"/>
      <c r="G34" s="17" t="n"/>
      <c r="H34" s="17" t="n"/>
      <c r="I34" s="17" t="n"/>
      <c r="J34" s="15" t="n"/>
      <c r="K34" s="16" t="n"/>
    </row>
    <row r="35">
      <c r="A35" s="25" t="inlineStr">
        <is>
          <t>2.6.1</t>
        </is>
      </c>
      <c r="B35" s="26" t="inlineStr">
        <is>
          <t>เสาเหล็กชั้นลอย H250x250x66.5 กก./ม.</t>
        </is>
      </c>
      <c r="C35" s="27" t="n">
        <v>6703</v>
      </c>
      <c r="D35" s="25" t="inlineStr">
        <is>
          <t>กก.</t>
        </is>
      </c>
      <c r="E35" s="21" t="n"/>
      <c r="F35" s="20">
        <f>IF(C35="",0,C35*E35)</f>
        <v/>
      </c>
      <c r="G35" s="21" t="n"/>
      <c r="H35" s="20">
        <f>IF(C35="",0,C35*G35)</f>
        <v/>
      </c>
      <c r="I35" s="20">
        <f>F35+H35</f>
        <v/>
      </c>
      <c r="J35" s="25" t="inlineStr">
        <is>
          <t>เพิ่มใหม่</t>
        </is>
      </c>
      <c r="K35" s="19" t="inlineStr">
        <is>
          <t>เพิ่ม: S4.1 36 ต้น ยาว 100.80 ม.</t>
        </is>
      </c>
    </row>
    <row r="36">
      <c r="A36" s="33" t="inlineStr">
        <is>
          <t>2.6.2</t>
        </is>
      </c>
      <c r="B36" s="34" t="inlineStr">
        <is>
          <t>คานเหล็กชั้นลอย (หน้าตัดรอแบบ)</t>
        </is>
      </c>
      <c r="C36" s="35" t="n">
        <v>5219</v>
      </c>
      <c r="D36" s="33" t="inlineStr">
        <is>
          <t>กก.</t>
        </is>
      </c>
      <c r="E36" s="21" t="n"/>
      <c r="F36" s="20">
        <f>IF(C36="",0,C36*E36)</f>
        <v/>
      </c>
      <c r="G36" s="21" t="n"/>
      <c r="H36" s="20">
        <f>IF(C36="",0,C36*G36)</f>
        <v/>
      </c>
      <c r="I36" s="20">
        <f>F36+H36</f>
        <v/>
      </c>
      <c r="J36" s="33" t="inlineStr">
        <is>
          <t>รอข้อมูล</t>
        </is>
      </c>
      <c r="K36" s="19" t="inlineStr">
        <is>
          <t>เพิ่ม: ประมาณการ H200x100 ตารางคาน 3.00 ม.</t>
        </is>
      </c>
    </row>
    <row r="37">
      <c r="A37" s="25" t="inlineStr">
        <is>
          <t>2.6.3</t>
        </is>
      </c>
      <c r="B37" s="26" t="inlineStr">
        <is>
          <t>พื้นชั้นลอย F8 (Metal deck/พื้นสำเร็จ ตามแบบ)</t>
        </is>
      </c>
      <c r="C37" s="27" t="n">
        <v>306.15</v>
      </c>
      <c r="D37" s="25" t="inlineStr">
        <is>
          <t>ตร.ม.</t>
        </is>
      </c>
      <c r="E37" s="21" t="n"/>
      <c r="F37" s="20">
        <f>IF(C37="",0,C37*E37)</f>
        <v/>
      </c>
      <c r="G37" s="21" t="n"/>
      <c r="H37" s="20">
        <f>IF(C37="",0,C37*G37)</f>
        <v/>
      </c>
      <c r="I37" s="20">
        <f>F37+H37</f>
        <v/>
      </c>
      <c r="J37" s="25" t="inlineStr">
        <is>
          <t>เพิ่มใหม่</t>
        </is>
      </c>
      <c r="K37" s="19" t="inlineStr">
        <is>
          <t>เพิ่ม: S6.1 306.15 ตร.ม.</t>
        </is>
      </c>
    </row>
    <row r="38">
      <c r="A38" s="25" t="inlineStr">
        <is>
          <t>2.6.4</t>
        </is>
      </c>
      <c r="B38" s="26" t="inlineStr">
        <is>
          <t>บันไดเหล็กขึ้นชั้นลอย กว้าง ~1.40 ม. พร้อมราวกันตก</t>
        </is>
      </c>
      <c r="C38" s="27" t="n">
        <v>1</v>
      </c>
      <c r="D38" s="25" t="inlineStr">
        <is>
          <t>ชุด</t>
        </is>
      </c>
      <c r="E38" s="21" t="n"/>
      <c r="F38" s="20">
        <f>IF(C38="",0,C38*E38)</f>
        <v/>
      </c>
      <c r="G38" s="21" t="n"/>
      <c r="H38" s="20">
        <f>IF(C38="",0,C38*G38)</f>
        <v/>
      </c>
      <c r="I38" s="20">
        <f>F38+H38</f>
        <v/>
      </c>
      <c r="J38" s="25" t="inlineStr">
        <is>
          <t>เพิ่มใหม่</t>
        </is>
      </c>
      <c r="K38" s="19" t="inlineStr">
        <is>
          <t>เพิ่ม: ตำแหน่ง DN แนวกริด D</t>
        </is>
      </c>
    </row>
    <row r="39">
      <c r="A39" s="28" t="n"/>
      <c r="B39" s="10" t="inlineStr">
        <is>
          <t>รวมหมวดที่ 2 งานโครงสร้าง</t>
        </is>
      </c>
      <c r="C39" s="29" t="n"/>
      <c r="D39" s="28" t="n"/>
      <c r="E39" s="29" t="n"/>
      <c r="F39" s="30">
        <f>SUM(F5:F38)</f>
        <v/>
      </c>
      <c r="G39" s="29" t="n"/>
      <c r="H39" s="30">
        <f>SUM(H5:H38)</f>
        <v/>
      </c>
      <c r="I39" s="30">
        <f>SUM(I5:I38)</f>
        <v/>
      </c>
      <c r="J39" s="28" t="n"/>
      <c r="K39" s="31" t="n"/>
    </row>
    <row r="40">
      <c r="B40" s="32" t="inlineStr">
        <is>
          <t>หมายเหตุ: ช่องสีเหลืองสำหรับกรอกราคาต่อหน่วย | สีแดง = เพิ่มใหม่ | สีส้ม = แก้ไขปริมาณ/รายละเอียด | สีม่วง = รอข้อมูล/ยืนยันจากผู้ออกแบบ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8" customWidth="1" min="2" max="2"/>
    <col width="11" customWidth="1" min="3" max="3"/>
    <col width="8" customWidth="1" min="4" max="4"/>
    <col width="13" customWidth="1" min="5" max="5"/>
    <col width="15" customWidth="1" min="6" max="6"/>
    <col width="13" customWidth="1" min="7" max="7"/>
    <col width="15" customWidth="1" min="8" max="8"/>
    <col width="16" customWidth="1" min="9" max="9"/>
    <col width="11" customWidth="1" min="10" max="10"/>
    <col width="60" customWidth="1" min="11" max="11"/>
  </cols>
  <sheetData>
    <row r="1">
      <c r="A1" s="1" t="inlineStr">
        <is>
          <t>บัญชีปริมาณงานและราคา หมวดที่ 3 งานสถาปัตยกรรม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</t>
        </is>
      </c>
    </row>
    <row r="3">
      <c r="A3" t="inlineStr">
        <is>
          <t>สถานที่: เลขที่ 10/7 หมู่ที่ 5 ตำบลท่าข้าม อำเภอสามพราน จังหวัดนครปฐม 73110 | อ้างอิงแบบ S201, S201-B, S202, A101, A202 (Issue 01/09/69) | ฉบับแก้ไข v2 (ทวนสอบแบบ + BIM) 27/10/2569</t>
        </is>
      </c>
    </row>
    <row r="4">
      <c r="A4" s="12" t="inlineStr">
        <is>
          <t>ลำดับ</t>
        </is>
      </c>
      <c r="B4" s="13" t="inlineStr">
        <is>
          <t>รายการ</t>
        </is>
      </c>
      <c r="C4" s="14" t="inlineStr">
        <is>
          <t>ปริมาณ</t>
        </is>
      </c>
      <c r="D4" s="12" t="inlineStr">
        <is>
          <t>หน่วย</t>
        </is>
      </c>
      <c r="E4" s="14" t="inlineStr">
        <is>
          <t>ค่าวัสดุ/หน่วย</t>
        </is>
      </c>
      <c r="F4" s="14" t="inlineStr">
        <is>
          <t>ค่าวัสดุรวม</t>
        </is>
      </c>
      <c r="G4" s="14" t="inlineStr">
        <is>
          <t>ค่าแรง/หน่วย</t>
        </is>
      </c>
      <c r="H4" s="14" t="inlineStr">
        <is>
          <t>ค่าแรงรวม</t>
        </is>
      </c>
      <c r="I4" s="14" t="inlineStr">
        <is>
          <t>รวมเป็นเงิน</t>
        </is>
      </c>
      <c r="J4" s="12" t="inlineStr">
        <is>
          <t>สถานะ</t>
        </is>
      </c>
      <c r="K4" s="13" t="inlineStr">
        <is>
          <t>หมายเหตุ / ที่มาของปริมาณ</t>
        </is>
      </c>
    </row>
    <row r="5">
      <c r="A5" s="15" t="inlineStr">
        <is>
          <t>3.1</t>
        </is>
      </c>
      <c r="B5" s="16" t="inlineStr">
        <is>
          <t>หมวดงานหลังคาและผนังภายนอก</t>
        </is>
      </c>
      <c r="C5" s="17" t="n"/>
      <c r="D5" s="15" t="n"/>
      <c r="E5" s="17" t="n"/>
      <c r="F5" s="17" t="n"/>
      <c r="G5" s="17" t="n"/>
      <c r="H5" s="17" t="n"/>
      <c r="I5" s="17" t="n"/>
      <c r="J5" s="15" t="n"/>
      <c r="K5" s="16" t="n"/>
    </row>
    <row r="6">
      <c r="A6" s="25" t="inlineStr">
        <is>
          <t>3.1.1</t>
        </is>
      </c>
      <c r="B6" s="26" t="inlineStr">
        <is>
          <t>หลังคาเมทัลชีทหนา 0.47 มม. พร้อมฉนวน PU 25 มม. (พื้นที่ตามลาด)</t>
        </is>
      </c>
      <c r="C6" s="27" t="n">
        <v>3395</v>
      </c>
      <c r="D6" s="25" t="inlineStr">
        <is>
          <t>ตร.ม.</t>
        </is>
      </c>
      <c r="E6" s="21" t="n"/>
      <c r="F6" s="20">
        <f>IF(C6="",0,C6*E6)</f>
        <v/>
      </c>
      <c r="G6" s="21" t="n"/>
      <c r="H6" s="20">
        <f>IF(C6="",0,C6*G6)</f>
        <v/>
      </c>
      <c r="I6" s="20">
        <f>F6+H6</f>
        <v/>
      </c>
      <c r="J6" s="25" t="inlineStr">
        <is>
          <t>เพิ่มใหม่</t>
        </is>
      </c>
      <c r="K6" s="19" t="inlineStr">
        <is>
          <t>เพิ่ม: จากโมเดล 2 ลาด 30.2 ม. x 55 ม. (สเปควัสดุรอยืนยัน)</t>
        </is>
      </c>
    </row>
    <row r="7">
      <c r="A7" s="25" t="inlineStr">
        <is>
          <t>3.1.2</t>
        </is>
      </c>
      <c r="B7" s="26" t="inlineStr">
        <is>
          <t>Jack roof กว้าง 6.00 ม. ยาว 42.00 ม. สัน +15.25 พร้อมตะแกรงระบายอากาศ</t>
        </is>
      </c>
      <c r="C7" s="27" t="n">
        <v>252</v>
      </c>
      <c r="D7" s="25" t="inlineStr">
        <is>
          <t>ตร.ม.</t>
        </is>
      </c>
      <c r="E7" s="21" t="n"/>
      <c r="F7" s="20">
        <f>IF(C7="",0,C7*E7)</f>
        <v/>
      </c>
      <c r="G7" s="21" t="n"/>
      <c r="H7" s="20">
        <f>IF(C7="",0,C7*G7)</f>
        <v/>
      </c>
      <c r="I7" s="20">
        <f>F7+H7</f>
        <v/>
      </c>
      <c r="J7" s="25" t="inlineStr">
        <is>
          <t>เพิ่มใหม่</t>
        </is>
      </c>
      <c r="K7" s="19" t="inlineStr">
        <is>
          <t>เพิ่ม: A202</t>
        </is>
      </c>
    </row>
    <row r="8">
      <c r="A8" s="25" t="inlineStr">
        <is>
          <t>3.1.3</t>
        </is>
      </c>
      <c r="B8" s="26" t="inlineStr">
        <is>
          <t>ครอบสัน ครอบข้าง แผ่นปิดเชิงชาย Flashing</t>
        </is>
      </c>
      <c r="C8" s="27" t="n">
        <v>1</v>
      </c>
      <c r="D8" s="25" t="inlineStr">
        <is>
          <t>เหมา</t>
        </is>
      </c>
      <c r="E8" s="21" t="n"/>
      <c r="F8" s="20">
        <f>IF(C8="",0,C8*E8)</f>
        <v/>
      </c>
      <c r="G8" s="21" t="n"/>
      <c r="H8" s="20">
        <f>IF(C8="",0,C8*G8)</f>
        <v/>
      </c>
      <c r="I8" s="20">
        <f>F8+H8</f>
        <v/>
      </c>
      <c r="J8" s="25" t="inlineStr">
        <is>
          <t>เพิ่มใหม่</t>
        </is>
      </c>
      <c r="K8" s="19" t="inlineStr">
        <is>
          <t>เพิ่ม</t>
        </is>
      </c>
    </row>
    <row r="9">
      <c r="A9" s="25" t="inlineStr">
        <is>
          <t>3.1.4</t>
        </is>
      </c>
      <c r="B9" s="26" t="inlineStr">
        <is>
          <t>รางน้ำฝนเหล็กอาบสังกะสี 0.30x0.30 ม.</t>
        </is>
      </c>
      <c r="C9" s="27" t="n">
        <v>110</v>
      </c>
      <c r="D9" s="25" t="inlineStr">
        <is>
          <t>ม.</t>
        </is>
      </c>
      <c r="E9" s="21" t="n"/>
      <c r="F9" s="20">
        <f>IF(C9="",0,C9*E9)</f>
        <v/>
      </c>
      <c r="G9" s="21" t="n"/>
      <c r="H9" s="20">
        <f>IF(C9="",0,C9*G9)</f>
        <v/>
      </c>
      <c r="I9" s="20">
        <f>F9+H9</f>
        <v/>
      </c>
      <c r="J9" s="25" t="inlineStr">
        <is>
          <t>เพิ่มใหม่</t>
        </is>
      </c>
      <c r="K9" s="19" t="inlineStr">
        <is>
          <t>เพิ่ม: ชายคาแนวกริด 1 และ 11</t>
        </is>
      </c>
    </row>
    <row r="10">
      <c r="A10" s="33" t="inlineStr">
        <is>
          <t>3.1.5</t>
        </is>
      </c>
      <c r="B10" s="34" t="inlineStr">
        <is>
          <t>ท่อระบายน้ำฝน PVC Ø4" พร้อมอุปกรณ์ยึด</t>
        </is>
      </c>
      <c r="C10" s="35" t="n">
        <v>100</v>
      </c>
      <c r="D10" s="33" t="inlineStr">
        <is>
          <t>ม.</t>
        </is>
      </c>
      <c r="E10" s="21" t="n"/>
      <c r="F10" s="20">
        <f>IF(C10="",0,C10*E10)</f>
        <v/>
      </c>
      <c r="G10" s="21" t="n"/>
      <c r="H10" s="20">
        <f>IF(C10="",0,C10*G10)</f>
        <v/>
      </c>
      <c r="I10" s="20">
        <f>F10+H10</f>
        <v/>
      </c>
      <c r="J10" s="33" t="inlineStr">
        <is>
          <t>รอข้อมูล</t>
        </is>
      </c>
      <c r="K10" s="19" t="inlineStr">
        <is>
          <t>เพิ่ม: 10 จุด x 10 ม. (สมมติ)</t>
        </is>
      </c>
    </row>
    <row r="11">
      <c r="A11" s="25" t="inlineStr">
        <is>
          <t>3.1.6</t>
        </is>
      </c>
      <c r="B11" s="26" t="inlineStr">
        <is>
          <t>ผนังเมทัลชีท ระดับ +5.20 ถึงชายคา/จั่ว</t>
        </is>
      </c>
      <c r="C11" s="27" t="n">
        <v>1379</v>
      </c>
      <c r="D11" s="25" t="inlineStr">
        <is>
          <t>ตร.ม.</t>
        </is>
      </c>
      <c r="E11" s="21" t="n"/>
      <c r="F11" s="20">
        <f>IF(C11="",0,C11*E11)</f>
        <v/>
      </c>
      <c r="G11" s="21" t="n"/>
      <c r="H11" s="20">
        <f>IF(C11="",0,C11*G11)</f>
        <v/>
      </c>
      <c r="I11" s="20">
        <f>F11+H11</f>
        <v/>
      </c>
      <c r="J11" s="25" t="inlineStr">
        <is>
          <t>เพิ่มใหม่</t>
        </is>
      </c>
      <c r="K11" s="19" t="inlineStr">
        <is>
          <t>เพิ่ม: จากโมเดล ตาม A202</t>
        </is>
      </c>
    </row>
    <row r="12">
      <c r="A12" s="15" t="inlineStr">
        <is>
          <t>3.2</t>
        </is>
      </c>
      <c r="B12" s="16" t="inlineStr">
        <is>
          <t>หมวดงานผนังก่ออิฐ ฉาบปูน และผนังกันไฟ (ถ้ามี)</t>
        </is>
      </c>
      <c r="C12" s="17" t="n"/>
      <c r="D12" s="15" t="n"/>
      <c r="E12" s="17" t="n"/>
      <c r="F12" s="17" t="n"/>
      <c r="G12" s="17" t="n"/>
      <c r="H12" s="17" t="n"/>
      <c r="I12" s="17" t="n"/>
      <c r="J12" s="15" t="n"/>
      <c r="K12" s="16" t="n"/>
    </row>
    <row r="13">
      <c r="A13" s="33" t="inlineStr">
        <is>
          <t>3.2.1</t>
        </is>
      </c>
      <c r="B13" s="34" t="inlineStr">
        <is>
          <t>ผนังก่ออิฐมวลเบา หนา 0.15 ม. +0.50 ถึง +4.50 พร้อมเสาเอ็น-ทับหลัง</t>
        </is>
      </c>
      <c r="C13" s="35" t="n">
        <v>868</v>
      </c>
      <c r="D13" s="33" t="inlineStr">
        <is>
          <t>ตร.ม.</t>
        </is>
      </c>
      <c r="E13" s="21" t="n"/>
      <c r="F13" s="20">
        <f>IF(C13="",0,C13*E13)</f>
        <v/>
      </c>
      <c r="G13" s="21" t="n"/>
      <c r="H13" s="20">
        <f>IF(C13="",0,C13*G13)</f>
        <v/>
      </c>
      <c r="I13" s="20">
        <f>F13+H13</f>
        <v/>
      </c>
      <c r="J13" s="33" t="inlineStr">
        <is>
          <t>รอข้อมูล</t>
        </is>
      </c>
      <c r="K13" s="19" t="inlineStr">
        <is>
          <t>เพิ่ม: สมมติตามรูปด้าน A202 ยังไม่มีแบบสถาปัตย์</t>
        </is>
      </c>
    </row>
    <row r="14">
      <c r="A14" s="33" t="inlineStr">
        <is>
          <t>3.2.2</t>
        </is>
      </c>
      <c r="B14" s="34" t="inlineStr">
        <is>
          <t>ฉาบปูนผนัง 2 ด้าน</t>
        </is>
      </c>
      <c r="C14" s="35" t="n">
        <v>1736</v>
      </c>
      <c r="D14" s="33" t="inlineStr">
        <is>
          <t>ตร.ม.</t>
        </is>
      </c>
      <c r="E14" s="21" t="n"/>
      <c r="F14" s="20">
        <f>IF(C14="",0,C14*E14)</f>
        <v/>
      </c>
      <c r="G14" s="21" t="n"/>
      <c r="H14" s="20">
        <f>IF(C14="",0,C14*G14)</f>
        <v/>
      </c>
      <c r="I14" s="20">
        <f>F14+H14</f>
        <v/>
      </c>
      <c r="J14" s="33" t="inlineStr">
        <is>
          <t>รอข้อมูล</t>
        </is>
      </c>
      <c r="K14" s="19" t="inlineStr">
        <is>
          <t>เพิ่ม</t>
        </is>
      </c>
    </row>
    <row r="15">
      <c r="A15" s="15" t="inlineStr">
        <is>
          <t>3.3</t>
        </is>
      </c>
      <c r="B15" s="16" t="inlineStr">
        <is>
          <t>หมวดงานผิวพื้น</t>
        </is>
      </c>
      <c r="C15" s="17" t="n"/>
      <c r="D15" s="15" t="n"/>
      <c r="E15" s="17" t="n"/>
      <c r="F15" s="17" t="n"/>
      <c r="G15" s="17" t="n"/>
      <c r="H15" s="17" t="n"/>
      <c r="I15" s="17" t="n"/>
      <c r="J15" s="15" t="n"/>
      <c r="K15" s="16" t="n"/>
    </row>
    <row r="16">
      <c r="A16" s="22" t="inlineStr">
        <is>
          <t>3.3.1</t>
        </is>
      </c>
      <c r="B16" s="23" t="inlineStr">
        <is>
          <t>พื้นขัดมันผสม Floor Hardener</t>
        </is>
      </c>
      <c r="C16" s="24" t="n">
        <v>3206.48</v>
      </c>
      <c r="D16" s="22" t="inlineStr">
        <is>
          <t>ตร.ม.</t>
        </is>
      </c>
      <c r="E16" s="21" t="n"/>
      <c r="F16" s="20">
        <f>IF(C16="",0,C16*E16)</f>
        <v/>
      </c>
      <c r="G16" s="21" t="n"/>
      <c r="H16" s="20">
        <f>IF(C16="",0,C16*G16)</f>
        <v/>
      </c>
      <c r="I16" s="20">
        <f>F16+H16</f>
        <v/>
      </c>
      <c r="J16" s="22" t="inlineStr">
        <is>
          <t>แก้ไข</t>
        </is>
      </c>
      <c r="K16" s="19" t="inlineStr">
        <is>
          <t>เดิม 3,240 → พื้นที่ S1 (S6.1)</t>
        </is>
      </c>
    </row>
    <row r="17">
      <c r="A17" s="15" t="inlineStr">
        <is>
          <t>3.4</t>
        </is>
      </c>
      <c r="B17" s="16" t="inlineStr">
        <is>
          <t>หมวดงานประตู หน้าต่าง และประตูม้วน/ประตูเลื่อนขนส่ง</t>
        </is>
      </c>
      <c r="C17" s="17" t="n"/>
      <c r="D17" s="15" t="n"/>
      <c r="E17" s="17" t="n"/>
      <c r="F17" s="17" t="n"/>
      <c r="G17" s="17" t="n"/>
      <c r="H17" s="17" t="n"/>
      <c r="I17" s="17" t="n"/>
      <c r="J17" s="15" t="n"/>
      <c r="K17" s="16" t="n"/>
    </row>
    <row r="18">
      <c r="A18" s="33" t="inlineStr">
        <is>
          <t>3.4.1</t>
        </is>
      </c>
      <c r="B18" s="34" t="inlineStr">
        <is>
          <t>ประตูม้วนเหล็กไฟฟ้า ~6.00x4.00 ม. ทางลาดขนส่ง</t>
        </is>
      </c>
      <c r="C18" s="35" t="n">
        <v>2</v>
      </c>
      <c r="D18" s="33" t="inlineStr">
        <is>
          <t>ชุด</t>
        </is>
      </c>
      <c r="E18" s="21" t="n"/>
      <c r="F18" s="20">
        <f>IF(C18="",0,C18*E18)</f>
        <v/>
      </c>
      <c r="G18" s="21" t="n"/>
      <c r="H18" s="20">
        <f>IF(C18="",0,C18*G18)</f>
        <v/>
      </c>
      <c r="I18" s="20">
        <f>F18+H18</f>
        <v/>
      </c>
      <c r="J18" s="33" t="inlineStr">
        <is>
          <t>รอข้อมูล</t>
        </is>
      </c>
      <c r="K18" s="19" t="inlineStr">
        <is>
          <t>เพิ่ม: ตำแหน่งตาม A101 ขนาดรอยืนยัน</t>
        </is>
      </c>
    </row>
    <row r="19">
      <c r="A19" s="33" t="inlineStr">
        <is>
          <t>3.4.2</t>
        </is>
      </c>
      <c r="B19" s="34" t="inlineStr">
        <is>
          <t>ประตู D1/D2/D4 และหน้าต่าง ตามแบบ A101</t>
        </is>
      </c>
      <c r="C19" s="35" t="n">
        <v>1</v>
      </c>
      <c r="D19" s="33" t="inlineStr">
        <is>
          <t>เหมา</t>
        </is>
      </c>
      <c r="E19" s="21" t="n"/>
      <c r="F19" s="20">
        <f>IF(C19="",0,C19*E19)</f>
        <v/>
      </c>
      <c r="G19" s="21" t="n"/>
      <c r="H19" s="20">
        <f>IF(C19="",0,C19*G19)</f>
        <v/>
      </c>
      <c r="I19" s="20">
        <f>F19+H19</f>
        <v/>
      </c>
      <c r="J19" s="33" t="inlineStr">
        <is>
          <t>รอข้อมูล</t>
        </is>
      </c>
      <c r="K19" s="19" t="inlineStr">
        <is>
          <t>เพิ่ม: รอตารางประตู-หน้าต่าง</t>
        </is>
      </c>
    </row>
    <row r="20">
      <c r="A20" s="15" t="inlineStr">
        <is>
          <t>3.5</t>
        </is>
      </c>
      <c r="B20" s="16" t="inlineStr">
        <is>
          <t>หมวดงานฝ้าและงานทาสี</t>
        </is>
      </c>
      <c r="C20" s="17" t="n"/>
      <c r="D20" s="15" t="n"/>
      <c r="E20" s="17" t="n"/>
      <c r="F20" s="17" t="n"/>
      <c r="G20" s="17" t="n"/>
      <c r="H20" s="17" t="n"/>
      <c r="I20" s="17" t="n"/>
      <c r="J20" s="15" t="n"/>
      <c r="K20" s="16" t="n"/>
    </row>
    <row r="21">
      <c r="A21" s="33" t="inlineStr">
        <is>
          <t>3.5.1</t>
        </is>
      </c>
      <c r="B21" s="34" t="inlineStr">
        <is>
          <t>ทาสีผนังภายใน-ภายนอก (รองพื้น + ทับหน้า 2 เที่ยว)</t>
        </is>
      </c>
      <c r="C21" s="35" t="n">
        <v>1736</v>
      </c>
      <c r="D21" s="33" t="inlineStr">
        <is>
          <t>ตร.ม.</t>
        </is>
      </c>
      <c r="E21" s="21" t="n"/>
      <c r="F21" s="20">
        <f>IF(C21="",0,C21*E21)</f>
        <v/>
      </c>
      <c r="G21" s="21" t="n"/>
      <c r="H21" s="20">
        <f>IF(C21="",0,C21*G21)</f>
        <v/>
      </c>
      <c r="I21" s="20">
        <f>F21+H21</f>
        <v/>
      </c>
      <c r="J21" s="33" t="inlineStr">
        <is>
          <t>รอข้อมูล</t>
        </is>
      </c>
      <c r="K21" s="19" t="inlineStr">
        <is>
          <t>เพิ่ม</t>
        </is>
      </c>
    </row>
    <row r="22">
      <c r="A22" s="15" t="inlineStr">
        <is>
          <t>3.6</t>
        </is>
      </c>
      <c r="B22" s="16" t="inlineStr">
        <is>
          <t>หมวดงานสถาปัตยกรรมอาคารประกอบ</t>
        </is>
      </c>
      <c r="C22" s="17" t="n"/>
      <c r="D22" s="15" t="n"/>
      <c r="E22" s="17" t="n"/>
      <c r="F22" s="17" t="n"/>
      <c r="G22" s="17" t="n"/>
      <c r="H22" s="17" t="n"/>
      <c r="I22" s="17" t="n"/>
      <c r="J22" s="15" t="n"/>
      <c r="K22" s="16" t="n"/>
    </row>
    <row r="23">
      <c r="A23" s="25" t="inlineStr">
        <is>
          <t>3.6.1</t>
        </is>
      </c>
      <c r="B23" s="26" t="inlineStr">
        <is>
          <t>ห้อง MDB 17.79 ตร.ม. (ผนัง ประตูกันไฟ พื้น ฝ้า)</t>
        </is>
      </c>
      <c r="C23" s="27" t="n">
        <v>1</v>
      </c>
      <c r="D23" s="25" t="inlineStr">
        <is>
          <t>ห้อง</t>
        </is>
      </c>
      <c r="E23" s="21" t="n"/>
      <c r="F23" s="20">
        <f>IF(C23="",0,C23*E23)</f>
        <v/>
      </c>
      <c r="G23" s="21" t="n"/>
      <c r="H23" s="20">
        <f>IF(C23="",0,C23*G23)</f>
        <v/>
      </c>
      <c r="I23" s="20">
        <f>F23+H23</f>
        <v/>
      </c>
      <c r="J23" s="25" t="inlineStr">
        <is>
          <t>เพิ่มใหม่</t>
        </is>
      </c>
      <c r="K23" s="19" t="inlineStr">
        <is>
          <t>เพิ่ม: A101</t>
        </is>
      </c>
    </row>
    <row r="24">
      <c r="A24" s="25" t="inlineStr">
        <is>
          <t>3.6.2</t>
        </is>
      </c>
      <c r="B24" s="26" t="inlineStr">
        <is>
          <t>ห้องเก็บสารเคมี (Chemical Drum Storage) 21.84 ตร.ม. พร้อมขอบกั้นรั่วไหล</t>
        </is>
      </c>
      <c r="C24" s="27" t="n">
        <v>1</v>
      </c>
      <c r="D24" s="25" t="inlineStr">
        <is>
          <t>ห้อง</t>
        </is>
      </c>
      <c r="E24" s="21" t="n"/>
      <c r="F24" s="20">
        <f>IF(C24="",0,C24*E24)</f>
        <v/>
      </c>
      <c r="G24" s="21" t="n"/>
      <c r="H24" s="20">
        <f>IF(C24="",0,C24*G24)</f>
        <v/>
      </c>
      <c r="I24" s="20">
        <f>F24+H24</f>
        <v/>
      </c>
      <c r="J24" s="25" t="inlineStr">
        <is>
          <t>เพิ่มใหม่</t>
        </is>
      </c>
      <c r="K24" s="19" t="inlineStr">
        <is>
          <t>เพิ่ม: A101</t>
        </is>
      </c>
    </row>
    <row r="25">
      <c r="A25" s="33" t="inlineStr">
        <is>
          <t>3.6.3</t>
        </is>
      </c>
      <c r="B25" s="34" t="inlineStr">
        <is>
          <t>อาคารห้องน้ำ 2.40 x 8.00 ม. (สุขภัณฑ์ กระเบื้อง ระบบสุขาภิบาลภายใน)</t>
        </is>
      </c>
      <c r="C25" s="35" t="n">
        <v>1</v>
      </c>
      <c r="D25" s="33" t="inlineStr">
        <is>
          <t>หลัง</t>
        </is>
      </c>
      <c r="E25" s="21" t="n"/>
      <c r="F25" s="20">
        <f>IF(C25="",0,C25*E25)</f>
        <v/>
      </c>
      <c r="G25" s="21" t="n"/>
      <c r="H25" s="20">
        <f>IF(C25="",0,C25*G25)</f>
        <v/>
      </c>
      <c r="I25" s="20">
        <f>F25+H25</f>
        <v/>
      </c>
      <c r="J25" s="33" t="inlineStr">
        <is>
          <t>รอข้อมูล</t>
        </is>
      </c>
      <c r="K25" s="19" t="inlineStr">
        <is>
          <t>เพิ่ม: A101/S201 รอแบบสถาปัตย์</t>
        </is>
      </c>
    </row>
    <row r="26">
      <c r="A26" s="33" t="inlineStr">
        <is>
          <t>3.6.4</t>
        </is>
      </c>
      <c r="B26" s="34" t="inlineStr">
        <is>
          <t>ห้องประกอบแนวกริด A (กริด 8-10)</t>
        </is>
      </c>
      <c r="C26" s="35" t="n">
        <v>1</v>
      </c>
      <c r="D26" s="33" t="inlineStr">
        <is>
          <t>เหมา</t>
        </is>
      </c>
      <c r="E26" s="21" t="n"/>
      <c r="F26" s="20">
        <f>IF(C26="",0,C26*E26)</f>
        <v/>
      </c>
      <c r="G26" s="21" t="n"/>
      <c r="H26" s="20">
        <f>IF(C26="",0,C26*G26)</f>
        <v/>
      </c>
      <c r="I26" s="20">
        <f>F26+H26</f>
        <v/>
      </c>
      <c r="J26" s="33" t="inlineStr">
        <is>
          <t>รอข้อมูล</t>
        </is>
      </c>
      <c r="K26" s="19" t="inlineStr">
        <is>
          <t>เพิ่ม: เห็นในผัง A101 รอแบบ</t>
        </is>
      </c>
    </row>
    <row r="27">
      <c r="A27" s="28" t="n"/>
      <c r="B27" s="10" t="inlineStr">
        <is>
          <t>รวมหมวดที่ 3 งานสถาปัตยกรรม</t>
        </is>
      </c>
      <c r="C27" s="29" t="n"/>
      <c r="D27" s="28" t="n"/>
      <c r="E27" s="29" t="n"/>
      <c r="F27" s="30">
        <f>SUM(F5:F26)</f>
        <v/>
      </c>
      <c r="G27" s="29" t="n"/>
      <c r="H27" s="30">
        <f>SUM(H5:H26)</f>
        <v/>
      </c>
      <c r="I27" s="30">
        <f>SUM(I5:I26)</f>
        <v/>
      </c>
      <c r="J27" s="28" t="n"/>
      <c r="K27" s="31" t="n"/>
    </row>
    <row r="28">
      <c r="B28" s="32" t="inlineStr">
        <is>
          <t>หมายเหตุ: ช่องสีเหลืองสำหรับกรอกราคาต่อหน่วย | สีแดง = เพิ่มใหม่ | สีส้ม = แก้ไขปริมาณ/รายละเอียด | สีม่วง = รอข้อมูล/ยืนยันจากผู้ออกแบบ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8" customWidth="1" min="2" max="2"/>
    <col width="11" customWidth="1" min="3" max="3"/>
    <col width="8" customWidth="1" min="4" max="4"/>
    <col width="13" customWidth="1" min="5" max="5"/>
    <col width="15" customWidth="1" min="6" max="6"/>
    <col width="13" customWidth="1" min="7" max="7"/>
    <col width="15" customWidth="1" min="8" max="8"/>
    <col width="16" customWidth="1" min="9" max="9"/>
    <col width="11" customWidth="1" min="10" max="10"/>
    <col width="60" customWidth="1" min="11" max="11"/>
  </cols>
  <sheetData>
    <row r="1">
      <c r="A1" s="1" t="inlineStr">
        <is>
          <t>บัญชีปริมาณงานและราคา หมวดที่ 4 งานบริเวณ (เพิ่มใหม่ทั้งหมวด)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</t>
        </is>
      </c>
    </row>
    <row r="3">
      <c r="A3" t="inlineStr">
        <is>
          <t>สถานที่: เลขที่ 10/7 หมู่ที่ 5 ตำบลท่าข้าม อำเภอสามพราน จังหวัดนครปฐม 73110 | อ้างอิงแบบ S201, S201-B, S202, A101, A202 (Issue 01/09/69) | ฉบับแก้ไข v2 (ทวนสอบแบบ + BIM) 27/10/2569</t>
        </is>
      </c>
    </row>
    <row r="4">
      <c r="A4" s="12" t="inlineStr">
        <is>
          <t>ลำดับ</t>
        </is>
      </c>
      <c r="B4" s="13" t="inlineStr">
        <is>
          <t>รายการ</t>
        </is>
      </c>
      <c r="C4" s="14" t="inlineStr">
        <is>
          <t>ปริมาณ</t>
        </is>
      </c>
      <c r="D4" s="12" t="inlineStr">
        <is>
          <t>หน่วย</t>
        </is>
      </c>
      <c r="E4" s="14" t="inlineStr">
        <is>
          <t>ค่าวัสดุ/หน่วย</t>
        </is>
      </c>
      <c r="F4" s="14" t="inlineStr">
        <is>
          <t>ค่าวัสดุรวม</t>
        </is>
      </c>
      <c r="G4" s="14" t="inlineStr">
        <is>
          <t>ค่าแรง/หน่วย</t>
        </is>
      </c>
      <c r="H4" s="14" t="inlineStr">
        <is>
          <t>ค่าแรงรวม</t>
        </is>
      </c>
      <c r="I4" s="14" t="inlineStr">
        <is>
          <t>รวมเป็นเงิน</t>
        </is>
      </c>
      <c r="J4" s="12" t="inlineStr">
        <is>
          <t>สถานะ</t>
        </is>
      </c>
      <c r="K4" s="13" t="inlineStr">
        <is>
          <t>หมายเหตุ / ที่มาของปริมาณ</t>
        </is>
      </c>
    </row>
    <row r="5">
      <c r="A5" s="15" t="inlineStr">
        <is>
          <t>4.1</t>
        </is>
      </c>
      <c r="B5" s="16" t="inlineStr">
        <is>
          <t>หมวดงานพื้นถนนรอบอาคาร</t>
        </is>
      </c>
      <c r="C5" s="17" t="n"/>
      <c r="D5" s="15" t="n"/>
      <c r="E5" s="17" t="n"/>
      <c r="F5" s="17" t="n"/>
      <c r="G5" s="17" t="n"/>
      <c r="H5" s="17" t="n"/>
      <c r="I5" s="17" t="n"/>
      <c r="J5" s="15" t="n"/>
      <c r="K5" s="16" t="n"/>
    </row>
    <row r="6">
      <c r="A6" s="25" t="inlineStr">
        <is>
          <t>4.1.1</t>
        </is>
      </c>
      <c r="B6" s="26" t="inlineStr">
        <is>
          <t>เสาเข็มตอก I-220x220 ยาว 22 ม. รับพื้นถนนรอบอาคาร (I22-22) รวมค่าตอก</t>
        </is>
      </c>
      <c r="C6" s="27" t="n">
        <v>249</v>
      </c>
      <c r="D6" s="25" t="inlineStr">
        <is>
          <t>ต้น</t>
        </is>
      </c>
      <c r="E6" s="21" t="n"/>
      <c r="F6" s="20">
        <f>IF(C6="",0,C6*E6)</f>
        <v/>
      </c>
      <c r="G6" s="21" t="n"/>
      <c r="H6" s="20">
        <f>IF(C6="",0,C6*G6)</f>
        <v/>
      </c>
      <c r="I6" s="20">
        <f>F6+H6</f>
        <v/>
      </c>
      <c r="J6" s="25" t="inlineStr">
        <is>
          <t>เพิ่มใหม่</t>
        </is>
      </c>
      <c r="K6" s="19" t="inlineStr">
        <is>
          <t>ตาราง S2 = 249; นับจากผัง S201 ได้ 232 (ยืนยันจำนวน)</t>
        </is>
      </c>
    </row>
    <row r="7">
      <c r="A7" s="25" t="inlineStr">
        <is>
          <t>4.1.2</t>
        </is>
      </c>
      <c r="B7" s="26" t="inlineStr">
        <is>
          <t>ฐาน F1A 0.60x0.60x0.30 ม. รับพื้นถนน</t>
        </is>
      </c>
      <c r="C7" s="27" t="n">
        <v>249</v>
      </c>
      <c r="D7" s="25" t="inlineStr">
        <is>
          <t>ฐาน</t>
        </is>
      </c>
      <c r="E7" s="21" t="n"/>
      <c r="F7" s="20">
        <f>IF(C7="",0,C7*E7)</f>
        <v/>
      </c>
      <c r="G7" s="21" t="n"/>
      <c r="H7" s="20">
        <f>IF(C7="",0,C7*G7)</f>
        <v/>
      </c>
      <c r="I7" s="20">
        <f>F7+H7</f>
        <v/>
      </c>
      <c r="J7" s="25" t="inlineStr">
        <is>
          <t>เพิ่มใหม่</t>
        </is>
      </c>
      <c r="K7" s="19" t="inlineStr">
        <is>
          <t>คอนกรีต 26.78, ทราย 35.86, คอนกรีตหยาบ 6.10 ลบ.ม. (S1.1)</t>
        </is>
      </c>
    </row>
    <row r="8">
      <c r="A8" s="25" t="inlineStr">
        <is>
          <t>4.1.3</t>
        </is>
      </c>
      <c r="B8" s="26" t="inlineStr">
        <is>
          <t>พื้นถนน S2 คสล. หนา 0.15 ม. TOP ±0.00 พร้อมรอยต่อ/ตัดรอยต่อ</t>
        </is>
      </c>
      <c r="C8" s="27" t="n">
        <v>2440.69</v>
      </c>
      <c r="D8" s="25" t="inlineStr">
        <is>
          <t>ตร.ม.</t>
        </is>
      </c>
      <c r="E8" s="21" t="n"/>
      <c r="F8" s="20">
        <f>IF(C8="",0,C8*E8)</f>
        <v/>
      </c>
      <c r="G8" s="21" t="n"/>
      <c r="H8" s="20">
        <f>IF(C8="",0,C8*G8)</f>
        <v/>
      </c>
      <c r="I8" s="20">
        <f>F8+H8</f>
        <v/>
      </c>
      <c r="J8" s="25" t="inlineStr">
        <is>
          <t>เพิ่มใหม่</t>
        </is>
      </c>
      <c r="K8" s="19" t="inlineStr">
        <is>
          <t>คอนกรีต 366.10 ลบ.ม. (S6.1)</t>
        </is>
      </c>
    </row>
    <row r="9">
      <c r="A9" s="25" t="inlineStr">
        <is>
          <t>4.1.4</t>
        </is>
      </c>
      <c r="B9" s="26" t="inlineStr">
        <is>
          <t>พื้น AF01 / SF02 ระดับถนน</t>
        </is>
      </c>
      <c r="C9" s="27" t="n">
        <v>110.14</v>
      </c>
      <c r="D9" s="25" t="inlineStr">
        <is>
          <t>ตร.ม.</t>
        </is>
      </c>
      <c r="E9" s="21" t="n"/>
      <c r="F9" s="20">
        <f>IF(C9="",0,C9*E9)</f>
        <v/>
      </c>
      <c r="G9" s="21" t="n"/>
      <c r="H9" s="20">
        <f>IF(C9="",0,C9*G9)</f>
        <v/>
      </c>
      <c r="I9" s="20">
        <f>F9+H9</f>
        <v/>
      </c>
      <c r="J9" s="25" t="inlineStr">
        <is>
          <t>เพิ่มใหม่</t>
        </is>
      </c>
      <c r="K9" s="19" t="inlineStr">
        <is>
          <t>AF01 16.88 + SF02 93.26 ตร.ม. คอนกรีต 25.76 ลบ.ม. (S6.1)</t>
        </is>
      </c>
    </row>
    <row r="10">
      <c r="A10" s="33" t="inlineStr">
        <is>
          <t>4.1.5</t>
        </is>
      </c>
      <c r="B10" s="34" t="inlineStr">
        <is>
          <t>เหล็กเสริม/ตะแกรงเหล็ก พื้นถนน และฐาน F1A</t>
        </is>
      </c>
      <c r="C10" s="35" t="n"/>
      <c r="D10" s="33" t="inlineStr">
        <is>
          <t>กก.</t>
        </is>
      </c>
      <c r="E10" s="21" t="n"/>
      <c r="F10" s="20">
        <f>IF(C10="",0,C10*E10)</f>
        <v/>
      </c>
      <c r="G10" s="21" t="n"/>
      <c r="H10" s="20">
        <f>IF(C10="",0,C10*G10)</f>
        <v/>
      </c>
      <c r="I10" s="20">
        <f>F10+H10</f>
        <v/>
      </c>
      <c r="J10" s="33" t="inlineStr">
        <is>
          <t>รอข้อมูล</t>
        </is>
      </c>
      <c r="K10" s="19" t="inlineStr">
        <is>
          <t>รอเอกสารออกแบบเหล็กเสริม</t>
        </is>
      </c>
    </row>
    <row r="11">
      <c r="A11" s="15" t="inlineStr">
        <is>
          <t>4.2</t>
        </is>
      </c>
      <c r="B11" s="16" t="inlineStr">
        <is>
          <t>หมวดงานทางลาดขนส่ง</t>
        </is>
      </c>
      <c r="C11" s="17" t="n"/>
      <c r="D11" s="15" t="n"/>
      <c r="E11" s="17" t="n"/>
      <c r="F11" s="17" t="n"/>
      <c r="G11" s="17" t="n"/>
      <c r="H11" s="17" t="n"/>
      <c r="I11" s="17" t="n"/>
      <c r="J11" s="15" t="n"/>
      <c r="K11" s="16" t="n"/>
    </row>
    <row r="12">
      <c r="A12" s="25" t="inlineStr">
        <is>
          <t>4.2.1</t>
        </is>
      </c>
      <c r="B12" s="26" t="inlineStr">
        <is>
          <t>ทางลาดขนส่ง คสล. กว้าง 6.00 ม. (ด้านเหนือแนวกริด 5-6 และด้านใต้แนวกริด 7-8)</t>
        </is>
      </c>
      <c r="C12" s="27" t="n">
        <v>2</v>
      </c>
      <c r="D12" s="25" t="inlineStr">
        <is>
          <t>แห่ง</t>
        </is>
      </c>
      <c r="E12" s="21" t="n"/>
      <c r="F12" s="20">
        <f>IF(C12="",0,C12*E12)</f>
        <v/>
      </c>
      <c r="G12" s="21" t="n"/>
      <c r="H12" s="20">
        <f>IF(C12="",0,C12*G12)</f>
        <v/>
      </c>
      <c r="I12" s="20">
        <f>F12+H12</f>
        <v/>
      </c>
      <c r="J12" s="25" t="inlineStr">
        <is>
          <t>เพิ่มใหม่</t>
        </is>
      </c>
      <c r="K12" s="19" t="inlineStr">
        <is>
          <t>A101/S202 ขนาดวัดจากผัง</t>
        </is>
      </c>
    </row>
    <row r="13">
      <c r="A13" s="15" t="inlineStr">
        <is>
          <t>4.3</t>
        </is>
      </c>
      <c r="B13" s="16" t="inlineStr">
        <is>
          <t>หมวดงานฐานหม้อแปลง</t>
        </is>
      </c>
      <c r="C13" s="17" t="n"/>
      <c r="D13" s="15" t="n"/>
      <c r="E13" s="17" t="n"/>
      <c r="F13" s="17" t="n"/>
      <c r="G13" s="17" t="n"/>
      <c r="H13" s="17" t="n"/>
      <c r="I13" s="17" t="n"/>
      <c r="J13" s="15" t="n"/>
      <c r="K13" s="16" t="n"/>
    </row>
    <row r="14">
      <c r="A14" s="25" t="inlineStr">
        <is>
          <t>4.3.1</t>
        </is>
      </c>
      <c r="B14" s="26" t="inlineStr">
        <is>
          <t>เสาเข็มตอก I-220x220 ยาว 22 ม. รับฐานหม้อแปลง (I22-TR) รวมค่าตอก</t>
        </is>
      </c>
      <c r="C14" s="27" t="n">
        <v>6</v>
      </c>
      <c r="D14" s="25" t="inlineStr">
        <is>
          <t>ต้น</t>
        </is>
      </c>
      <c r="E14" s="21" t="n"/>
      <c r="F14" s="20">
        <f>IF(C14="",0,C14*E14)</f>
        <v/>
      </c>
      <c r="G14" s="21" t="n"/>
      <c r="H14" s="20">
        <f>IF(C14="",0,C14*G14)</f>
        <v/>
      </c>
      <c r="I14" s="20">
        <f>F14+H14</f>
        <v/>
      </c>
      <c r="J14" s="25" t="inlineStr">
        <is>
          <t>เพิ่มใหม่</t>
        </is>
      </c>
      <c r="K14" s="19" t="inlineStr">
        <is>
          <t>S2 / S201</t>
        </is>
      </c>
    </row>
    <row r="15">
      <c r="A15" s="33" t="inlineStr">
        <is>
          <t>4.3.2</t>
        </is>
      </c>
      <c r="B15" s="34" t="inlineStr">
        <is>
          <t>ฐานหม้อแปลง คสล. (ขนาดรอแบบขยาย)</t>
        </is>
      </c>
      <c r="C15" s="35" t="n">
        <v>1</v>
      </c>
      <c r="D15" s="33" t="inlineStr">
        <is>
          <t>ชุด</t>
        </is>
      </c>
      <c r="E15" s="21" t="n"/>
      <c r="F15" s="20">
        <f>IF(C15="",0,C15*E15)</f>
        <v/>
      </c>
      <c r="G15" s="21" t="n"/>
      <c r="H15" s="20">
        <f>IF(C15="",0,C15*G15)</f>
        <v/>
      </c>
      <c r="I15" s="20">
        <f>F15+H15</f>
        <v/>
      </c>
      <c r="J15" s="33" t="inlineStr">
        <is>
          <t>รอข้อมูล</t>
        </is>
      </c>
      <c r="K15" s="19" t="inlineStr"/>
    </row>
    <row r="16">
      <c r="A16" s="15" t="inlineStr">
        <is>
          <t>4.4</t>
        </is>
      </c>
      <c r="B16" s="16" t="inlineStr">
        <is>
          <t>หมวดงานถังเก็บน้ำใต้ดิน</t>
        </is>
      </c>
      <c r="C16" s="17" t="n"/>
      <c r="D16" s="15" t="n"/>
      <c r="E16" s="17" t="n"/>
      <c r="F16" s="17" t="n"/>
      <c r="G16" s="17" t="n"/>
      <c r="H16" s="17" t="n"/>
      <c r="I16" s="17" t="n"/>
      <c r="J16" s="15" t="n"/>
      <c r="K16" s="16" t="n"/>
    </row>
    <row r="17">
      <c r="A17" s="33" t="inlineStr">
        <is>
          <t>4.4.1</t>
        </is>
      </c>
      <c r="B17" s="34" t="inlineStr">
        <is>
          <t>ถังเก็บน้ำใต้ดิน คสล. ~12.1 x 6.6 ม. พื้นหนา 0.25 ม. (TF -2.60 / BF -2.85) ผนัง ฝา บ่อพัก กันซึม</t>
        </is>
      </c>
      <c r="C17" s="35" t="n">
        <v>1</v>
      </c>
      <c r="D17" s="33" t="inlineStr">
        <is>
          <t>ชุด</t>
        </is>
      </c>
      <c r="E17" s="21" t="n"/>
      <c r="F17" s="20">
        <f>IF(C17="",0,C17*E17)</f>
        <v/>
      </c>
      <c r="G17" s="21" t="n"/>
      <c r="H17" s="20">
        <f>IF(C17="",0,C17*G17)</f>
        <v/>
      </c>
      <c r="I17" s="20">
        <f>F17+H17</f>
        <v/>
      </c>
      <c r="J17" s="33" t="inlineStr">
        <is>
          <t>รอข้อมูล</t>
        </is>
      </c>
      <c r="K17" s="19" t="inlineStr">
        <is>
          <t>S202 ผนัง/ฝารอแบบขยาย</t>
        </is>
      </c>
    </row>
    <row r="18">
      <c r="A18" s="15" t="inlineStr">
        <is>
          <t>4.5</t>
        </is>
      </c>
      <c r="B18" s="16" t="inlineStr">
        <is>
          <t>หมวดงานระบายน้ำ</t>
        </is>
      </c>
      <c r="C18" s="17" t="n"/>
      <c r="D18" s="15" t="n"/>
      <c r="E18" s="17" t="n"/>
      <c r="F18" s="17" t="n"/>
      <c r="G18" s="17" t="n"/>
      <c r="H18" s="17" t="n"/>
      <c r="I18" s="17" t="n"/>
      <c r="J18" s="15" t="n"/>
      <c r="K18" s="16" t="n"/>
    </row>
    <row r="19">
      <c r="A19" s="33" t="inlineStr">
        <is>
          <t>4.5.1</t>
        </is>
      </c>
      <c r="B19" s="34" t="inlineStr">
        <is>
          <t>รางระบายน้ำ คสล. พร้อมฝาปิด ตามแนวเขตที่ดิน</t>
        </is>
      </c>
      <c r="C19" s="35" t="n">
        <v>302</v>
      </c>
      <c r="D19" s="33" t="inlineStr">
        <is>
          <t>ม.</t>
        </is>
      </c>
      <c r="E19" s="21" t="n"/>
      <c r="F19" s="20">
        <f>IF(C19="",0,C19*E19)</f>
        <v/>
      </c>
      <c r="G19" s="21" t="n"/>
      <c r="H19" s="20">
        <f>IF(C19="",0,C19*G19)</f>
        <v/>
      </c>
      <c r="I19" s="20">
        <f>F19+H19</f>
        <v/>
      </c>
      <c r="J19" s="33" t="inlineStr">
        <is>
          <t>รอข้อมูล</t>
        </is>
      </c>
      <c r="K19" s="19" t="inlineStr">
        <is>
          <t>A101 ขนาดรางรอแบบขยาย</t>
        </is>
      </c>
    </row>
    <row r="20">
      <c r="A20" s="33" t="inlineStr">
        <is>
          <t>4.5.2</t>
        </is>
      </c>
      <c r="B20" s="34" t="inlineStr">
        <is>
          <t>บ่อพัก/บ่อบำบัด และจุดเชื่อมท่อระบายสาธารณะ</t>
        </is>
      </c>
      <c r="C20" s="35" t="n">
        <v>1</v>
      </c>
      <c r="D20" s="33" t="inlineStr">
        <is>
          <t>เหมา</t>
        </is>
      </c>
      <c r="E20" s="21" t="n"/>
      <c r="F20" s="20">
        <f>IF(C20="",0,C20*E20)</f>
        <v/>
      </c>
      <c r="G20" s="21" t="n"/>
      <c r="H20" s="20">
        <f>IF(C20="",0,C20*G20)</f>
        <v/>
      </c>
      <c r="I20" s="20">
        <f>F20+H20</f>
        <v/>
      </c>
      <c r="J20" s="33" t="inlineStr">
        <is>
          <t>รอข้อมูล</t>
        </is>
      </c>
      <c r="K20" s="19" t="inlineStr">
        <is>
          <t>รอแบบ</t>
        </is>
      </c>
    </row>
    <row r="21">
      <c r="A21" s="15" t="inlineStr">
        <is>
          <t>4.6</t>
        </is>
      </c>
      <c r="B21" s="16" t="inlineStr">
        <is>
          <t>หมวดงานที่ต้องยืนยันขอบเขต</t>
        </is>
      </c>
      <c r="C21" s="17" t="n"/>
      <c r="D21" s="15" t="n"/>
      <c r="E21" s="17" t="n"/>
      <c r="F21" s="17" t="n"/>
      <c r="G21" s="17" t="n"/>
      <c r="H21" s="17" t="n"/>
      <c r="I21" s="17" t="n"/>
      <c r="J21" s="15" t="n"/>
      <c r="K21" s="16" t="n"/>
    </row>
    <row r="22">
      <c r="A22" s="33" t="inlineStr">
        <is>
          <t>4.6.1</t>
        </is>
      </c>
      <c r="B22" s="34" t="inlineStr">
        <is>
          <t>เสาเข็ม I-260x260 + ฐาน 0.66x0.66 ม. แนวเขตที่ดินด้านใต้และตะวันออก (ไม่มีใน BOQ/ตาราง S2)</t>
        </is>
      </c>
      <c r="C22" s="35" t="n">
        <v>16</v>
      </c>
      <c r="D22" s="33" t="inlineStr">
        <is>
          <t>ชุด</t>
        </is>
      </c>
      <c r="E22" s="21" t="n"/>
      <c r="F22" s="20">
        <f>IF(C22="",0,C22*E22)</f>
        <v/>
      </c>
      <c r="G22" s="21" t="n"/>
      <c r="H22" s="20">
        <f>IF(C22="",0,C22*G22)</f>
        <v/>
      </c>
      <c r="I22" s="20">
        <f>F22+H22</f>
        <v/>
      </c>
      <c r="J22" s="33" t="inlineStr">
        <is>
          <t>รอข้อมูล</t>
        </is>
      </c>
      <c r="K22" s="19" t="inlineStr">
        <is>
          <t>พบในผัง S201 16 จุด ยังไม่ทราบหน้าที่ (เสารั้ว/เสาไฟ/ป้าย?) สอบถามผู้ออกแบบ</t>
        </is>
      </c>
    </row>
    <row r="23">
      <c r="A23" s="33" t="inlineStr">
        <is>
          <t>4.6.2</t>
        </is>
      </c>
      <c r="B23" s="34" t="inlineStr">
        <is>
          <t>รั้วถาวร / ประตูทางเข้าโครงการ</t>
        </is>
      </c>
      <c r="C23" s="35" t="n"/>
      <c r="D23" s="33" t="inlineStr">
        <is>
          <t>ม.</t>
        </is>
      </c>
      <c r="E23" s="21" t="n"/>
      <c r="F23" s="20">
        <f>IF(C23="",0,C23*E23)</f>
        <v/>
      </c>
      <c r="G23" s="21" t="n"/>
      <c r="H23" s="20">
        <f>IF(C23="",0,C23*G23)</f>
        <v/>
      </c>
      <c r="I23" s="20">
        <f>F23+H23</f>
        <v/>
      </c>
      <c r="J23" s="33" t="inlineStr">
        <is>
          <t>รอข้อมูล</t>
        </is>
      </c>
      <c r="K23" s="19" t="inlineStr">
        <is>
          <t>ไม่มีในแบบ ยืนยันว่าอยู่ในขอบเขตหรือไม่</t>
        </is>
      </c>
    </row>
    <row r="24">
      <c r="A24" s="28" t="n"/>
      <c r="B24" s="10" t="inlineStr">
        <is>
          <t>รวมหมวดที่ 4 งานบริเวณ (เพิ่มใหม่ทั้งหมวด)</t>
        </is>
      </c>
      <c r="C24" s="29" t="n"/>
      <c r="D24" s="28" t="n"/>
      <c r="E24" s="29" t="n"/>
      <c r="F24" s="30">
        <f>SUM(F5:F23)</f>
        <v/>
      </c>
      <c r="G24" s="29" t="n"/>
      <c r="H24" s="30">
        <f>SUM(H5:H23)</f>
        <v/>
      </c>
      <c r="I24" s="30">
        <f>SUM(I5:I23)</f>
        <v/>
      </c>
      <c r="J24" s="28" t="n"/>
      <c r="K24" s="31" t="n"/>
    </row>
    <row r="25">
      <c r="B25" s="32" t="inlineStr">
        <is>
          <t>หมายเหตุ: ช่องสีเหลืองสำหรับกรอกราคาต่อหน่วย | สีแดง = เพิ่มใหม่ | สีส้ม = แก้ไขปริมาณ/รายละเอียด | สีม่วง = รอข้อมูล/ยืนยันจากผู้ออกแบบ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70" customWidth="1" min="3" max="3"/>
    <col width="80" customWidth="1" min="4" max="4"/>
  </cols>
  <sheetData>
    <row r="1">
      <c r="A1" s="1" t="inlineStr">
        <is>
          <t>บันทึกการแก้ไข BOQ v2 และข้อสังเกตจากการทวนสอบแบบ/โมเดล BIM</t>
        </is>
      </c>
    </row>
    <row r="2">
      <c r="A2" s="36" t="inlineStr">
        <is>
          <t>ลำดับ</t>
        </is>
      </c>
      <c r="B2" s="36" t="inlineStr">
        <is>
          <t>สถานะ</t>
        </is>
      </c>
      <c r="C2" s="36" t="inlineStr">
        <is>
          <t>รายการ</t>
        </is>
      </c>
      <c r="D2" s="36" t="inlineStr">
        <is>
          <t>หมายเหตุ</t>
        </is>
      </c>
    </row>
    <row r="3">
      <c r="A3" s="37" t="inlineStr">
        <is>
          <t>1.1.2</t>
        </is>
      </c>
      <c r="B3" s="38" t="inlineStr">
        <is>
          <t>แก้ไข</t>
        </is>
      </c>
      <c r="C3" s="37" t="inlineStr">
        <is>
          <t>วางตำแหน่งเสาเข็มด้วยกล้องสำรวจ (Total Station) และตรวจสอบตำแหน่งหลังตอก</t>
        </is>
      </c>
      <c r="D3" s="37" t="inlineStr">
        <is>
          <t>เดิม 470 → นับจากผัง S201 ทุกชนิด (ดูหมวด 2.1 และ 4.1)</t>
        </is>
      </c>
    </row>
    <row r="4">
      <c r="A4" s="37" t="inlineStr">
        <is>
          <t>1.2.1</t>
        </is>
      </c>
      <c r="B4" s="38" t="inlineStr">
        <is>
          <t>แก้ไข</t>
        </is>
      </c>
      <c r="C4" s="37" t="inlineStr">
        <is>
          <t>รั้วชั่วคราวแผ่นเหล็กรีดลอน (Metal Sheet) สูง 2.00 ม. โครงเหล็กกล่อง พร้อมทาสี</t>
        </is>
      </c>
      <c r="D4" s="37" t="inlineStr">
        <is>
          <t>เดิม 308 (สมมติ 80x74) → เส้นรอบแนวเขตที่ดินจากผัง S202</t>
        </is>
      </c>
    </row>
    <row r="5">
      <c r="A5" s="37" t="inlineStr">
        <is>
          <t>1.2.4</t>
        </is>
      </c>
      <c r="B5" s="38" t="inlineStr">
        <is>
          <t>แก้ไข</t>
        </is>
      </c>
      <c r="C5" s="37" t="inlineStr">
        <is>
          <t>โรงเก็บวัสดุและเครื่องมือ (Store) พร้อมลานกองเหล็กเสริมและลานดัดเหล็ก</t>
        </is>
      </c>
      <c r="D5" s="37" t="inlineStr">
        <is>
          <t>พื้นที่ว่างรอบอาคารแคบ (4-14 ม.) ต้องย้ายออกก่อนงานพื้นถนน หรือเช่าพื้นที่ข้างเคียง</t>
        </is>
      </c>
    </row>
    <row r="6">
      <c r="A6" s="37" t="inlineStr">
        <is>
          <t>1.3.1</t>
        </is>
      </c>
      <c r="B6" s="38" t="inlineStr">
        <is>
          <t>แก้ไข</t>
        </is>
      </c>
      <c r="C6" s="37" t="inlineStr">
        <is>
          <t>ถมดินปรับระดับ บดอัดเป็นชั้นหนาไม่เกิน 0.20 ม. ความแน่นไม่น้อยกว่า 95% Standard Proctor</t>
        </is>
      </c>
      <c r="D6" s="37" t="inlineStr">
        <is>
          <t>เดิม 1,856 (ถมเฉลี่ย 0.50 ม.) → A202: ถนนอ้างอิง -1.50 / ถนนรอบอาคาร ±0.00 / FFL +0.50 ถ้าดินเดิม -1.50 = 8,566; -1.00 = 5,593; -0.50 = 2,620 ลบ.ม. ยืนยันด้วยผลสำรวจระดับ P1.2 และเสนอราคาต่อ ลบ.ม.</t>
        </is>
      </c>
    </row>
    <row r="7">
      <c r="A7" s="37" t="inlineStr">
        <is>
          <t>1.3.4</t>
        </is>
      </c>
      <c r="B7" s="39" t="inlineStr">
        <is>
          <t>เพิ่มใหม่</t>
        </is>
      </c>
      <c r="C7" s="37" t="inlineStr">
        <is>
          <t>ขุดดินฐานรากและขนย้ายดินส่วนเกิน (จากตาราง S1.1)</t>
        </is>
      </c>
      <c r="D7" s="37" t="inlineStr">
        <is>
          <t>S201-B ตาราง S1.1 รวม F1/F1A/F1P/F2P (ไม่รวมถังใต้ดิน 4.4)</t>
        </is>
      </c>
    </row>
    <row r="8">
      <c r="A8" s="37" t="inlineStr">
        <is>
          <t>1.3.5</t>
        </is>
      </c>
      <c r="B8" s="39" t="inlineStr">
        <is>
          <t>เพิ่มใหม่</t>
        </is>
      </c>
      <c r="C8" s="37" t="inlineStr">
        <is>
          <t>ป้องกันดินพังและสูบน้ำ งานขุดถังเก็บน้ำใต้ดิน ลึก ~3.0 ม. (Sheet pile/ค้ำยัน)</t>
        </is>
      </c>
      <c r="D8" s="37" t="inlineStr">
        <is>
          <t>ระดับก้นถัง BF -2.85 (S202)</t>
        </is>
      </c>
    </row>
    <row r="9">
      <c r="A9" s="37" t="inlineStr">
        <is>
          <t>1.4.2</t>
        </is>
      </c>
      <c r="B9" s="38" t="inlineStr">
        <is>
          <t>แก้ไข</t>
        </is>
      </c>
      <c r="C9" s="37" t="inlineStr">
        <is>
          <t>ทดสอบกำลังรับน้ำหนักเสาเข็มแบบพลศาสตร์ (Dynamic Load Test)</t>
        </is>
      </c>
      <c r="D9" s="37" t="inlineStr">
        <is>
          <t>เดิม 2 → อย่างน้อย 1 ต้นต่อขนาดเข็ม (I22/I26/I35) หรือตามวิศวกรกำหนด</t>
        </is>
      </c>
    </row>
    <row r="10">
      <c r="A10" s="37" t="inlineStr">
        <is>
          <t>1.4.3</t>
        </is>
      </c>
      <c r="B10" s="38" t="inlineStr">
        <is>
          <t>แก้ไข</t>
        </is>
      </c>
      <c r="C10" s="37" t="inlineStr">
        <is>
          <t>ทดสอบความแน่นดินถมในสนาม (Field Density Test)</t>
        </is>
      </c>
      <c r="D10" s="37" t="inlineStr">
        <is>
          <t>เดิม 6 → พื้นที่ 5,946 ตร.ม. ÷ 500 = 12 จุด/ชั้น x 8 ชั้น (ถม 1.60 ม. ชั้นละ 0.20)</t>
        </is>
      </c>
    </row>
    <row r="11">
      <c r="A11" s="37" t="inlineStr">
        <is>
          <t>2.1.2</t>
        </is>
      </c>
      <c r="B11" s="38" t="inlineStr">
        <is>
          <t>แก้ไข</t>
        </is>
      </c>
      <c r="C11" s="37" t="inlineStr">
        <is>
          <t>เสาเข็มตอก I-350x350 ยาว 22 ม. รับพื้นโรงงาน (I35-22) ระยะ 3.00x3.00 ม. รวมค่าตอก</t>
        </is>
      </c>
      <c r="D11" s="37" t="inlineStr">
        <is>
          <t>ตรงกัน 360 ต้น; ระบุขนาด 350 มม. (ราคาต่างจากเข็มฐานราก)</t>
        </is>
      </c>
    </row>
    <row r="12">
      <c r="A12" s="37" t="inlineStr">
        <is>
          <t>2.1.3</t>
        </is>
      </c>
      <c r="B12" s="38" t="inlineStr">
        <is>
          <t>แก้ไข</t>
        </is>
      </c>
      <c r="C12" s="37" t="inlineStr">
        <is>
          <t>เสาเข็มตอก I-260x260 ยาว 22 ม. อาคารประกอบ ฐาน F1P-1 (ห้องน้ำ 6, ห้องสารเคมี 3, ทางลาดเหนือ 2) รวมค่าตอก</t>
        </is>
      </c>
      <c r="D12" s="37" t="inlineStr">
        <is>
          <t>เดิม 18 → 11 (นับจาก S201)</t>
        </is>
      </c>
    </row>
    <row r="13">
      <c r="A13" s="37" t="inlineStr">
        <is>
          <t>2.1.4</t>
        </is>
      </c>
      <c r="B13" s="39" t="inlineStr">
        <is>
          <t>เพิ่มใหม่</t>
        </is>
      </c>
      <c r="C13" s="37" t="inlineStr">
        <is>
          <t>เสาเข็มตอก I-260x260 รับถังเก็บน้ำใต้ดิน (ตัดหัวลดระดับ 1 ม.) รวมค่าตอก</t>
        </is>
      </c>
      <c r="D13" s="37" t="inlineStr">
        <is>
          <t>เพิ่ม: S201-B (I26) นับจากผังได้ 17</t>
        </is>
      </c>
    </row>
    <row r="14">
      <c r="A14" s="37" t="inlineStr">
        <is>
          <t>2.1.5</t>
        </is>
      </c>
      <c r="B14" s="38" t="inlineStr">
        <is>
          <t>แก้ไข</t>
        </is>
      </c>
      <c r="C14" s="37" t="inlineStr">
        <is>
          <t>ตัดหัวเสาเข็มและขนทิ้ง</t>
        </is>
      </c>
      <c r="D14" s="37" t="inlineStr">
        <is>
          <t>เดิม 470 → รวมทุกชนิดในหมวด 2.1 + 4.1 + 4.3 + 4.6</t>
        </is>
      </c>
    </row>
    <row r="15">
      <c r="A15" s="37" t="inlineStr">
        <is>
          <t>2.1.6</t>
        </is>
      </c>
      <c r="B15" s="38" t="inlineStr">
        <is>
          <t>แก้ไข</t>
        </is>
      </c>
      <c r="C15" s="37" t="inlineStr">
        <is>
          <t>ราคาปรับเพิ่ม/ลดความยาวเสาเข็ม กรณีผลสำรวจดินต่างจากความยาวที่สมมติ แยกตามขนาด I22 / I26 / I35</t>
        </is>
      </c>
      <c r="D15" s="37" t="inlineStr">
        <is>
          <t>ราคาต่อเมตร ใช้ปรับหลังได้ผลสำรวจดิน P3</t>
        </is>
      </c>
    </row>
    <row r="16">
      <c r="A16" s="37" t="inlineStr">
        <is>
          <t>2.2.1</t>
        </is>
      </c>
      <c r="B16" s="38" t="inlineStr">
        <is>
          <t>แก้ไข</t>
        </is>
      </c>
      <c r="C16" s="37" t="inlineStr">
        <is>
          <t>ฐานราก F2P 0.60x1.50x0.80 ม. (เข็ม 2 ต้น) ทรายรองพื้น คอนกรีตหยาบ คอนกรีตโครงสร้าง ไม้แบบ</t>
        </is>
      </c>
      <c r="D16" s="37" t="inlineStr">
        <is>
          <t>คอนกรีต 33.12 ลบ.ม., ทราย 11.84, คอนกรีตหยาบ 2.63, ไม้แบบ 154.6 ตร.ม.; ตารางนับ 47 แต่ปริมาตร = 46 ฐาน (ยืนยัน)</t>
        </is>
      </c>
    </row>
    <row r="17">
      <c r="A17" s="37" t="inlineStr">
        <is>
          <t>2.2.2</t>
        </is>
      </c>
      <c r="B17" s="39" t="inlineStr">
        <is>
          <t>เพิ่มใหม่</t>
        </is>
      </c>
      <c r="C17" s="37" t="inlineStr">
        <is>
          <t>Drop panel F1P 1.00x1.00x0.20 ม. รับพื้นบนเข็ม I35 ทรายรองพื้น คอนกรีตหยาบ คอนกรีต</t>
        </is>
      </c>
      <c r="D17" s="37" t="inlineStr">
        <is>
          <t>เพิ่ม: คอนกรีต 72.00, ทราย 92.16, คอนกรีตหยาบ 21.78 ลบ.ม.</t>
        </is>
      </c>
    </row>
    <row r="18">
      <c r="A18" s="37" t="inlineStr">
        <is>
          <t>2.2.3</t>
        </is>
      </c>
      <c r="B18" s="39" t="inlineStr">
        <is>
          <t>เพิ่มใหม่</t>
        </is>
      </c>
      <c r="C18" s="37" t="inlineStr">
        <is>
          <t>ฐาน F1P-1 0.60x0.60x0.60 ม. (เข็มเดี่ยว อาคารประกอบ)</t>
        </is>
      </c>
      <c r="D18" s="37" t="inlineStr">
        <is>
          <t>เพิ่ม: คอนกรีต 2.38, ทราย 1.58, คอนกรีตหยาบ 0.27 ลบ.ม.</t>
        </is>
      </c>
    </row>
    <row r="19">
      <c r="A19" s="37" t="inlineStr">
        <is>
          <t>2.2.4</t>
        </is>
      </c>
      <c r="B19" s="40" t="inlineStr">
        <is>
          <t>รอข้อมูล</t>
        </is>
      </c>
      <c r="C19" s="37" t="inlineStr">
        <is>
          <t>เหล็กเสริมฐานราก F2P / F1P / F1P-1</t>
        </is>
      </c>
      <c r="D19" s="37" t="inlineStr">
        <is>
          <t>รอเอกสารออกแบบเหล็กเสริม (อ้างอิงประมาณ 100 กก./ลบ.ม. ≈ 10,750 กก.)</t>
        </is>
      </c>
    </row>
    <row r="20">
      <c r="A20" s="37" t="inlineStr">
        <is>
          <t>2.3.1</t>
        </is>
      </c>
      <c r="B20" s="38" t="inlineStr">
        <is>
          <t>แก้ไข</t>
        </is>
      </c>
      <c r="C20" s="37" t="inlineStr">
        <is>
          <t>เสา คสล. C1 0.30x0.50 ม. จากหลังฐานรากถึงหัวเสา +4.50 (ยาว 4.90 ม.)</t>
        </is>
      </c>
      <c r="D20" s="37" t="inlineStr">
        <is>
          <t>เดิม 'เสาตอม่อ 46' → C1 45 ต้น คอนกรีต 32.37 ลบ.ม. ไม้แบบ 352.80 ตร.ม. (S4.1)</t>
        </is>
      </c>
    </row>
    <row r="21">
      <c r="A21" s="37" t="inlineStr">
        <is>
          <t>2.3.2</t>
        </is>
      </c>
      <c r="B21" s="39" t="inlineStr">
        <is>
          <t>เพิ่มใหม่</t>
        </is>
      </c>
      <c r="C21" s="37" t="inlineStr">
        <is>
          <t>เสา คสล. C2 0.50x0.50 ม. (กริด 6/J)</t>
        </is>
      </c>
      <c r="D21" s="37" t="inlineStr">
        <is>
          <t>เพิ่ม: คอนกรีต 1.13 ลบ.ม. ไม้แบบ 9.80 ตร.ม.</t>
        </is>
      </c>
    </row>
    <row r="22">
      <c r="A22" s="37" t="inlineStr">
        <is>
          <t>2.3.3</t>
        </is>
      </c>
      <c r="B22" s="39" t="inlineStr">
        <is>
          <t>เพิ่มใหม่</t>
        </is>
      </c>
      <c r="C22" s="37" t="inlineStr">
        <is>
          <t>เสา คสล. C3 0.20x0.20 ม. อาคารประกอบ</t>
        </is>
      </c>
      <c r="D22" s="37" t="inlineStr">
        <is>
          <t>เพิ่ม: คอนกรีต 1.60 ลบ.ม. ไม้แบบ 34.74 ตร.ม. (S4.1 รวม 3 ระดับ)</t>
        </is>
      </c>
    </row>
    <row r="23">
      <c r="A23" s="37" t="inlineStr">
        <is>
          <t>2.3.4</t>
        </is>
      </c>
      <c r="B23" s="38" t="inlineStr">
        <is>
          <t>แก้ไข</t>
        </is>
      </c>
      <c r="C23" s="37" t="inlineStr">
        <is>
          <t>คานคอดิน B1 0.20x0.60 ม. TOP +0.50 (แนวรอบอาคาร + แนวกริด 6)</t>
        </is>
      </c>
      <c r="D23" s="37" t="inlineStr">
        <is>
          <t>เดิมว่าง → คอนกรีต 32.04 ลบ.ม. ไม้แบบ 394.80 ตร.ม. (S3)</t>
        </is>
      </c>
    </row>
    <row r="24">
      <c r="A24" s="37" t="inlineStr">
        <is>
          <t>2.3.5</t>
        </is>
      </c>
      <c r="B24" s="39" t="inlineStr">
        <is>
          <t>เพิ่มใหม่</t>
        </is>
      </c>
      <c r="C24" s="37" t="inlineStr">
        <is>
          <t>คาน B3 0.20x0.40 ม. อาคารประกอบ (ระดับถนน + ระดับพื้นชั้น 1)</t>
        </is>
      </c>
      <c r="D24" s="37" t="inlineStr">
        <is>
          <t>เพิ่ม: คอนกรีต 1.81 ลบ.ม. ไม้แบบ 40.45 ตร.ม. (S3)</t>
        </is>
      </c>
    </row>
    <row r="25">
      <c r="A25" s="37" t="inlineStr">
        <is>
          <t>2.3.6</t>
        </is>
      </c>
      <c r="B25" s="40" t="inlineStr">
        <is>
          <t>รอข้อมูล</t>
        </is>
      </c>
      <c r="C25" s="37" t="inlineStr">
        <is>
          <t>เหล็กเสริมเสาและคาน คสล. (C1, C2, C3, B1, B3)</t>
        </is>
      </c>
      <c r="D25" s="37" t="inlineStr">
        <is>
          <t>รอเอกสารออกแบบเหล็กเสริม (อ้างอิงประมาณ 160 กก./ลบ.ม. ≈ 11,000 กก.)</t>
        </is>
      </c>
    </row>
    <row r="26">
      <c r="A26" s="37" t="inlineStr">
        <is>
          <t>2.4.1</t>
        </is>
      </c>
      <c r="B26" s="38" t="inlineStr">
        <is>
          <t>แก้ไข</t>
        </is>
      </c>
      <c r="C26" s="37" t="inlineStr">
        <is>
          <t>พื้น S1 คสล. หนา 0.20 ม. วางบนเสาเข็ม TOP +0.50 พร้อมไม้แบบข้าง</t>
        </is>
      </c>
      <c r="D26" s="37" t="inlineStr">
        <is>
          <t>เดิม 3,240 → 3,206.48 ตร.ม. คอนกรีต 641.30 ลบ.ม. (S6.1)</t>
        </is>
      </c>
    </row>
    <row r="27">
      <c r="A27" s="37" t="inlineStr">
        <is>
          <t>2.4.2</t>
        </is>
      </c>
      <c r="B27" s="39" t="inlineStr">
        <is>
          <t>เพิ่มใหม่</t>
        </is>
      </c>
      <c r="C27" s="37" t="inlineStr">
        <is>
          <t>พื้นห้อง SF02 หนา 0.25 / AF01 หนา 0.10 ระดับพื้นชั้น 1</t>
        </is>
      </c>
      <c r="D27" s="37" t="inlineStr">
        <is>
          <t>เพิ่ม: SF02 30.50 + AF01 21.32 ตร.ม. คอนกรีต 9.76 ลบ.ม. (S6.1)</t>
        </is>
      </c>
    </row>
    <row r="28">
      <c r="A28" s="37" t="inlineStr">
        <is>
          <t>2.4.3</t>
        </is>
      </c>
      <c r="B28" s="40" t="inlineStr">
        <is>
          <t>รอข้อมูล</t>
        </is>
      </c>
      <c r="C28" s="37" t="inlineStr">
        <is>
          <t>เหล็กเสริม/ตะแกรงเหล็ก พื้น S1, SF02, AF01</t>
        </is>
      </c>
      <c r="D28" s="37" t="inlineStr">
        <is>
          <t>รอเอกสารออกแบบเหล็กเสริม (อ้างอิงประมาณ 80 กก./ลบ.ม. ≈ 52,000 กก.)</t>
        </is>
      </c>
    </row>
    <row r="29">
      <c r="A29" s="37" t="inlineStr">
        <is>
          <t>2.5.1</t>
        </is>
      </c>
      <c r="B29" s="38" t="inlineStr">
        <is>
          <t>แก้ไข</t>
        </is>
      </c>
      <c r="C29" s="37" t="inlineStr">
        <is>
          <t>เสาเหล็ก H250x175x44.1 กก./ม. บนหัวเสา คสล. +4.50 ถึง +9.00 พร้อมแผ่นเหล็กฐาน Anchor bolt</t>
        </is>
      </c>
      <c r="D29" s="37" t="inlineStr">
        <is>
          <t>S4.1: 47 ต้น ยาว 215.72 ม.</t>
        </is>
      </c>
    </row>
    <row r="30">
      <c r="A30" s="37" t="inlineStr">
        <is>
          <t>2.5.2</t>
        </is>
      </c>
      <c r="B30" s="40" t="inlineStr">
        <is>
          <t>รอข้อมูล</t>
        </is>
      </c>
      <c r="C30" s="37" t="inlineStr">
        <is>
          <t>โครงถักหลังคา ช่วง 2 x 30 ม. 10 แนว (กริด A-J) สันหลังคา +14.10</t>
        </is>
      </c>
      <c r="D30" s="37" t="inlineStr">
        <is>
          <t>ประมาณการจากโมเดล (คอร์ด 2C-150x65x20x3.2, ค้ำ C-100x50x20x2.3) รอแบบ</t>
        </is>
      </c>
    </row>
    <row r="31">
      <c r="A31" s="37" t="inlineStr">
        <is>
          <t>2.5.3</t>
        </is>
      </c>
      <c r="B31" s="40" t="inlineStr">
        <is>
          <t>รอข้อมูล</t>
        </is>
      </c>
      <c r="C31" s="37" t="inlineStr">
        <is>
          <t>แปหลังคา C-125x50x20x3.2 และแปผนัง (Girt)</t>
        </is>
      </c>
      <c r="D31" s="37" t="inlineStr">
        <is>
          <t>ประมาณการจากโมเดล แปหลังคา ~2,730 ม. + แปผนัง 684 ม. รอแบบ</t>
        </is>
      </c>
    </row>
    <row r="32">
      <c r="A32" s="37" t="inlineStr">
        <is>
          <t>2.5.4</t>
        </is>
      </c>
      <c r="B32" s="40" t="inlineStr">
        <is>
          <t>รอข้อมูล</t>
        </is>
      </c>
      <c r="C32" s="37" t="inlineStr">
        <is>
          <t>ค้ำยันหลังคา/ผนัง RB12 + Turnbuckle, Sag rod, แผ่นต่อ สลักเกลียว (จุดต่อ ~10%)</t>
        </is>
      </c>
      <c r="D32" s="37" t="inlineStr">
        <is>
          <t>ประมาณการ รอแบบ</t>
        </is>
      </c>
    </row>
    <row r="33">
      <c r="A33" s="37" t="inlineStr">
        <is>
          <t>2.5.5</t>
        </is>
      </c>
      <c r="B33" s="39" t="inlineStr">
        <is>
          <t>เพิ่มใหม่</t>
        </is>
      </c>
      <c r="C33" s="37" t="inlineStr">
        <is>
          <t>ทาสีกันสนิม 2 เที่ยว + สีทับหน้า 1 เที่ยว โครงสร้างเหล็กทั้งหมด</t>
        </is>
      </c>
      <c r="D33" s="37" t="inlineStr"/>
    </row>
    <row r="34">
      <c r="A34" s="37" t="inlineStr">
        <is>
          <t>2.6.1</t>
        </is>
      </c>
      <c r="B34" s="39" t="inlineStr">
        <is>
          <t>เพิ่มใหม่</t>
        </is>
      </c>
      <c r="C34" s="37" t="inlineStr">
        <is>
          <t>เสาเหล็กชั้นลอย H250x250x66.5 กก./ม.</t>
        </is>
      </c>
      <c r="D34" s="37" t="inlineStr">
        <is>
          <t>เพิ่ม: S4.1 36 ต้น ยาว 100.80 ม.</t>
        </is>
      </c>
    </row>
    <row r="35">
      <c r="A35" s="37" t="inlineStr">
        <is>
          <t>2.6.2</t>
        </is>
      </c>
      <c r="B35" s="40" t="inlineStr">
        <is>
          <t>รอข้อมูล</t>
        </is>
      </c>
      <c r="C35" s="37" t="inlineStr">
        <is>
          <t>คานเหล็กชั้นลอย (หน้าตัดรอแบบ)</t>
        </is>
      </c>
      <c r="D35" s="37" t="inlineStr">
        <is>
          <t>เพิ่ม: ประมาณการ H200x100 ตารางคาน 3.00 ม.</t>
        </is>
      </c>
    </row>
    <row r="36">
      <c r="A36" s="37" t="inlineStr">
        <is>
          <t>2.6.3</t>
        </is>
      </c>
      <c r="B36" s="39" t="inlineStr">
        <is>
          <t>เพิ่มใหม่</t>
        </is>
      </c>
      <c r="C36" s="37" t="inlineStr">
        <is>
          <t>พื้นชั้นลอย F8 (Metal deck/พื้นสำเร็จ ตามแบบ)</t>
        </is>
      </c>
      <c r="D36" s="37" t="inlineStr">
        <is>
          <t>เพิ่ม: S6.1 306.15 ตร.ม.</t>
        </is>
      </c>
    </row>
    <row r="37">
      <c r="A37" s="37" t="inlineStr">
        <is>
          <t>2.6.4</t>
        </is>
      </c>
      <c r="B37" s="39" t="inlineStr">
        <is>
          <t>เพิ่มใหม่</t>
        </is>
      </c>
      <c r="C37" s="37" t="inlineStr">
        <is>
          <t>บันไดเหล็กขึ้นชั้นลอย กว้าง ~1.40 ม. พร้อมราวกันตก</t>
        </is>
      </c>
      <c r="D37" s="37" t="inlineStr">
        <is>
          <t>เพิ่ม: ตำแหน่ง DN แนวกริด D</t>
        </is>
      </c>
    </row>
    <row r="38">
      <c r="A38" s="37" t="inlineStr">
        <is>
          <t>3.1.1</t>
        </is>
      </c>
      <c r="B38" s="39" t="inlineStr">
        <is>
          <t>เพิ่มใหม่</t>
        </is>
      </c>
      <c r="C38" s="37" t="inlineStr">
        <is>
          <t>หลังคาเมทัลชีทหนา 0.47 มม. พร้อมฉนวน PU 25 มม. (พื้นที่ตามลาด)</t>
        </is>
      </c>
      <c r="D38" s="37" t="inlineStr">
        <is>
          <t>เพิ่ม: จากโมเดล 2 ลาด 30.2 ม. x 55 ม. (สเปควัสดุรอยืนยัน)</t>
        </is>
      </c>
    </row>
    <row r="39">
      <c r="A39" s="37" t="inlineStr">
        <is>
          <t>3.1.2</t>
        </is>
      </c>
      <c r="B39" s="39" t="inlineStr">
        <is>
          <t>เพิ่มใหม่</t>
        </is>
      </c>
      <c r="C39" s="37" t="inlineStr">
        <is>
          <t>Jack roof กว้าง 6.00 ม. ยาว 42.00 ม. สัน +15.25 พร้อมตะแกรงระบายอากาศ</t>
        </is>
      </c>
      <c r="D39" s="37" t="inlineStr">
        <is>
          <t>เพิ่ม: A202</t>
        </is>
      </c>
    </row>
    <row r="40">
      <c r="A40" s="37" t="inlineStr">
        <is>
          <t>3.1.3</t>
        </is>
      </c>
      <c r="B40" s="39" t="inlineStr">
        <is>
          <t>เพิ่มใหม่</t>
        </is>
      </c>
      <c r="C40" s="37" t="inlineStr">
        <is>
          <t>ครอบสัน ครอบข้าง แผ่นปิดเชิงชาย Flashing</t>
        </is>
      </c>
      <c r="D40" s="37" t="inlineStr">
        <is>
          <t>เพิ่ม</t>
        </is>
      </c>
    </row>
    <row r="41">
      <c r="A41" s="37" t="inlineStr">
        <is>
          <t>3.1.4</t>
        </is>
      </c>
      <c r="B41" s="39" t="inlineStr">
        <is>
          <t>เพิ่มใหม่</t>
        </is>
      </c>
      <c r="C41" s="37" t="inlineStr">
        <is>
          <t>รางน้ำฝนเหล็กอาบสังกะสี 0.30x0.30 ม.</t>
        </is>
      </c>
      <c r="D41" s="37" t="inlineStr">
        <is>
          <t>เพิ่ม: ชายคาแนวกริด 1 และ 11</t>
        </is>
      </c>
    </row>
    <row r="42">
      <c r="A42" s="37" t="inlineStr">
        <is>
          <t>3.1.5</t>
        </is>
      </c>
      <c r="B42" s="40" t="inlineStr">
        <is>
          <t>รอข้อมูล</t>
        </is>
      </c>
      <c r="C42" s="37" t="inlineStr">
        <is>
          <t>ท่อระบายน้ำฝน PVC Ø4" พร้อมอุปกรณ์ยึด</t>
        </is>
      </c>
      <c r="D42" s="37" t="inlineStr">
        <is>
          <t>เพิ่ม: 10 จุด x 10 ม. (สมมติ)</t>
        </is>
      </c>
    </row>
    <row r="43">
      <c r="A43" s="37" t="inlineStr">
        <is>
          <t>3.1.6</t>
        </is>
      </c>
      <c r="B43" s="39" t="inlineStr">
        <is>
          <t>เพิ่มใหม่</t>
        </is>
      </c>
      <c r="C43" s="37" t="inlineStr">
        <is>
          <t>ผนังเมทัลชีท ระดับ +5.20 ถึงชายคา/จั่ว</t>
        </is>
      </c>
      <c r="D43" s="37" t="inlineStr">
        <is>
          <t>เพิ่ม: จากโมเดล ตาม A202</t>
        </is>
      </c>
    </row>
    <row r="44">
      <c r="A44" s="37" t="inlineStr">
        <is>
          <t>3.2.1</t>
        </is>
      </c>
      <c r="B44" s="40" t="inlineStr">
        <is>
          <t>รอข้อมูล</t>
        </is>
      </c>
      <c r="C44" s="37" t="inlineStr">
        <is>
          <t>ผนังก่ออิฐมวลเบา หนา 0.15 ม. +0.50 ถึง +4.50 พร้อมเสาเอ็น-ทับหลัง</t>
        </is>
      </c>
      <c r="D44" s="37" t="inlineStr">
        <is>
          <t>เพิ่ม: สมมติตามรูปด้าน A202 ยังไม่มีแบบสถาปัตย์</t>
        </is>
      </c>
    </row>
    <row r="45">
      <c r="A45" s="37" t="inlineStr">
        <is>
          <t>3.2.2</t>
        </is>
      </c>
      <c r="B45" s="40" t="inlineStr">
        <is>
          <t>รอข้อมูล</t>
        </is>
      </c>
      <c r="C45" s="37" t="inlineStr">
        <is>
          <t>ฉาบปูนผนัง 2 ด้าน</t>
        </is>
      </c>
      <c r="D45" s="37" t="inlineStr">
        <is>
          <t>เพิ่ม</t>
        </is>
      </c>
    </row>
    <row r="46">
      <c r="A46" s="37" t="inlineStr">
        <is>
          <t>3.3.1</t>
        </is>
      </c>
      <c r="B46" s="38" t="inlineStr">
        <is>
          <t>แก้ไข</t>
        </is>
      </c>
      <c r="C46" s="37" t="inlineStr">
        <is>
          <t>พื้นขัดมันผสม Floor Hardener</t>
        </is>
      </c>
      <c r="D46" s="37" t="inlineStr">
        <is>
          <t>เดิม 3,240 → พื้นที่ S1 (S6.1)</t>
        </is>
      </c>
    </row>
    <row r="47">
      <c r="A47" s="37" t="inlineStr">
        <is>
          <t>3.4.1</t>
        </is>
      </c>
      <c r="B47" s="40" t="inlineStr">
        <is>
          <t>รอข้อมูล</t>
        </is>
      </c>
      <c r="C47" s="37" t="inlineStr">
        <is>
          <t>ประตูม้วนเหล็กไฟฟ้า ~6.00x4.00 ม. ทางลาดขนส่ง</t>
        </is>
      </c>
      <c r="D47" s="37" t="inlineStr">
        <is>
          <t>เพิ่ม: ตำแหน่งตาม A101 ขนาดรอยืนยัน</t>
        </is>
      </c>
    </row>
    <row r="48">
      <c r="A48" s="37" t="inlineStr">
        <is>
          <t>3.4.2</t>
        </is>
      </c>
      <c r="B48" s="40" t="inlineStr">
        <is>
          <t>รอข้อมูล</t>
        </is>
      </c>
      <c r="C48" s="37" t="inlineStr">
        <is>
          <t>ประตู D1/D2/D4 และหน้าต่าง ตามแบบ A101</t>
        </is>
      </c>
      <c r="D48" s="37" t="inlineStr">
        <is>
          <t>เพิ่ม: รอตารางประตู-หน้าต่าง</t>
        </is>
      </c>
    </row>
    <row r="49">
      <c r="A49" s="37" t="inlineStr">
        <is>
          <t>3.5.1</t>
        </is>
      </c>
      <c r="B49" s="40" t="inlineStr">
        <is>
          <t>รอข้อมูล</t>
        </is>
      </c>
      <c r="C49" s="37" t="inlineStr">
        <is>
          <t>ทาสีผนังภายใน-ภายนอก (รองพื้น + ทับหน้า 2 เที่ยว)</t>
        </is>
      </c>
      <c r="D49" s="37" t="inlineStr">
        <is>
          <t>เพิ่ม</t>
        </is>
      </c>
    </row>
    <row r="50">
      <c r="A50" s="37" t="inlineStr">
        <is>
          <t>3.6.1</t>
        </is>
      </c>
      <c r="B50" s="39" t="inlineStr">
        <is>
          <t>เพิ่มใหม่</t>
        </is>
      </c>
      <c r="C50" s="37" t="inlineStr">
        <is>
          <t>ห้อง MDB 17.79 ตร.ม. (ผนัง ประตูกันไฟ พื้น ฝ้า)</t>
        </is>
      </c>
      <c r="D50" s="37" t="inlineStr">
        <is>
          <t>เพิ่ม: A101</t>
        </is>
      </c>
    </row>
    <row r="51">
      <c r="A51" s="37" t="inlineStr">
        <is>
          <t>3.6.2</t>
        </is>
      </c>
      <c r="B51" s="39" t="inlineStr">
        <is>
          <t>เพิ่มใหม่</t>
        </is>
      </c>
      <c r="C51" s="37" t="inlineStr">
        <is>
          <t>ห้องเก็บสารเคมี (Chemical Drum Storage) 21.84 ตร.ม. พร้อมขอบกั้นรั่วไหล</t>
        </is>
      </c>
      <c r="D51" s="37" t="inlineStr">
        <is>
          <t>เพิ่ม: A101</t>
        </is>
      </c>
    </row>
    <row r="52">
      <c r="A52" s="37" t="inlineStr">
        <is>
          <t>3.6.3</t>
        </is>
      </c>
      <c r="B52" s="40" t="inlineStr">
        <is>
          <t>รอข้อมูล</t>
        </is>
      </c>
      <c r="C52" s="37" t="inlineStr">
        <is>
          <t>อาคารห้องน้ำ 2.40 x 8.00 ม. (สุขภัณฑ์ กระเบื้อง ระบบสุขาภิบาลภายใน)</t>
        </is>
      </c>
      <c r="D52" s="37" t="inlineStr">
        <is>
          <t>เพิ่ม: A101/S201 รอแบบสถาปัตย์</t>
        </is>
      </c>
    </row>
    <row r="53">
      <c r="A53" s="37" t="inlineStr">
        <is>
          <t>3.6.4</t>
        </is>
      </c>
      <c r="B53" s="40" t="inlineStr">
        <is>
          <t>รอข้อมูล</t>
        </is>
      </c>
      <c r="C53" s="37" t="inlineStr">
        <is>
          <t>ห้องประกอบแนวกริด A (กริด 8-10)</t>
        </is>
      </c>
      <c r="D53" s="37" t="inlineStr">
        <is>
          <t>เพิ่ม: เห็นในผัง A101 รอแบบ</t>
        </is>
      </c>
    </row>
    <row r="54">
      <c r="A54" s="37" t="inlineStr">
        <is>
          <t>4.1.1</t>
        </is>
      </c>
      <c r="B54" s="39" t="inlineStr">
        <is>
          <t>เพิ่มใหม่</t>
        </is>
      </c>
      <c r="C54" s="37" t="inlineStr">
        <is>
          <t>เสาเข็มตอก I-220x220 ยาว 22 ม. รับพื้นถนนรอบอาคาร (I22-22) รวมค่าตอก</t>
        </is>
      </c>
      <c r="D54" s="37" t="inlineStr">
        <is>
          <t>ตาราง S2 = 249; นับจากผัง S201 ได้ 232 (ยืนยันจำนวน)</t>
        </is>
      </c>
    </row>
    <row r="55">
      <c r="A55" s="37" t="inlineStr">
        <is>
          <t>4.1.2</t>
        </is>
      </c>
      <c r="B55" s="39" t="inlineStr">
        <is>
          <t>เพิ่มใหม่</t>
        </is>
      </c>
      <c r="C55" s="37" t="inlineStr">
        <is>
          <t>ฐาน F1A 0.60x0.60x0.30 ม. รับพื้นถนน</t>
        </is>
      </c>
      <c r="D55" s="37" t="inlineStr">
        <is>
          <t>คอนกรีต 26.78, ทราย 35.86, คอนกรีตหยาบ 6.10 ลบ.ม. (S1.1)</t>
        </is>
      </c>
    </row>
    <row r="56">
      <c r="A56" s="37" t="inlineStr">
        <is>
          <t>4.1.3</t>
        </is>
      </c>
      <c r="B56" s="39" t="inlineStr">
        <is>
          <t>เพิ่มใหม่</t>
        </is>
      </c>
      <c r="C56" s="37" t="inlineStr">
        <is>
          <t>พื้นถนน S2 คสล. หนา 0.15 ม. TOP ±0.00 พร้อมรอยต่อ/ตัดรอยต่อ</t>
        </is>
      </c>
      <c r="D56" s="37" t="inlineStr">
        <is>
          <t>คอนกรีต 366.10 ลบ.ม. (S6.1)</t>
        </is>
      </c>
    </row>
    <row r="57">
      <c r="A57" s="37" t="inlineStr">
        <is>
          <t>4.1.4</t>
        </is>
      </c>
      <c r="B57" s="39" t="inlineStr">
        <is>
          <t>เพิ่มใหม่</t>
        </is>
      </c>
      <c r="C57" s="37" t="inlineStr">
        <is>
          <t>พื้น AF01 / SF02 ระดับถนน</t>
        </is>
      </c>
      <c r="D57" s="37" t="inlineStr">
        <is>
          <t>AF01 16.88 + SF02 93.26 ตร.ม. คอนกรีต 25.76 ลบ.ม. (S6.1)</t>
        </is>
      </c>
    </row>
    <row r="58">
      <c r="A58" s="37" t="inlineStr">
        <is>
          <t>4.1.5</t>
        </is>
      </c>
      <c r="B58" s="40" t="inlineStr">
        <is>
          <t>รอข้อมูล</t>
        </is>
      </c>
      <c r="C58" s="37" t="inlineStr">
        <is>
          <t>เหล็กเสริม/ตะแกรงเหล็ก พื้นถนน และฐาน F1A</t>
        </is>
      </c>
      <c r="D58" s="37" t="inlineStr">
        <is>
          <t>รอเอกสารออกแบบเหล็กเสริม</t>
        </is>
      </c>
    </row>
    <row r="59">
      <c r="A59" s="37" t="inlineStr">
        <is>
          <t>4.2.1</t>
        </is>
      </c>
      <c r="B59" s="39" t="inlineStr">
        <is>
          <t>เพิ่มใหม่</t>
        </is>
      </c>
      <c r="C59" s="37" t="inlineStr">
        <is>
          <t>ทางลาดขนส่ง คสล. กว้าง 6.00 ม. (ด้านเหนือแนวกริด 5-6 และด้านใต้แนวกริด 7-8)</t>
        </is>
      </c>
      <c r="D59" s="37" t="inlineStr">
        <is>
          <t>A101/S202 ขนาดวัดจากผัง</t>
        </is>
      </c>
    </row>
    <row r="60">
      <c r="A60" s="37" t="inlineStr">
        <is>
          <t>4.3.1</t>
        </is>
      </c>
      <c r="B60" s="39" t="inlineStr">
        <is>
          <t>เพิ่มใหม่</t>
        </is>
      </c>
      <c r="C60" s="37" t="inlineStr">
        <is>
          <t>เสาเข็มตอก I-220x220 ยาว 22 ม. รับฐานหม้อแปลง (I22-TR) รวมค่าตอก</t>
        </is>
      </c>
      <c r="D60" s="37" t="inlineStr">
        <is>
          <t>S2 / S201</t>
        </is>
      </c>
    </row>
    <row r="61">
      <c r="A61" s="37" t="inlineStr">
        <is>
          <t>4.3.2</t>
        </is>
      </c>
      <c r="B61" s="40" t="inlineStr">
        <is>
          <t>รอข้อมูล</t>
        </is>
      </c>
      <c r="C61" s="37" t="inlineStr">
        <is>
          <t>ฐานหม้อแปลง คสล. (ขนาดรอแบบขยาย)</t>
        </is>
      </c>
      <c r="D61" s="37" t="inlineStr"/>
    </row>
    <row r="62">
      <c r="A62" s="37" t="inlineStr">
        <is>
          <t>4.4.1</t>
        </is>
      </c>
      <c r="B62" s="40" t="inlineStr">
        <is>
          <t>รอข้อมูล</t>
        </is>
      </c>
      <c r="C62" s="37" t="inlineStr">
        <is>
          <t>ถังเก็บน้ำใต้ดิน คสล. ~12.1 x 6.6 ม. พื้นหนา 0.25 ม. (TF -2.60 / BF -2.85) ผนัง ฝา บ่อพัก กันซึม</t>
        </is>
      </c>
      <c r="D62" s="37" t="inlineStr">
        <is>
          <t>S202 ผนัง/ฝารอแบบขยาย</t>
        </is>
      </c>
    </row>
    <row r="63">
      <c r="A63" s="37" t="inlineStr">
        <is>
          <t>4.5.1</t>
        </is>
      </c>
      <c r="B63" s="40" t="inlineStr">
        <is>
          <t>รอข้อมูล</t>
        </is>
      </c>
      <c r="C63" s="37" t="inlineStr">
        <is>
          <t>รางระบายน้ำ คสล. พร้อมฝาปิด ตามแนวเขตที่ดิน</t>
        </is>
      </c>
      <c r="D63" s="37" t="inlineStr">
        <is>
          <t>A101 ขนาดรางรอแบบขยาย</t>
        </is>
      </c>
    </row>
    <row r="64">
      <c r="A64" s="37" t="inlineStr">
        <is>
          <t>4.5.2</t>
        </is>
      </c>
      <c r="B64" s="40" t="inlineStr">
        <is>
          <t>รอข้อมูล</t>
        </is>
      </c>
      <c r="C64" s="37" t="inlineStr">
        <is>
          <t>บ่อพัก/บ่อบำบัด และจุดเชื่อมท่อระบายสาธารณะ</t>
        </is>
      </c>
      <c r="D64" s="37" t="inlineStr">
        <is>
          <t>รอแบบ</t>
        </is>
      </c>
    </row>
    <row r="65">
      <c r="A65" s="37" t="inlineStr">
        <is>
          <t>4.6.1</t>
        </is>
      </c>
      <c r="B65" s="40" t="inlineStr">
        <is>
          <t>รอข้อมูล</t>
        </is>
      </c>
      <c r="C65" s="37" t="inlineStr">
        <is>
          <t>เสาเข็ม I-260x260 + ฐาน 0.66x0.66 ม. แนวเขตที่ดินด้านใต้และตะวันออก (ไม่มีใน BOQ/ตาราง S2)</t>
        </is>
      </c>
      <c r="D65" s="37" t="inlineStr">
        <is>
          <t>พบในผัง S201 16 จุด ยังไม่ทราบหน้าที่ (เสารั้ว/เสาไฟ/ป้าย?) สอบถามผู้ออกแบบ</t>
        </is>
      </c>
    </row>
    <row r="66">
      <c r="A66" s="37" t="inlineStr">
        <is>
          <t>4.6.2</t>
        </is>
      </c>
      <c r="B66" s="40" t="inlineStr">
        <is>
          <t>รอข้อมูล</t>
        </is>
      </c>
      <c r="C66" s="37" t="inlineStr">
        <is>
          <t>รั้วถาวร / ประตูทางเข้าโครงการ</t>
        </is>
      </c>
      <c r="D66" s="37" t="inlineStr">
        <is>
          <t>ไม่มีในแบบ ยืนยันว่าอยู่ในขอบเขตหรือไม่</t>
        </is>
      </c>
    </row>
    <row r="67">
      <c r="A67" s="37" t="n"/>
      <c r="B67" s="37" t="n"/>
      <c r="C67" s="37" t="n"/>
      <c r="D67" s="37" t="n"/>
    </row>
    <row r="68">
      <c r="A68" s="37" t="inlineStr"/>
      <c r="B68" s="41" t="inlineStr">
        <is>
          <t>ข้อสังเกต</t>
        </is>
      </c>
      <c r="C68" s="37" t="inlineStr"/>
      <c r="D68" s="37" t="inlineStr"/>
    </row>
    <row r="69">
      <c r="A69" s="37" t="inlineStr"/>
      <c r="B69" s="37" t="inlineStr">
        <is>
          <t>ขอบเขต</t>
        </is>
      </c>
      <c r="C69" s="37" t="inlineStr">
        <is>
          <t>งานระบบไฟฟ้า ประปา สุขาภิบาล ดับเพลิง (MEP) ไม่มีแบบ และไม่รวมในราคานี้ ยกเว้นที่ระบุ</t>
        </is>
      </c>
      <c r="D69" s="37" t="inlineStr"/>
    </row>
    <row r="70">
      <c r="A70" s="37" t="inlineStr"/>
      <c r="B70" s="37" t="inlineStr">
        <is>
          <t>แบบ</t>
        </is>
      </c>
      <c r="C70" s="37" t="inlineStr">
        <is>
          <t>กรอบชื่อแบบทุกแผ่นระบุ 'แบบก่อสร้างบ้านพักอาศัย คสล 1 ชั้น' และ Date 03/31/22 ควรแก้ก่อนแนบประกอบใบเสนอราคา</t>
        </is>
      </c>
      <c r="D70" s="37" t="inlineStr"/>
    </row>
    <row r="71">
      <c r="A71" s="37" t="inlineStr"/>
      <c r="B71" s="37" t="inlineStr">
        <is>
          <t>แบบ</t>
        </is>
      </c>
      <c r="C71" s="37" t="inlineStr">
        <is>
          <t>แบบไม่มีลูกศรทิศเหนือ (North arrow) ต้องระบุเพื่อวางทิศอาคารบนที่ดินจริง</t>
        </is>
      </c>
      <c r="D71" s="37" t="inlineStr"/>
    </row>
    <row r="72">
      <c r="A72" s="37" t="inlineStr"/>
      <c r="B72" s="37" t="inlineStr">
        <is>
          <t>แบบ</t>
        </is>
      </c>
      <c r="C72" s="37" t="inlineStr">
        <is>
          <t>ตาราง S2 นับเข็ม 737 ต้น แต่ผัง S201 นับได้ 734 ต้น (+16 ต้นใต้ฐาน 0.66 ม. ที่ไม่อยู่ในตาราง) และ F2P ตารางนับ 47 แต่ผัง/ปริมาตร = 46</t>
        </is>
      </c>
      <c r="D72" s="37" t="inlineStr"/>
    </row>
    <row r="73">
      <c r="A73" s="37" t="inlineStr"/>
      <c r="B73" s="37" t="inlineStr">
        <is>
          <t>เหล็กเสริม</t>
        </is>
      </c>
      <c r="C73" s="37" t="inlineStr">
        <is>
          <t>เหล็กเสริม คสล. ทุกรายการรอเอกสารการออกแบบเหล็กเสริมจากผู้ออกแบบ ตัวเลขในหมายเหตุเป็นค่าอ้างอิงเท่านั้น ไม่ใช้เป็นปริมาณ</t>
        </is>
      </c>
      <c r="D73" s="37" t="inlineStr"/>
    </row>
    <row r="74">
      <c r="A74" s="37" t="inlineStr"/>
      <c r="B74" s="37" t="inlineStr">
        <is>
          <t>โครงหลังคา</t>
        </is>
      </c>
      <c r="C74" s="37" t="inlineStr">
        <is>
          <t>ยังไม่มีแบบโครงสร้างหลังคา น้ำหนักเหล็กโครงถัก/แป/ค้ำยันเป็นค่าประมาณจากโมเดล BIM</t>
        </is>
      </c>
      <c r="D74" s="37" t="inlineStr"/>
    </row>
    <row r="75">
      <c r="A75" s="37" t="inlineStr"/>
      <c r="B75" s="37" t="inlineStr">
        <is>
          <t>ดินถม</t>
        </is>
      </c>
      <c r="C75" s="37" t="inlineStr">
        <is>
          <t>ปริมาณดินถมขึ้นกับระดับดินเดิม ต้องยืนยันด้วยสำรวจระดับ P1.2 แนะนำเสนอเป็นราคาต่อ ลบ.ม. และคิดตามปริมาณจริง</t>
        </is>
      </c>
      <c r="D75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2026-10-27T08:59:18Z</dcterms:created>
  <dcterms:modified xmlns:dcterms="http://purl.org/dc/terms/" xmlns:xsi="http://www.w3.org/2001/XMLSchema-instance" xsi:type="dcterms:W3CDTF">2026-10-27T08:59:18Z</dcterms:modified>
</cp:coreProperties>
</file>