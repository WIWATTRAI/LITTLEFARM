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" sheetId="1" state="visible" r:id="rId1"/>
    <sheet xmlns:r="http://schemas.openxmlformats.org/officeDocument/2006/relationships" name="1-ฐานราก รายจุด" sheetId="2" state="visible" r:id="rId2"/>
    <sheet xmlns:r="http://schemas.openxmlformats.org/officeDocument/2006/relationships" name="2-ฐานราก เหล็กเสริม" sheetId="3" state="visible" r:id="rId3"/>
    <sheet xmlns:r="http://schemas.openxmlformats.org/officeDocument/2006/relationships" name="3-เสา รายต้น" sheetId="4" state="visible" r:id="rId4"/>
    <sheet xmlns:r="http://schemas.openxmlformats.org/officeDocument/2006/relationships" name="4-เสา เหล็กเสริม" sheetId="5" state="visible" r:id="rId5"/>
    <sheet xmlns:r="http://schemas.openxmlformats.org/officeDocument/2006/relationships" name="5-คาน รายช่วง" sheetId="6" state="visible" r:id="rId6"/>
    <sheet xmlns:r="http://schemas.openxmlformats.org/officeDocument/2006/relationships" name="6-คาน เหล็กเสริม" sheetId="7" state="visible" r:id="rId7"/>
    <sheet xmlns:r="http://schemas.openxmlformats.org/officeDocument/2006/relationships" name="8-รอยต่อเสาเหล็ก" sheetId="8" state="visible" r:id="rId8"/>
    <sheet xmlns:r="http://schemas.openxmlformats.org/officeDocument/2006/relationships" name="7-ข้อมูลที่ต้องยืนยัน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Tahoma"/>
      <b val="1"/>
      <sz val="13"/>
    </font>
    <font>
      <name val="Tahoma"/>
      <b val="1"/>
      <color rgb="00FFFFFF"/>
      <sz val="9"/>
    </font>
    <font>
      <name val="Tahoma"/>
      <b val="1"/>
      <sz val="9"/>
    </font>
    <font>
      <name val="Tahoma"/>
      <sz val="9"/>
    </font>
    <font>
      <name val="Tahoma"/>
      <sz val="10"/>
    </font>
    <font>
      <name val="Tahoma"/>
      <b val="1"/>
      <sz val="10"/>
    </font>
  </fonts>
  <fills count="5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7E6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0" fontId="3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13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สรุปตารางโครงสร้าง ฐานราก เสา คาน รายจุด</t>
        </is>
      </c>
    </row>
    <row r="2">
      <c r="A2" t="inlineStr">
        <is>
          <t>งานก่อสร้างอาคารโกดังและงานบริเวณ บริษัท ตงเฉิน อีเล็คทริค เคเบิ้ล แอนด์ไวร์ จำกัด | WEC-TC-6901</t>
        </is>
      </c>
    </row>
    <row r="3">
      <c r="A3" s="2" t="inlineStr">
        <is>
          <t>กลุ่ม</t>
        </is>
      </c>
      <c r="B3" s="2" t="inlineStr">
        <is>
          <t>ชนิด</t>
        </is>
      </c>
      <c r="C3" s="2" t="inlineStr">
        <is>
          <t>จำนวน</t>
        </is>
      </c>
      <c r="D3" s="2" t="inlineStr">
        <is>
          <t>คอนกรีต (ลบ.ม.)</t>
        </is>
      </c>
      <c r="E3" s="2" t="inlineStr">
        <is>
          <t>ไม้แบบ (ตร.ม.)</t>
        </is>
      </c>
      <c r="F3" s="2" t="inlineStr">
        <is>
          <t>เหล็กเสริม (กก.)</t>
        </is>
      </c>
      <c r="G3" s="2" t="inlineStr">
        <is>
          <t>เทียบรายการ BOQ v2</t>
        </is>
      </c>
    </row>
    <row r="4">
      <c r="A4" s="3" t="inlineStr">
        <is>
          <t>ฐานราก</t>
        </is>
      </c>
      <c r="B4" s="3" t="inlineStr">
        <is>
          <t>F2P</t>
        </is>
      </c>
      <c r="C4" s="3">
        <f>COUNTIF('1-ฐานราก รายจุด'!B:B,B4)</f>
        <v/>
      </c>
      <c r="D4" s="4">
        <f>SUMIF('1-ฐานราก รายจุด'!B:B,B4,'1-ฐานราก รายจุด'!O:O)</f>
        <v/>
      </c>
      <c r="E4" s="4">
        <f>SUMIF('1-ฐานราก รายจุด'!B:B,B4,'1-ฐานราก รายจุด'!P:P)</f>
        <v/>
      </c>
      <c r="F4" s="4">
        <f>SUMIF('1-ฐานราก รายจุด'!B:B,B4,'1-ฐานราก รายจุด'!T:T)</f>
        <v/>
      </c>
      <c r="G4" s="3" t="inlineStr">
        <is>
          <t>2.2.1</t>
        </is>
      </c>
    </row>
    <row r="5">
      <c r="A5" s="3" t="inlineStr">
        <is>
          <t>ฐานราก</t>
        </is>
      </c>
      <c r="B5" s="3" t="inlineStr">
        <is>
          <t>F1P</t>
        </is>
      </c>
      <c r="C5" s="3">
        <f>COUNTIF('1-ฐานราก รายจุด'!B:B,B5)</f>
        <v/>
      </c>
      <c r="D5" s="4">
        <f>SUMIF('1-ฐานราก รายจุด'!B:B,B5,'1-ฐานราก รายจุด'!O:O)</f>
        <v/>
      </c>
      <c r="E5" s="4">
        <f>SUMIF('1-ฐานราก รายจุด'!B:B,B5,'1-ฐานราก รายจุด'!P:P)</f>
        <v/>
      </c>
      <c r="F5" s="4">
        <f>SUMIF('1-ฐานราก รายจุด'!B:B,B5,'1-ฐานราก รายจุด'!T:T)</f>
        <v/>
      </c>
      <c r="G5" s="3" t="inlineStr">
        <is>
          <t>2.2.2</t>
        </is>
      </c>
    </row>
    <row r="6">
      <c r="A6" s="3" t="inlineStr">
        <is>
          <t>ฐานราก</t>
        </is>
      </c>
      <c r="B6" s="3" t="inlineStr">
        <is>
          <t>F1P-1</t>
        </is>
      </c>
      <c r="C6" s="3">
        <f>COUNTIF('1-ฐานราก รายจุด'!B:B,B6)</f>
        <v/>
      </c>
      <c r="D6" s="4">
        <f>SUMIF('1-ฐานราก รายจุด'!B:B,B6,'1-ฐานราก รายจุด'!O:O)</f>
        <v/>
      </c>
      <c r="E6" s="4">
        <f>SUMIF('1-ฐานราก รายจุด'!B:B,B6,'1-ฐานราก รายจุด'!P:P)</f>
        <v/>
      </c>
      <c r="F6" s="4">
        <f>SUMIF('1-ฐานราก รายจุด'!B:B,B6,'1-ฐานราก รายจุด'!T:T)</f>
        <v/>
      </c>
      <c r="G6" s="3" t="inlineStr">
        <is>
          <t>2.2.3</t>
        </is>
      </c>
    </row>
    <row r="7">
      <c r="A7" s="3" t="inlineStr">
        <is>
          <t>ฐานราก</t>
        </is>
      </c>
      <c r="B7" s="3" t="inlineStr">
        <is>
          <t>F1A</t>
        </is>
      </c>
      <c r="C7" s="3">
        <f>COUNTIF('1-ฐานราก รายจุด'!B:B,B7)</f>
        <v/>
      </c>
      <c r="D7" s="4">
        <f>SUMIF('1-ฐานราก รายจุด'!B:B,B7,'1-ฐานราก รายจุด'!O:O)</f>
        <v/>
      </c>
      <c r="E7" s="4">
        <f>SUMIF('1-ฐานราก รายจุด'!B:B,B7,'1-ฐานราก รายจุด'!P:P)</f>
        <v/>
      </c>
      <c r="F7" s="4">
        <f>SUMIF('1-ฐานราก รายจุด'!B:B,B7,'1-ฐานราก รายจุด'!T:T)</f>
        <v/>
      </c>
      <c r="G7" s="3" t="inlineStr">
        <is>
          <t>4.1.2</t>
        </is>
      </c>
    </row>
    <row r="8">
      <c r="A8" s="3" t="inlineStr">
        <is>
          <t>ฐานราก</t>
        </is>
      </c>
      <c r="B8" s="3" t="inlineStr">
        <is>
          <t>SQ66</t>
        </is>
      </c>
      <c r="C8" s="3">
        <f>COUNTIF('1-ฐานราก รายจุด'!B:B,B8)</f>
        <v/>
      </c>
      <c r="D8" s="4">
        <f>SUMIF('1-ฐานราก รายจุด'!B:B,B8,'1-ฐานราก รายจุด'!O:O)</f>
        <v/>
      </c>
      <c r="E8" s="4">
        <f>SUMIF('1-ฐานราก รายจุด'!B:B,B8,'1-ฐานราก รายจุด'!P:P)</f>
        <v/>
      </c>
      <c r="F8" s="4">
        <f>SUMIF('1-ฐานราก รายจุด'!B:B,B8,'1-ฐานราก รายจุด'!T:T)</f>
        <v/>
      </c>
      <c r="G8" s="3" t="inlineStr">
        <is>
          <t>4.6.1</t>
        </is>
      </c>
    </row>
    <row r="9">
      <c r="A9" s="3" t="inlineStr">
        <is>
          <t>ฐานราก</t>
        </is>
      </c>
      <c r="B9" s="3" t="inlineStr">
        <is>
          <t>TRP</t>
        </is>
      </c>
      <c r="C9" s="3">
        <f>COUNTIF('1-ฐานราก รายจุด'!B:B,B9)</f>
        <v/>
      </c>
      <c r="D9" s="4">
        <f>SUMIF('1-ฐานราก รายจุด'!B:B,B9,'1-ฐานราก รายจุด'!O:O)</f>
        <v/>
      </c>
      <c r="E9" s="4">
        <f>SUMIF('1-ฐานราก รายจุด'!B:B,B9,'1-ฐานราก รายจุด'!P:P)</f>
        <v/>
      </c>
      <c r="F9" s="4">
        <f>SUMIF('1-ฐานราก รายจุด'!B:B,B9,'1-ฐานราก รายจุด'!T:T)</f>
        <v/>
      </c>
      <c r="G9" s="3" t="inlineStr">
        <is>
          <t>4.3.2</t>
        </is>
      </c>
    </row>
    <row r="10">
      <c r="A10" s="3" t="inlineStr">
        <is>
          <t>เสา</t>
        </is>
      </c>
      <c r="B10" s="3" t="inlineStr">
        <is>
          <t>C1</t>
        </is>
      </c>
      <c r="C10" s="3">
        <f>COUNTIF('3-เสา รายต้น'!B:B,B10)</f>
        <v/>
      </c>
      <c r="D10" s="4">
        <f>SUMIF('3-เสา รายต้น'!B:B,B10,'3-เสา รายต้น'!L:L)</f>
        <v/>
      </c>
      <c r="E10" s="4">
        <f>SUMIF('3-เสา รายต้น'!B:B,B10,'3-เสา รายต้น'!M:M)</f>
        <v/>
      </c>
      <c r="F10" s="4">
        <f>SUMIF('3-เสา รายต้น'!B:B,B10,'3-เสา รายต้น'!N:N)</f>
        <v/>
      </c>
      <c r="G10" s="3" t="inlineStr">
        <is>
          <t>2.3.1</t>
        </is>
      </c>
    </row>
    <row r="11">
      <c r="A11" s="3" t="inlineStr">
        <is>
          <t>เสา</t>
        </is>
      </c>
      <c r="B11" s="3" t="inlineStr">
        <is>
          <t>C2</t>
        </is>
      </c>
      <c r="C11" s="3">
        <f>COUNTIF('3-เสา รายต้น'!B:B,B11)</f>
        <v/>
      </c>
      <c r="D11" s="4">
        <f>SUMIF('3-เสา รายต้น'!B:B,B11,'3-เสา รายต้น'!L:L)</f>
        <v/>
      </c>
      <c r="E11" s="4">
        <f>SUMIF('3-เสา รายต้น'!B:B,B11,'3-เสา รายต้น'!M:M)</f>
        <v/>
      </c>
      <c r="F11" s="4">
        <f>SUMIF('3-เสา รายต้น'!B:B,B11,'3-เสา รายต้น'!N:N)</f>
        <v/>
      </c>
      <c r="G11" s="3" t="inlineStr">
        <is>
          <t>2.3.2</t>
        </is>
      </c>
    </row>
    <row r="12">
      <c r="A12" s="3" t="inlineStr">
        <is>
          <t>เสา</t>
        </is>
      </c>
      <c r="B12" s="3" t="inlineStr">
        <is>
          <t>C3</t>
        </is>
      </c>
      <c r="C12" s="3">
        <f>COUNTIF('3-เสา รายต้น'!B:B,B12)</f>
        <v/>
      </c>
      <c r="D12" s="4">
        <f>SUMIF('3-เสา รายต้น'!B:B,B12,'3-เสา รายต้น'!L:L)</f>
        <v/>
      </c>
      <c r="E12" s="4">
        <f>SUMIF('3-เสา รายต้น'!B:B,B12,'3-เสา รายต้น'!M:M)</f>
        <v/>
      </c>
      <c r="F12" s="4">
        <f>SUMIF('3-เสา รายต้น'!B:B,B12,'3-เสา รายต้น'!N:N)</f>
        <v/>
      </c>
      <c r="G12" s="3" t="inlineStr">
        <is>
          <t>2.3.3</t>
        </is>
      </c>
    </row>
    <row r="13">
      <c r="A13" s="3" t="inlineStr">
        <is>
          <t>เสา</t>
        </is>
      </c>
      <c r="B13" s="3" t="inlineStr">
        <is>
          <t>SC</t>
        </is>
      </c>
      <c r="C13" s="3">
        <f>COUNTIF('3-เสา รายต้น'!B:B,B13)</f>
        <v/>
      </c>
      <c r="D13" s="4">
        <f>SUMIF('3-เสา รายต้น'!B:B,B13,'3-เสา รายต้น'!L:L)</f>
        <v/>
      </c>
      <c r="E13" s="4">
        <f>SUMIF('3-เสา รายต้น'!B:B,B13,'3-เสา รายต้น'!M:M)</f>
        <v/>
      </c>
      <c r="F13" s="4">
        <f>SUMIF('3-เสา รายต้น'!B:B,B13,'3-เสา รายต้น'!N:N)</f>
        <v/>
      </c>
      <c r="G13" s="3" t="inlineStr">
        <is>
          <t>3.2.5</t>
        </is>
      </c>
    </row>
    <row r="14">
      <c r="A14" s="3" t="inlineStr">
        <is>
          <t>คาน</t>
        </is>
      </c>
      <c r="B14" s="3" t="inlineStr">
        <is>
          <t>B1</t>
        </is>
      </c>
      <c r="C14" s="3">
        <f>COUNTIF('5-คาน รายช่วง'!B:B,B14)</f>
        <v/>
      </c>
      <c r="D14" s="4">
        <f>SUMIF('5-คาน รายช่วง'!B:B,B14,'5-คาน รายช่วง'!L:L)</f>
        <v/>
      </c>
      <c r="E14" s="4">
        <f>SUMIF('5-คาน รายช่วง'!B:B,B14,'5-คาน รายช่วง'!M:M)</f>
        <v/>
      </c>
      <c r="F14" s="4">
        <f>SUMIF('5-คาน รายช่วง'!B:B,B14,'5-คาน รายช่วง'!S:S)</f>
        <v/>
      </c>
      <c r="G14" s="3" t="inlineStr">
        <is>
          <t>2.3.4</t>
        </is>
      </c>
    </row>
    <row r="15">
      <c r="A15" s="3" t="inlineStr">
        <is>
          <t>คาน</t>
        </is>
      </c>
      <c r="B15" s="3" t="inlineStr">
        <is>
          <t>B3</t>
        </is>
      </c>
      <c r="C15" s="3">
        <f>COUNTIF('5-คาน รายช่วง'!B:B,B15)</f>
        <v/>
      </c>
      <c r="D15" s="4">
        <f>SUMIF('5-คาน รายช่วง'!B:B,B15,'5-คาน รายช่วง'!L:L)</f>
        <v/>
      </c>
      <c r="E15" s="4">
        <f>SUMIF('5-คาน รายช่วง'!B:B,B15,'5-คาน รายช่วง'!M:M)</f>
        <v/>
      </c>
      <c r="F15" s="4">
        <f>SUMIF('5-คาน รายช่วง'!B:B,B15,'5-คาน รายช่วง'!S:S)</f>
        <v/>
      </c>
      <c r="G15" s="3" t="inlineStr">
        <is>
          <t>2.3.5</t>
        </is>
      </c>
    </row>
    <row r="16">
      <c r="A16" s="3" t="inlineStr">
        <is>
          <t>คาน</t>
        </is>
      </c>
      <c r="B16" s="3" t="inlineStr">
        <is>
          <t>LB</t>
        </is>
      </c>
      <c r="C16" s="3">
        <f>COUNTIF('5-คาน รายช่วง'!B:B,B16)</f>
        <v/>
      </c>
      <c r="D16" s="4">
        <f>SUMIF('5-คาน รายช่วง'!B:B,B16,'5-คาน รายช่วง'!L:L)</f>
        <v/>
      </c>
      <c r="E16" s="4">
        <f>SUMIF('5-คาน รายช่วง'!B:B,B16,'5-คาน รายช่วง'!M:M)</f>
        <v/>
      </c>
      <c r="F16" s="4">
        <f>SUMIF('5-คาน รายช่วง'!B:B,B16,'5-คาน รายช่วง'!S:S)</f>
        <v/>
      </c>
      <c r="G16" s="3" t="inlineStr">
        <is>
          <t>3.2.3</t>
        </is>
      </c>
    </row>
    <row r="17">
      <c r="A17" s="3" t="inlineStr">
        <is>
          <t>คาน</t>
        </is>
      </c>
      <c r="B17" s="3" t="inlineStr">
        <is>
          <t>TB</t>
        </is>
      </c>
      <c r="C17" s="3">
        <f>COUNTIF('5-คาน รายช่วง'!B:B,B17)</f>
        <v/>
      </c>
      <c r="D17" s="4">
        <f>SUMIF('5-คาน รายช่วง'!B:B,B17,'5-คาน รายช่วง'!L:L)</f>
        <v/>
      </c>
      <c r="E17" s="4">
        <f>SUMIF('5-คาน รายช่วง'!B:B,B17,'5-คาน รายช่วง'!M:M)</f>
        <v/>
      </c>
      <c r="F17" s="4">
        <f>SUMIF('5-คาน รายช่วง'!B:B,B17,'5-คาน รายช่วง'!S:S)</f>
        <v/>
      </c>
      <c r="G17" s="3" t="inlineStr">
        <is>
          <t>3.2.4</t>
        </is>
      </c>
    </row>
    <row r="18">
      <c r="A18" s="5" t="inlineStr">
        <is>
          <t>รวม</t>
        </is>
      </c>
      <c r="B18" s="5" t="inlineStr"/>
      <c r="C18" s="5">
        <f>SUM(C4:C17)</f>
        <v/>
      </c>
      <c r="D18" s="6">
        <f>SUM(D4:D17)</f>
        <v/>
      </c>
      <c r="E18" s="6">
        <f>SUM(E4:E17)</f>
        <v/>
      </c>
      <c r="F18" s="6">
        <f>SUM(F4:F17)</f>
        <v/>
      </c>
      <c r="G18" s="5" t="inlineStr"/>
    </row>
    <row r="20">
      <c r="A20" t="inlineStr">
        <is>
          <t>วิธีใช้: กรอกเหล็กเสริมในชีต 2 (ฐานราก), 4 (เสา), 6 (คาน) ตามเอกสารออกแบบ แล้วน้ำหนักเหล็กทุกจุดในชีต 1, 3, 5 และสรุปนี้คำนวณใหม่ทันที; รหัสชิ้นส่วนตรงกับโมเดล 3D (คลิกชิ้นส่วนเพื่อดูรหัส) และ Pset_TC_BOQ_4D ใน IFC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7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9" customWidth="1" min="4" max="4"/>
    <col width="9" customWidth="1" min="5" max="5"/>
    <col width="8" customWidth="1" min="6" max="6"/>
    <col width="8" customWidth="1" min="7" max="7"/>
    <col width="7" customWidth="1" min="8" max="8"/>
    <col width="9" customWidth="1" min="9" max="9"/>
    <col width="9" customWidth="1" min="10" max="10"/>
    <col width="11" customWidth="1" min="11" max="11"/>
    <col width="10" customWidth="1" min="12" max="12"/>
    <col width="6" customWidth="1" min="13" max="13"/>
    <col width="18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11" customWidth="1" min="20" max="20"/>
    <col width="8" customWidth="1" min="21" max="21"/>
    <col width="26" customWidth="1" min="22" max="22"/>
  </cols>
  <sheetData>
    <row r="1">
      <c r="A1" s="1" t="inlineStr">
        <is>
          <t>ตารางฐานรากรายจุด: ขนาด ระดับ ความลึก เข็ม และปริมาณ (เหล็กเสริมคำนวณจากชีต 2)</t>
        </is>
      </c>
    </row>
    <row r="2">
      <c r="A2" t="inlineStr">
        <is>
          <t>งานก่อสร้างอาคารโกดังและงานบริเวณ บริษัท ตงเฉิน อีเล็คทริค เคเบิ้ล แอนด์ไวร์ จำกัด | WEC-TC-6901</t>
        </is>
      </c>
    </row>
    <row r="3" ht="42" customHeight="1">
      <c r="A3" s="7" t="inlineStr">
        <is>
          <t>รหัส</t>
        </is>
      </c>
      <c r="B3" s="7" t="inlineStr">
        <is>
          <t>ชนิด</t>
        </is>
      </c>
      <c r="C3" s="7" t="inlineStr">
        <is>
          <t>ตำแหน่งกริด</t>
        </is>
      </c>
      <c r="D3" s="7" t="inlineStr">
        <is>
          <t>พิกัด x (ม.)</t>
        </is>
      </c>
      <c r="E3" s="7" t="inlineStr">
        <is>
          <t>พิกัด y (ม.)</t>
        </is>
      </c>
      <c r="F3" s="7" t="inlineStr">
        <is>
          <t>กว้าง X (ม.)</t>
        </is>
      </c>
      <c r="G3" s="7" t="inlineStr">
        <is>
          <t>ยาว Y (ม.)</t>
        </is>
      </c>
      <c r="H3" s="7" t="inlineStr">
        <is>
          <t>หนา (ม.)</t>
        </is>
      </c>
      <c r="I3" s="7" t="inlineStr">
        <is>
          <t>ระดับหลังฐาน</t>
        </is>
      </c>
      <c r="J3" s="7" t="inlineStr">
        <is>
          <t>ระดับท้องฐาน</t>
        </is>
      </c>
      <c r="K3" s="7" t="inlineStr">
        <is>
          <t>ระดับก้นหลุม (หัก คสล.หยาบ+ทราย)</t>
        </is>
      </c>
      <c r="L3" s="7" t="inlineStr">
        <is>
          <t>ความลึกขุดจาก ±0.00 (ม.)</t>
        </is>
      </c>
      <c r="M3" s="7" t="inlineStr">
        <is>
          <t>เข็ม (ต้น)</t>
        </is>
      </c>
      <c r="N3" s="7" t="inlineStr">
        <is>
          <t>ชนิดเข็ม</t>
        </is>
      </c>
      <c r="O3" s="7" t="inlineStr">
        <is>
          <t>คอนกรีต (ลบ.ม.)</t>
        </is>
      </c>
      <c r="P3" s="7" t="inlineStr">
        <is>
          <t>ไม้แบบ (ตร.ม.)</t>
        </is>
      </c>
      <c r="Q3" s="7" t="inlineStr">
        <is>
          <t>ดินขุด (ลบ.ม.)</t>
        </is>
      </c>
      <c r="R3" s="7" t="inlineStr">
        <is>
          <t>ทรายรองพื้น (ลบ.ม.)</t>
        </is>
      </c>
      <c r="S3" s="7" t="inlineStr">
        <is>
          <t>คอนกรีตหยาบ (ลบ.ม.)</t>
        </is>
      </c>
      <c r="T3" s="7" t="inlineStr">
        <is>
          <t>เหล็กเสริม (กก.)</t>
        </is>
      </c>
      <c r="U3" s="7" t="inlineStr">
        <is>
          <t>กิจกรรม 4D</t>
        </is>
      </c>
      <c r="V3" s="7" t="inlineStr">
        <is>
          <t>สถานะ</t>
        </is>
      </c>
    </row>
    <row r="4">
      <c r="A4" s="8" t="inlineStr">
        <is>
          <t>F2P-001</t>
        </is>
      </c>
      <c r="B4" s="8" t="inlineStr">
        <is>
          <t>F2P</t>
        </is>
      </c>
      <c r="C4" s="8" t="inlineStr">
        <is>
          <t>1/A</t>
        </is>
      </c>
      <c r="D4" s="9" t="n">
        <v>-0.008999999999999999</v>
      </c>
      <c r="E4" s="9" t="n">
        <v>0.008</v>
      </c>
      <c r="F4" s="9" t="n">
        <v>1.5</v>
      </c>
      <c r="G4" s="9" t="n">
        <v>0.6</v>
      </c>
      <c r="H4" s="9" t="n">
        <v>0.8</v>
      </c>
      <c r="I4" s="9" t="n">
        <v>-0.4</v>
      </c>
      <c r="J4" s="9" t="n">
        <v>-1.2</v>
      </c>
      <c r="K4" s="9" t="n">
        <v>-1.35</v>
      </c>
      <c r="L4" s="9" t="n">
        <v>1.35</v>
      </c>
      <c r="M4" s="8" t="n">
        <v>2</v>
      </c>
      <c r="N4" s="8" t="inlineStr">
        <is>
          <t>2x I-260 ยาว 22 ม.</t>
        </is>
      </c>
      <c r="O4" s="8">
        <f>F4*G4*H4</f>
        <v/>
      </c>
      <c r="P4" s="8">
        <f>2*(F4+G4)*H4</f>
        <v/>
      </c>
      <c r="Q4" s="8">
        <f>IF(L4&gt;0,(F4+2*0.1)*(G4+2*0.1)*L4,0)</f>
        <v/>
      </c>
      <c r="R4" s="8">
        <f>(F4+0.2)*(G4+0.2)*0.1</f>
        <v/>
      </c>
      <c r="S4" s="8">
        <f>(F4+0.2)*(G4+0.2)*0.05</f>
        <v/>
      </c>
      <c r="T4" s="8">
        <f>INDEX('2-ฐานราก เหล็กเสริม'!$S:$S,MATCH(B4,'2-ฐานราก เหล็กเสริม'!$A:$A,0))</f>
        <v/>
      </c>
      <c r="U4" s="8" t="inlineStr">
        <is>
          <t>M22</t>
        </is>
      </c>
      <c r="V4" s="10" t="inlineStr">
        <is>
          <t>แบบ S201 (ตำแหน่ง) / ระดับรอยืนยัน</t>
        </is>
      </c>
    </row>
    <row r="5">
      <c r="A5" s="8" t="inlineStr">
        <is>
          <t>F2P-002</t>
        </is>
      </c>
      <c r="B5" s="8" t="inlineStr">
        <is>
          <t>F2P</t>
        </is>
      </c>
      <c r="C5" s="8" t="inlineStr">
        <is>
          <t>2/A</t>
        </is>
      </c>
      <c r="D5" s="9" t="n">
        <v>5.988</v>
      </c>
      <c r="E5" s="9" t="n">
        <v>0.008</v>
      </c>
      <c r="F5" s="9" t="n">
        <v>0.6</v>
      </c>
      <c r="G5" s="9" t="n">
        <v>1.5</v>
      </c>
      <c r="H5" s="9" t="n">
        <v>0.8</v>
      </c>
      <c r="I5" s="9" t="n">
        <v>-0.4</v>
      </c>
      <c r="J5" s="9" t="n">
        <v>-1.2</v>
      </c>
      <c r="K5" s="9" t="n">
        <v>-1.35</v>
      </c>
      <c r="L5" s="9" t="n">
        <v>1.35</v>
      </c>
      <c r="M5" s="8" t="n">
        <v>2</v>
      </c>
      <c r="N5" s="8" t="inlineStr">
        <is>
          <t>2x I-260 ยาว 22 ม.</t>
        </is>
      </c>
      <c r="O5" s="8">
        <f>F5*G5*H5</f>
        <v/>
      </c>
      <c r="P5" s="8">
        <f>2*(F5+G5)*H5</f>
        <v/>
      </c>
      <c r="Q5" s="8">
        <f>IF(L5&gt;0,(F5+2*0.1)*(G5+2*0.1)*L5,0)</f>
        <v/>
      </c>
      <c r="R5" s="8">
        <f>(F5+0.2)*(G5+0.2)*0.1</f>
        <v/>
      </c>
      <c r="S5" s="8">
        <f>(F5+0.2)*(G5+0.2)*0.05</f>
        <v/>
      </c>
      <c r="T5" s="8">
        <f>INDEX('2-ฐานราก เหล็กเสริม'!$S:$S,MATCH(B5,'2-ฐานราก เหล็กเสริม'!$A:$A,0))</f>
        <v/>
      </c>
      <c r="U5" s="8" t="inlineStr">
        <is>
          <t>M22</t>
        </is>
      </c>
      <c r="V5" s="10" t="inlineStr">
        <is>
          <t>แบบ S201 (ตำแหน่ง) / ระดับรอยืนยัน</t>
        </is>
      </c>
    </row>
    <row r="6">
      <c r="A6" s="8" t="inlineStr">
        <is>
          <t>F2P-003</t>
        </is>
      </c>
      <c r="B6" s="8" t="inlineStr">
        <is>
          <t>F2P</t>
        </is>
      </c>
      <c r="C6" s="8" t="inlineStr">
        <is>
          <t>3/A</t>
        </is>
      </c>
      <c r="D6" s="9" t="n">
        <v>11.986</v>
      </c>
      <c r="E6" s="9" t="n">
        <v>0.008</v>
      </c>
      <c r="F6" s="9" t="n">
        <v>0.6</v>
      </c>
      <c r="G6" s="9" t="n">
        <v>1.5</v>
      </c>
      <c r="H6" s="9" t="n">
        <v>0.8</v>
      </c>
      <c r="I6" s="9" t="n">
        <v>-0.4</v>
      </c>
      <c r="J6" s="9" t="n">
        <v>-1.2</v>
      </c>
      <c r="K6" s="9" t="n">
        <v>-1.35</v>
      </c>
      <c r="L6" s="9" t="n">
        <v>1.35</v>
      </c>
      <c r="M6" s="8" t="n">
        <v>2</v>
      </c>
      <c r="N6" s="8" t="inlineStr">
        <is>
          <t>2x I-260 ยาว 22 ม.</t>
        </is>
      </c>
      <c r="O6" s="8">
        <f>F6*G6*H6</f>
        <v/>
      </c>
      <c r="P6" s="8">
        <f>2*(F6+G6)*H6</f>
        <v/>
      </c>
      <c r="Q6" s="8">
        <f>IF(L6&gt;0,(F6+2*0.1)*(G6+2*0.1)*L6,0)</f>
        <v/>
      </c>
      <c r="R6" s="8">
        <f>(F6+0.2)*(G6+0.2)*0.1</f>
        <v/>
      </c>
      <c r="S6" s="8">
        <f>(F6+0.2)*(G6+0.2)*0.05</f>
        <v/>
      </c>
      <c r="T6" s="8">
        <f>INDEX('2-ฐานราก เหล็กเสริม'!$S:$S,MATCH(B6,'2-ฐานราก เหล็กเสริม'!$A:$A,0))</f>
        <v/>
      </c>
      <c r="U6" s="8" t="inlineStr">
        <is>
          <t>M22</t>
        </is>
      </c>
      <c r="V6" s="10" t="inlineStr">
        <is>
          <t>แบบ S201 (ตำแหน่ง) / ระดับรอยืนยัน</t>
        </is>
      </c>
    </row>
    <row r="7">
      <c r="A7" s="8" t="inlineStr">
        <is>
          <t>F2P-004</t>
        </is>
      </c>
      <c r="B7" s="8" t="inlineStr">
        <is>
          <t>F2P</t>
        </is>
      </c>
      <c r="C7" s="8" t="inlineStr">
        <is>
          <t>4/A</t>
        </is>
      </c>
      <c r="D7" s="9" t="n">
        <v>17.99</v>
      </c>
      <c r="E7" s="9" t="n">
        <v>0.008</v>
      </c>
      <c r="F7" s="9" t="n">
        <v>0.6</v>
      </c>
      <c r="G7" s="9" t="n">
        <v>1.5</v>
      </c>
      <c r="H7" s="9" t="n">
        <v>0.8</v>
      </c>
      <c r="I7" s="9" t="n">
        <v>-0.4</v>
      </c>
      <c r="J7" s="9" t="n">
        <v>-1.2</v>
      </c>
      <c r="K7" s="9" t="n">
        <v>-1.35</v>
      </c>
      <c r="L7" s="9" t="n">
        <v>1.35</v>
      </c>
      <c r="M7" s="8" t="n">
        <v>2</v>
      </c>
      <c r="N7" s="8" t="inlineStr">
        <is>
          <t>2x I-260 ยาว 22 ม.</t>
        </is>
      </c>
      <c r="O7" s="8">
        <f>F7*G7*H7</f>
        <v/>
      </c>
      <c r="P7" s="8">
        <f>2*(F7+G7)*H7</f>
        <v/>
      </c>
      <c r="Q7" s="8">
        <f>IF(L7&gt;0,(F7+2*0.1)*(G7+2*0.1)*L7,0)</f>
        <v/>
      </c>
      <c r="R7" s="8">
        <f>(F7+0.2)*(G7+0.2)*0.1</f>
        <v/>
      </c>
      <c r="S7" s="8">
        <f>(F7+0.2)*(G7+0.2)*0.05</f>
        <v/>
      </c>
      <c r="T7" s="8">
        <f>INDEX('2-ฐานราก เหล็กเสริม'!$S:$S,MATCH(B7,'2-ฐานราก เหล็กเสริม'!$A:$A,0))</f>
        <v/>
      </c>
      <c r="U7" s="8" t="inlineStr">
        <is>
          <t>M22</t>
        </is>
      </c>
      <c r="V7" s="10" t="inlineStr">
        <is>
          <t>แบบ S201 (ตำแหน่ง) / ระดับรอยืนยัน</t>
        </is>
      </c>
    </row>
    <row r="8">
      <c r="A8" s="8" t="inlineStr">
        <is>
          <t>F2P-005</t>
        </is>
      </c>
      <c r="B8" s="8" t="inlineStr">
        <is>
          <t>F2P</t>
        </is>
      </c>
      <c r="C8" s="8" t="inlineStr">
        <is>
          <t>5/A</t>
        </is>
      </c>
      <c r="D8" s="9" t="n">
        <v>23.994</v>
      </c>
      <c r="E8" s="9" t="n">
        <v>0.008</v>
      </c>
      <c r="F8" s="9" t="n">
        <v>0.6</v>
      </c>
      <c r="G8" s="9" t="n">
        <v>1.5</v>
      </c>
      <c r="H8" s="9" t="n">
        <v>0.8</v>
      </c>
      <c r="I8" s="9" t="n">
        <v>-0.4</v>
      </c>
      <c r="J8" s="9" t="n">
        <v>-1.2</v>
      </c>
      <c r="K8" s="9" t="n">
        <v>-1.35</v>
      </c>
      <c r="L8" s="9" t="n">
        <v>1.35</v>
      </c>
      <c r="M8" s="8" t="n">
        <v>2</v>
      </c>
      <c r="N8" s="8" t="inlineStr">
        <is>
          <t>2x I-260 ยาว 22 ม.</t>
        </is>
      </c>
      <c r="O8" s="8">
        <f>F8*G8*H8</f>
        <v/>
      </c>
      <c r="P8" s="8">
        <f>2*(F8+G8)*H8</f>
        <v/>
      </c>
      <c r="Q8" s="8">
        <f>IF(L8&gt;0,(F8+2*0.1)*(G8+2*0.1)*L8,0)</f>
        <v/>
      </c>
      <c r="R8" s="8">
        <f>(F8+0.2)*(G8+0.2)*0.1</f>
        <v/>
      </c>
      <c r="S8" s="8">
        <f>(F8+0.2)*(G8+0.2)*0.05</f>
        <v/>
      </c>
      <c r="T8" s="8">
        <f>INDEX('2-ฐานราก เหล็กเสริม'!$S:$S,MATCH(B8,'2-ฐานราก เหล็กเสริม'!$A:$A,0))</f>
        <v/>
      </c>
      <c r="U8" s="8" t="inlineStr">
        <is>
          <t>M22</t>
        </is>
      </c>
      <c r="V8" s="10" t="inlineStr">
        <is>
          <t>แบบ S201 (ตำแหน่ง) / ระดับรอยืนยัน</t>
        </is>
      </c>
    </row>
    <row r="9">
      <c r="A9" s="8" t="inlineStr">
        <is>
          <t>F2P-006</t>
        </is>
      </c>
      <c r="B9" s="8" t="inlineStr">
        <is>
          <t>F2P</t>
        </is>
      </c>
      <c r="C9" s="8" t="inlineStr">
        <is>
          <t>6/A</t>
        </is>
      </c>
      <c r="D9" s="9" t="n">
        <v>29.992</v>
      </c>
      <c r="E9" s="9" t="n">
        <v>0.008</v>
      </c>
      <c r="F9" s="9" t="n">
        <v>1.5</v>
      </c>
      <c r="G9" s="9" t="n">
        <v>0.6</v>
      </c>
      <c r="H9" s="9" t="n">
        <v>0.8</v>
      </c>
      <c r="I9" s="9" t="n">
        <v>-0.4</v>
      </c>
      <c r="J9" s="9" t="n">
        <v>-1.2</v>
      </c>
      <c r="K9" s="9" t="n">
        <v>-1.35</v>
      </c>
      <c r="L9" s="9" t="n">
        <v>1.35</v>
      </c>
      <c r="M9" s="8" t="n">
        <v>2</v>
      </c>
      <c r="N9" s="8" t="inlineStr">
        <is>
          <t>2x I-260 ยาว 22 ม.</t>
        </is>
      </c>
      <c r="O9" s="8">
        <f>F9*G9*H9</f>
        <v/>
      </c>
      <c r="P9" s="8">
        <f>2*(F9+G9)*H9</f>
        <v/>
      </c>
      <c r="Q9" s="8">
        <f>IF(L9&gt;0,(F9+2*0.1)*(G9+2*0.1)*L9,0)</f>
        <v/>
      </c>
      <c r="R9" s="8">
        <f>(F9+0.2)*(G9+0.2)*0.1</f>
        <v/>
      </c>
      <c r="S9" s="8">
        <f>(F9+0.2)*(G9+0.2)*0.05</f>
        <v/>
      </c>
      <c r="T9" s="8">
        <f>INDEX('2-ฐานราก เหล็กเสริม'!$S:$S,MATCH(B9,'2-ฐานราก เหล็กเสริม'!$A:$A,0))</f>
        <v/>
      </c>
      <c r="U9" s="8" t="inlineStr">
        <is>
          <t>M22</t>
        </is>
      </c>
      <c r="V9" s="10" t="inlineStr">
        <is>
          <t>แบบ S201 (ตำแหน่ง) / ระดับรอยืนยัน</t>
        </is>
      </c>
    </row>
    <row r="10">
      <c r="A10" s="8" t="inlineStr">
        <is>
          <t>F2P-007</t>
        </is>
      </c>
      <c r="B10" s="8" t="inlineStr">
        <is>
          <t>F2P</t>
        </is>
      </c>
      <c r="C10" s="8" t="inlineStr">
        <is>
          <t>7/A</t>
        </is>
      </c>
      <c r="D10" s="9" t="n">
        <v>35.989</v>
      </c>
      <c r="E10" s="9" t="n">
        <v>0.008</v>
      </c>
      <c r="F10" s="9" t="n">
        <v>0.6</v>
      </c>
      <c r="G10" s="9" t="n">
        <v>1.5</v>
      </c>
      <c r="H10" s="9" t="n">
        <v>0.8</v>
      </c>
      <c r="I10" s="9" t="n">
        <v>-0.4</v>
      </c>
      <c r="J10" s="9" t="n">
        <v>-1.2</v>
      </c>
      <c r="K10" s="9" t="n">
        <v>-1.35</v>
      </c>
      <c r="L10" s="9" t="n">
        <v>1.35</v>
      </c>
      <c r="M10" s="8" t="n">
        <v>2</v>
      </c>
      <c r="N10" s="8" t="inlineStr">
        <is>
          <t>2x I-260 ยาว 22 ม.</t>
        </is>
      </c>
      <c r="O10" s="8">
        <f>F10*G10*H10</f>
        <v/>
      </c>
      <c r="P10" s="8">
        <f>2*(F10+G10)*H10</f>
        <v/>
      </c>
      <c r="Q10" s="8">
        <f>IF(L10&gt;0,(F10+2*0.1)*(G10+2*0.1)*L10,0)</f>
        <v/>
      </c>
      <c r="R10" s="8">
        <f>(F10+0.2)*(G10+0.2)*0.1</f>
        <v/>
      </c>
      <c r="S10" s="8">
        <f>(F10+0.2)*(G10+0.2)*0.05</f>
        <v/>
      </c>
      <c r="T10" s="8">
        <f>INDEX('2-ฐานราก เหล็กเสริม'!$S:$S,MATCH(B10,'2-ฐานราก เหล็กเสริม'!$A:$A,0))</f>
        <v/>
      </c>
      <c r="U10" s="8" t="inlineStr">
        <is>
          <t>M22</t>
        </is>
      </c>
      <c r="V10" s="10" t="inlineStr">
        <is>
          <t>แบบ S201 (ตำแหน่ง) / ระดับรอยืนยัน</t>
        </is>
      </c>
    </row>
    <row r="11">
      <c r="A11" s="8" t="inlineStr">
        <is>
          <t>F2P-008</t>
        </is>
      </c>
      <c r="B11" s="8" t="inlineStr">
        <is>
          <t>F2P</t>
        </is>
      </c>
      <c r="C11" s="8" t="inlineStr">
        <is>
          <t>8/A</t>
        </is>
      </c>
      <c r="D11" s="9" t="n">
        <v>41.987</v>
      </c>
      <c r="E11" s="9" t="n">
        <v>0.008</v>
      </c>
      <c r="F11" s="9" t="n">
        <v>0.6</v>
      </c>
      <c r="G11" s="9" t="n">
        <v>1.5</v>
      </c>
      <c r="H11" s="9" t="n">
        <v>0.8</v>
      </c>
      <c r="I11" s="9" t="n">
        <v>-0.4</v>
      </c>
      <c r="J11" s="9" t="n">
        <v>-1.2</v>
      </c>
      <c r="K11" s="9" t="n">
        <v>-1.35</v>
      </c>
      <c r="L11" s="9" t="n">
        <v>1.35</v>
      </c>
      <c r="M11" s="8" t="n">
        <v>2</v>
      </c>
      <c r="N11" s="8" t="inlineStr">
        <is>
          <t>2x I-260 ยาว 22 ม.</t>
        </is>
      </c>
      <c r="O11" s="8">
        <f>F11*G11*H11</f>
        <v/>
      </c>
      <c r="P11" s="8">
        <f>2*(F11+G11)*H11</f>
        <v/>
      </c>
      <c r="Q11" s="8">
        <f>IF(L11&gt;0,(F11+2*0.1)*(G11+2*0.1)*L11,0)</f>
        <v/>
      </c>
      <c r="R11" s="8">
        <f>(F11+0.2)*(G11+0.2)*0.1</f>
        <v/>
      </c>
      <c r="S11" s="8">
        <f>(F11+0.2)*(G11+0.2)*0.05</f>
        <v/>
      </c>
      <c r="T11" s="8">
        <f>INDEX('2-ฐานราก เหล็กเสริม'!$S:$S,MATCH(B11,'2-ฐานราก เหล็กเสริม'!$A:$A,0))</f>
        <v/>
      </c>
      <c r="U11" s="8" t="inlineStr">
        <is>
          <t>M22</t>
        </is>
      </c>
      <c r="V11" s="10" t="inlineStr">
        <is>
          <t>แบบ S201 (ตำแหน่ง) / ระดับรอยืนยัน</t>
        </is>
      </c>
    </row>
    <row r="12">
      <c r="A12" s="8" t="inlineStr">
        <is>
          <t>F2P-009</t>
        </is>
      </c>
      <c r="B12" s="8" t="inlineStr">
        <is>
          <t>F2P</t>
        </is>
      </c>
      <c r="C12" s="8" t="inlineStr">
        <is>
          <t>9/A</t>
        </is>
      </c>
      <c r="D12" s="9" t="n">
        <v>47.991</v>
      </c>
      <c r="E12" s="9" t="n">
        <v>0.008</v>
      </c>
      <c r="F12" s="9" t="n">
        <v>0.6</v>
      </c>
      <c r="G12" s="9" t="n">
        <v>1.5</v>
      </c>
      <c r="H12" s="9" t="n">
        <v>0.8</v>
      </c>
      <c r="I12" s="9" t="n">
        <v>-0.4</v>
      </c>
      <c r="J12" s="9" t="n">
        <v>-1.2</v>
      </c>
      <c r="K12" s="9" t="n">
        <v>-1.35</v>
      </c>
      <c r="L12" s="9" t="n">
        <v>1.35</v>
      </c>
      <c r="M12" s="8" t="n">
        <v>2</v>
      </c>
      <c r="N12" s="8" t="inlineStr">
        <is>
          <t>2x I-260 ยาว 22 ม.</t>
        </is>
      </c>
      <c r="O12" s="8">
        <f>F12*G12*H12</f>
        <v/>
      </c>
      <c r="P12" s="8">
        <f>2*(F12+G12)*H12</f>
        <v/>
      </c>
      <c r="Q12" s="8">
        <f>IF(L12&gt;0,(F12+2*0.1)*(G12+2*0.1)*L12,0)</f>
        <v/>
      </c>
      <c r="R12" s="8">
        <f>(F12+0.2)*(G12+0.2)*0.1</f>
        <v/>
      </c>
      <c r="S12" s="8">
        <f>(F12+0.2)*(G12+0.2)*0.05</f>
        <v/>
      </c>
      <c r="T12" s="8">
        <f>INDEX('2-ฐานราก เหล็กเสริม'!$S:$S,MATCH(B12,'2-ฐานราก เหล็กเสริม'!$A:$A,0))</f>
        <v/>
      </c>
      <c r="U12" s="8" t="inlineStr">
        <is>
          <t>M22</t>
        </is>
      </c>
      <c r="V12" s="10" t="inlineStr">
        <is>
          <t>แบบ S201 (ตำแหน่ง) / ระดับรอยืนยัน</t>
        </is>
      </c>
    </row>
    <row r="13">
      <c r="A13" s="8" t="inlineStr">
        <is>
          <t>F2P-010</t>
        </is>
      </c>
      <c r="B13" s="8" t="inlineStr">
        <is>
          <t>F2P</t>
        </is>
      </c>
      <c r="C13" s="8" t="inlineStr">
        <is>
          <t>10/A</t>
        </is>
      </c>
      <c r="D13" s="9" t="n">
        <v>53.995</v>
      </c>
      <c r="E13" s="9" t="n">
        <v>0.008</v>
      </c>
      <c r="F13" s="9" t="n">
        <v>0.6</v>
      </c>
      <c r="G13" s="9" t="n">
        <v>1.5</v>
      </c>
      <c r="H13" s="9" t="n">
        <v>0.8</v>
      </c>
      <c r="I13" s="9" t="n">
        <v>-0.4</v>
      </c>
      <c r="J13" s="9" t="n">
        <v>-1.2</v>
      </c>
      <c r="K13" s="9" t="n">
        <v>-1.35</v>
      </c>
      <c r="L13" s="9" t="n">
        <v>1.35</v>
      </c>
      <c r="M13" s="8" t="n">
        <v>2</v>
      </c>
      <c r="N13" s="8" t="inlineStr">
        <is>
          <t>2x I-260 ยาว 22 ม.</t>
        </is>
      </c>
      <c r="O13" s="8">
        <f>F13*G13*H13</f>
        <v/>
      </c>
      <c r="P13" s="8">
        <f>2*(F13+G13)*H13</f>
        <v/>
      </c>
      <c r="Q13" s="8">
        <f>IF(L13&gt;0,(F13+2*0.1)*(G13+2*0.1)*L13,0)</f>
        <v/>
      </c>
      <c r="R13" s="8">
        <f>(F13+0.2)*(G13+0.2)*0.1</f>
        <v/>
      </c>
      <c r="S13" s="8">
        <f>(F13+0.2)*(G13+0.2)*0.05</f>
        <v/>
      </c>
      <c r="T13" s="8">
        <f>INDEX('2-ฐานราก เหล็กเสริม'!$S:$S,MATCH(B13,'2-ฐานราก เหล็กเสริม'!$A:$A,0))</f>
        <v/>
      </c>
      <c r="U13" s="8" t="inlineStr">
        <is>
          <t>M22</t>
        </is>
      </c>
      <c r="V13" s="10" t="inlineStr">
        <is>
          <t>แบบ S201 (ตำแหน่ง) / ระดับรอยืนยัน</t>
        </is>
      </c>
    </row>
    <row r="14">
      <c r="A14" s="8" t="inlineStr">
        <is>
          <t>F2P-011</t>
        </is>
      </c>
      <c r="B14" s="8" t="inlineStr">
        <is>
          <t>F2P</t>
        </is>
      </c>
      <c r="C14" s="8" t="inlineStr">
        <is>
          <t>11/A</t>
        </is>
      </c>
      <c r="D14" s="9" t="n">
        <v>59.993</v>
      </c>
      <c r="E14" s="9" t="n">
        <v>0.008</v>
      </c>
      <c r="F14" s="9" t="n">
        <v>1.5</v>
      </c>
      <c r="G14" s="9" t="n">
        <v>0.6</v>
      </c>
      <c r="H14" s="9" t="n">
        <v>0.8</v>
      </c>
      <c r="I14" s="9" t="n">
        <v>-0.4</v>
      </c>
      <c r="J14" s="9" t="n">
        <v>-1.2</v>
      </c>
      <c r="K14" s="9" t="n">
        <v>-1.35</v>
      </c>
      <c r="L14" s="9" t="n">
        <v>1.35</v>
      </c>
      <c r="M14" s="8" t="n">
        <v>2</v>
      </c>
      <c r="N14" s="8" t="inlineStr">
        <is>
          <t>2x I-260 ยาว 22 ม.</t>
        </is>
      </c>
      <c r="O14" s="8">
        <f>F14*G14*H14</f>
        <v/>
      </c>
      <c r="P14" s="8">
        <f>2*(F14+G14)*H14</f>
        <v/>
      </c>
      <c r="Q14" s="8">
        <f>IF(L14&gt;0,(F14+2*0.1)*(G14+2*0.1)*L14,0)</f>
        <v/>
      </c>
      <c r="R14" s="8">
        <f>(F14+0.2)*(G14+0.2)*0.1</f>
        <v/>
      </c>
      <c r="S14" s="8">
        <f>(F14+0.2)*(G14+0.2)*0.05</f>
        <v/>
      </c>
      <c r="T14" s="8">
        <f>INDEX('2-ฐานราก เหล็กเสริม'!$S:$S,MATCH(B14,'2-ฐานราก เหล็กเสริม'!$A:$A,0))</f>
        <v/>
      </c>
      <c r="U14" s="8" t="inlineStr">
        <is>
          <t>M22</t>
        </is>
      </c>
      <c r="V14" s="10" t="inlineStr">
        <is>
          <t>แบบ S201 (ตำแหน่ง) / ระดับรอยืนยัน</t>
        </is>
      </c>
    </row>
    <row r="15">
      <c r="A15" s="8" t="inlineStr">
        <is>
          <t>F2P-012</t>
        </is>
      </c>
      <c r="B15" s="8" t="inlineStr">
        <is>
          <t>F2P</t>
        </is>
      </c>
      <c r="C15" s="8" t="inlineStr">
        <is>
          <t>1/B</t>
        </is>
      </c>
      <c r="D15" s="9" t="n">
        <v>-0.008999999999999999</v>
      </c>
      <c r="E15" s="9" t="n">
        <v>6.012</v>
      </c>
      <c r="F15" s="9" t="n">
        <v>1.5</v>
      </c>
      <c r="G15" s="9" t="n">
        <v>0.6</v>
      </c>
      <c r="H15" s="9" t="n">
        <v>0.8</v>
      </c>
      <c r="I15" s="9" t="n">
        <v>-0.4</v>
      </c>
      <c r="J15" s="9" t="n">
        <v>-1.2</v>
      </c>
      <c r="K15" s="9" t="n">
        <v>-1.35</v>
      </c>
      <c r="L15" s="9" t="n">
        <v>1.35</v>
      </c>
      <c r="M15" s="8" t="n">
        <v>2</v>
      </c>
      <c r="N15" s="8" t="inlineStr">
        <is>
          <t>2x I-260 ยาว 22 ม.</t>
        </is>
      </c>
      <c r="O15" s="8">
        <f>F15*G15*H15</f>
        <v/>
      </c>
      <c r="P15" s="8">
        <f>2*(F15+G15)*H15</f>
        <v/>
      </c>
      <c r="Q15" s="8">
        <f>IF(L15&gt;0,(F15+2*0.1)*(G15+2*0.1)*L15,0)</f>
        <v/>
      </c>
      <c r="R15" s="8">
        <f>(F15+0.2)*(G15+0.2)*0.1</f>
        <v/>
      </c>
      <c r="S15" s="8">
        <f>(F15+0.2)*(G15+0.2)*0.05</f>
        <v/>
      </c>
      <c r="T15" s="8">
        <f>INDEX('2-ฐานราก เหล็กเสริม'!$S:$S,MATCH(B15,'2-ฐานราก เหล็กเสริม'!$A:$A,0))</f>
        <v/>
      </c>
      <c r="U15" s="8" t="inlineStr">
        <is>
          <t>M22</t>
        </is>
      </c>
      <c r="V15" s="10" t="inlineStr">
        <is>
          <t>แบบ S201 (ตำแหน่ง) / ระดับรอยืนยัน</t>
        </is>
      </c>
    </row>
    <row r="16">
      <c r="A16" s="8" t="inlineStr">
        <is>
          <t>F2P-013</t>
        </is>
      </c>
      <c r="B16" s="8" t="inlineStr">
        <is>
          <t>F2P</t>
        </is>
      </c>
      <c r="C16" s="8" t="inlineStr">
        <is>
          <t>6/B</t>
        </is>
      </c>
      <c r="D16" s="9" t="n">
        <v>29.992</v>
      </c>
      <c r="E16" s="9" t="n">
        <v>6.012</v>
      </c>
      <c r="F16" s="9" t="n">
        <v>1.5</v>
      </c>
      <c r="G16" s="9" t="n">
        <v>0.6</v>
      </c>
      <c r="H16" s="9" t="n">
        <v>0.8</v>
      </c>
      <c r="I16" s="9" t="n">
        <v>-0.4</v>
      </c>
      <c r="J16" s="9" t="n">
        <v>-1.2</v>
      </c>
      <c r="K16" s="9" t="n">
        <v>-1.35</v>
      </c>
      <c r="L16" s="9" t="n">
        <v>1.35</v>
      </c>
      <c r="M16" s="8" t="n">
        <v>2</v>
      </c>
      <c r="N16" s="8" t="inlineStr">
        <is>
          <t>2x I-260 ยาว 22 ม.</t>
        </is>
      </c>
      <c r="O16" s="8">
        <f>F16*G16*H16</f>
        <v/>
      </c>
      <c r="P16" s="8">
        <f>2*(F16+G16)*H16</f>
        <v/>
      </c>
      <c r="Q16" s="8">
        <f>IF(L16&gt;0,(F16+2*0.1)*(G16+2*0.1)*L16,0)</f>
        <v/>
      </c>
      <c r="R16" s="8">
        <f>(F16+0.2)*(G16+0.2)*0.1</f>
        <v/>
      </c>
      <c r="S16" s="8">
        <f>(F16+0.2)*(G16+0.2)*0.05</f>
        <v/>
      </c>
      <c r="T16" s="8">
        <f>INDEX('2-ฐานราก เหล็กเสริม'!$S:$S,MATCH(B16,'2-ฐานราก เหล็กเสริม'!$A:$A,0))</f>
        <v/>
      </c>
      <c r="U16" s="8" t="inlineStr">
        <is>
          <t>M22</t>
        </is>
      </c>
      <c r="V16" s="10" t="inlineStr">
        <is>
          <t>แบบ S201 (ตำแหน่ง) / ระดับรอยืนยัน</t>
        </is>
      </c>
    </row>
    <row r="17">
      <c r="A17" s="8" t="inlineStr">
        <is>
          <t>F2P-014</t>
        </is>
      </c>
      <c r="B17" s="8" t="inlineStr">
        <is>
          <t>F2P</t>
        </is>
      </c>
      <c r="C17" s="8" t="inlineStr">
        <is>
          <t>11/B</t>
        </is>
      </c>
      <c r="D17" s="9" t="n">
        <v>59.993</v>
      </c>
      <c r="E17" s="9" t="n">
        <v>6.012</v>
      </c>
      <c r="F17" s="9" t="n">
        <v>1.5</v>
      </c>
      <c r="G17" s="9" t="n">
        <v>0.6</v>
      </c>
      <c r="H17" s="9" t="n">
        <v>0.8</v>
      </c>
      <c r="I17" s="9" t="n">
        <v>-0.4</v>
      </c>
      <c r="J17" s="9" t="n">
        <v>-1.2</v>
      </c>
      <c r="K17" s="9" t="n">
        <v>-1.35</v>
      </c>
      <c r="L17" s="9" t="n">
        <v>1.35</v>
      </c>
      <c r="M17" s="8" t="n">
        <v>2</v>
      </c>
      <c r="N17" s="8" t="inlineStr">
        <is>
          <t>2x I-260 ยาว 22 ม.</t>
        </is>
      </c>
      <c r="O17" s="8">
        <f>F17*G17*H17</f>
        <v/>
      </c>
      <c r="P17" s="8">
        <f>2*(F17+G17)*H17</f>
        <v/>
      </c>
      <c r="Q17" s="8">
        <f>IF(L17&gt;0,(F17+2*0.1)*(G17+2*0.1)*L17,0)</f>
        <v/>
      </c>
      <c r="R17" s="8">
        <f>(F17+0.2)*(G17+0.2)*0.1</f>
        <v/>
      </c>
      <c r="S17" s="8">
        <f>(F17+0.2)*(G17+0.2)*0.05</f>
        <v/>
      </c>
      <c r="T17" s="8">
        <f>INDEX('2-ฐานราก เหล็กเสริม'!$S:$S,MATCH(B17,'2-ฐานราก เหล็กเสริม'!$A:$A,0))</f>
        <v/>
      </c>
      <c r="U17" s="8" t="inlineStr">
        <is>
          <t>M22</t>
        </is>
      </c>
      <c r="V17" s="10" t="inlineStr">
        <is>
          <t>แบบ S201 (ตำแหน่ง) / ระดับรอยืนยัน</t>
        </is>
      </c>
    </row>
    <row r="18">
      <c r="A18" s="8" t="inlineStr">
        <is>
          <t>F2P-015</t>
        </is>
      </c>
      <c r="B18" s="8" t="inlineStr">
        <is>
          <t>F2P</t>
        </is>
      </c>
      <c r="C18" s="8" t="inlineStr">
        <is>
          <t>1/C</t>
        </is>
      </c>
      <c r="D18" s="9" t="n">
        <v>-0.008999999999999999</v>
      </c>
      <c r="E18" s="9" t="n">
        <v>12.01</v>
      </c>
      <c r="F18" s="9" t="n">
        <v>1.5</v>
      </c>
      <c r="G18" s="9" t="n">
        <v>0.6</v>
      </c>
      <c r="H18" s="9" t="n">
        <v>0.8</v>
      </c>
      <c r="I18" s="9" t="n">
        <v>-0.4</v>
      </c>
      <c r="J18" s="9" t="n">
        <v>-1.2</v>
      </c>
      <c r="K18" s="9" t="n">
        <v>-1.35</v>
      </c>
      <c r="L18" s="9" t="n">
        <v>1.35</v>
      </c>
      <c r="M18" s="8" t="n">
        <v>2</v>
      </c>
      <c r="N18" s="8" t="inlineStr">
        <is>
          <t>2x I-260 ยาว 22 ม.</t>
        </is>
      </c>
      <c r="O18" s="8">
        <f>F18*G18*H18</f>
        <v/>
      </c>
      <c r="P18" s="8">
        <f>2*(F18+G18)*H18</f>
        <v/>
      </c>
      <c r="Q18" s="8">
        <f>IF(L18&gt;0,(F18+2*0.1)*(G18+2*0.1)*L18,0)</f>
        <v/>
      </c>
      <c r="R18" s="8">
        <f>(F18+0.2)*(G18+0.2)*0.1</f>
        <v/>
      </c>
      <c r="S18" s="8">
        <f>(F18+0.2)*(G18+0.2)*0.05</f>
        <v/>
      </c>
      <c r="T18" s="8">
        <f>INDEX('2-ฐานราก เหล็กเสริม'!$S:$S,MATCH(B18,'2-ฐานราก เหล็กเสริม'!$A:$A,0))</f>
        <v/>
      </c>
      <c r="U18" s="8" t="inlineStr">
        <is>
          <t>M22</t>
        </is>
      </c>
      <c r="V18" s="10" t="inlineStr">
        <is>
          <t>แบบ S201 (ตำแหน่ง) / ระดับรอยืนยัน</t>
        </is>
      </c>
    </row>
    <row r="19">
      <c r="A19" s="8" t="inlineStr">
        <is>
          <t>F2P-016</t>
        </is>
      </c>
      <c r="B19" s="8" t="inlineStr">
        <is>
          <t>F2P</t>
        </is>
      </c>
      <c r="C19" s="8" t="inlineStr">
        <is>
          <t>6/C</t>
        </is>
      </c>
      <c r="D19" s="9" t="n">
        <v>29.992</v>
      </c>
      <c r="E19" s="9" t="n">
        <v>12.01</v>
      </c>
      <c r="F19" s="9" t="n">
        <v>1.5</v>
      </c>
      <c r="G19" s="9" t="n">
        <v>0.6</v>
      </c>
      <c r="H19" s="9" t="n">
        <v>0.8</v>
      </c>
      <c r="I19" s="9" t="n">
        <v>-0.4</v>
      </c>
      <c r="J19" s="9" t="n">
        <v>-1.2</v>
      </c>
      <c r="K19" s="9" t="n">
        <v>-1.35</v>
      </c>
      <c r="L19" s="9" t="n">
        <v>1.35</v>
      </c>
      <c r="M19" s="8" t="n">
        <v>2</v>
      </c>
      <c r="N19" s="8" t="inlineStr">
        <is>
          <t>2x I-260 ยาว 22 ม.</t>
        </is>
      </c>
      <c r="O19" s="8">
        <f>F19*G19*H19</f>
        <v/>
      </c>
      <c r="P19" s="8">
        <f>2*(F19+G19)*H19</f>
        <v/>
      </c>
      <c r="Q19" s="8">
        <f>IF(L19&gt;0,(F19+2*0.1)*(G19+2*0.1)*L19,0)</f>
        <v/>
      </c>
      <c r="R19" s="8">
        <f>(F19+0.2)*(G19+0.2)*0.1</f>
        <v/>
      </c>
      <c r="S19" s="8">
        <f>(F19+0.2)*(G19+0.2)*0.05</f>
        <v/>
      </c>
      <c r="T19" s="8">
        <f>INDEX('2-ฐานราก เหล็กเสริม'!$S:$S,MATCH(B19,'2-ฐานราก เหล็กเสริม'!$A:$A,0))</f>
        <v/>
      </c>
      <c r="U19" s="8" t="inlineStr">
        <is>
          <t>M22</t>
        </is>
      </c>
      <c r="V19" s="10" t="inlineStr">
        <is>
          <t>แบบ S201 (ตำแหน่ง) / ระดับรอยืนยัน</t>
        </is>
      </c>
    </row>
    <row r="20">
      <c r="A20" s="8" t="inlineStr">
        <is>
          <t>F2P-017</t>
        </is>
      </c>
      <c r="B20" s="8" t="inlineStr">
        <is>
          <t>F2P</t>
        </is>
      </c>
      <c r="C20" s="8" t="inlineStr">
        <is>
          <t>11/C</t>
        </is>
      </c>
      <c r="D20" s="9" t="n">
        <v>59.993</v>
      </c>
      <c r="E20" s="9" t="n">
        <v>12.01</v>
      </c>
      <c r="F20" s="9" t="n">
        <v>1.5</v>
      </c>
      <c r="G20" s="9" t="n">
        <v>0.6</v>
      </c>
      <c r="H20" s="9" t="n">
        <v>0.8</v>
      </c>
      <c r="I20" s="9" t="n">
        <v>-0.4</v>
      </c>
      <c r="J20" s="9" t="n">
        <v>-1.2</v>
      </c>
      <c r="K20" s="9" t="n">
        <v>-1.35</v>
      </c>
      <c r="L20" s="9" t="n">
        <v>1.35</v>
      </c>
      <c r="M20" s="8" t="n">
        <v>2</v>
      </c>
      <c r="N20" s="8" t="inlineStr">
        <is>
          <t>2x I-260 ยาว 22 ม.</t>
        </is>
      </c>
      <c r="O20" s="8">
        <f>F20*G20*H20</f>
        <v/>
      </c>
      <c r="P20" s="8">
        <f>2*(F20+G20)*H20</f>
        <v/>
      </c>
      <c r="Q20" s="8">
        <f>IF(L20&gt;0,(F20+2*0.1)*(G20+2*0.1)*L20,0)</f>
        <v/>
      </c>
      <c r="R20" s="8">
        <f>(F20+0.2)*(G20+0.2)*0.1</f>
        <v/>
      </c>
      <c r="S20" s="8">
        <f>(F20+0.2)*(G20+0.2)*0.05</f>
        <v/>
      </c>
      <c r="T20" s="8">
        <f>INDEX('2-ฐานราก เหล็กเสริม'!$S:$S,MATCH(B20,'2-ฐานราก เหล็กเสริม'!$A:$A,0))</f>
        <v/>
      </c>
      <c r="U20" s="8" t="inlineStr">
        <is>
          <t>M22</t>
        </is>
      </c>
      <c r="V20" s="10" t="inlineStr">
        <is>
          <t>แบบ S201 (ตำแหน่ง) / ระดับรอยืนยัน</t>
        </is>
      </c>
    </row>
    <row r="21">
      <c r="A21" s="8" t="inlineStr">
        <is>
          <t>F2P-018</t>
        </is>
      </c>
      <c r="B21" s="8" t="inlineStr">
        <is>
          <t>F2P</t>
        </is>
      </c>
      <c r="C21" s="8" t="inlineStr">
        <is>
          <t>1/D</t>
        </is>
      </c>
      <c r="D21" s="9" t="n">
        <v>-0.008999999999999999</v>
      </c>
      <c r="E21" s="9" t="n">
        <v>18.007</v>
      </c>
      <c r="F21" s="9" t="n">
        <v>1.5</v>
      </c>
      <c r="G21" s="9" t="n">
        <v>0.6</v>
      </c>
      <c r="H21" s="9" t="n">
        <v>0.8</v>
      </c>
      <c r="I21" s="9" t="n">
        <v>-0.4</v>
      </c>
      <c r="J21" s="9" t="n">
        <v>-1.2</v>
      </c>
      <c r="K21" s="9" t="n">
        <v>-1.35</v>
      </c>
      <c r="L21" s="9" t="n">
        <v>1.35</v>
      </c>
      <c r="M21" s="8" t="n">
        <v>2</v>
      </c>
      <c r="N21" s="8" t="inlineStr">
        <is>
          <t>2x I-260 ยาว 22 ม.</t>
        </is>
      </c>
      <c r="O21" s="8">
        <f>F21*G21*H21</f>
        <v/>
      </c>
      <c r="P21" s="8">
        <f>2*(F21+G21)*H21</f>
        <v/>
      </c>
      <c r="Q21" s="8">
        <f>IF(L21&gt;0,(F21+2*0.1)*(G21+2*0.1)*L21,0)</f>
        <v/>
      </c>
      <c r="R21" s="8">
        <f>(F21+0.2)*(G21+0.2)*0.1</f>
        <v/>
      </c>
      <c r="S21" s="8">
        <f>(F21+0.2)*(G21+0.2)*0.05</f>
        <v/>
      </c>
      <c r="T21" s="8">
        <f>INDEX('2-ฐานราก เหล็กเสริม'!$S:$S,MATCH(B21,'2-ฐานราก เหล็กเสริม'!$A:$A,0))</f>
        <v/>
      </c>
      <c r="U21" s="8" t="inlineStr">
        <is>
          <t>M22</t>
        </is>
      </c>
      <c r="V21" s="10" t="inlineStr">
        <is>
          <t>แบบ S201 (ตำแหน่ง) / ระดับรอยืนยัน</t>
        </is>
      </c>
    </row>
    <row r="22">
      <c r="A22" s="8" t="inlineStr">
        <is>
          <t>F2P-019</t>
        </is>
      </c>
      <c r="B22" s="8" t="inlineStr">
        <is>
          <t>F2P</t>
        </is>
      </c>
      <c r="C22" s="8" t="inlineStr">
        <is>
          <t>6/D</t>
        </is>
      </c>
      <c r="D22" s="9" t="n">
        <v>29.992</v>
      </c>
      <c r="E22" s="9" t="n">
        <v>18.007</v>
      </c>
      <c r="F22" s="9" t="n">
        <v>1.5</v>
      </c>
      <c r="G22" s="9" t="n">
        <v>0.6</v>
      </c>
      <c r="H22" s="9" t="n">
        <v>0.8</v>
      </c>
      <c r="I22" s="9" t="n">
        <v>-0.4</v>
      </c>
      <c r="J22" s="9" t="n">
        <v>-1.2</v>
      </c>
      <c r="K22" s="9" t="n">
        <v>-1.35</v>
      </c>
      <c r="L22" s="9" t="n">
        <v>1.35</v>
      </c>
      <c r="M22" s="8" t="n">
        <v>2</v>
      </c>
      <c r="N22" s="8" t="inlineStr">
        <is>
          <t>2x I-260 ยาว 22 ม.</t>
        </is>
      </c>
      <c r="O22" s="8">
        <f>F22*G22*H22</f>
        <v/>
      </c>
      <c r="P22" s="8">
        <f>2*(F22+G22)*H22</f>
        <v/>
      </c>
      <c r="Q22" s="8">
        <f>IF(L22&gt;0,(F22+2*0.1)*(G22+2*0.1)*L22,0)</f>
        <v/>
      </c>
      <c r="R22" s="8">
        <f>(F22+0.2)*(G22+0.2)*0.1</f>
        <v/>
      </c>
      <c r="S22" s="8">
        <f>(F22+0.2)*(G22+0.2)*0.05</f>
        <v/>
      </c>
      <c r="T22" s="8">
        <f>INDEX('2-ฐานราก เหล็กเสริม'!$S:$S,MATCH(B22,'2-ฐานราก เหล็กเสริม'!$A:$A,0))</f>
        <v/>
      </c>
      <c r="U22" s="8" t="inlineStr">
        <is>
          <t>M22</t>
        </is>
      </c>
      <c r="V22" s="10" t="inlineStr">
        <is>
          <t>แบบ S201 (ตำแหน่ง) / ระดับรอยืนยัน</t>
        </is>
      </c>
    </row>
    <row r="23">
      <c r="A23" s="8" t="inlineStr">
        <is>
          <t>F2P-020</t>
        </is>
      </c>
      <c r="B23" s="8" t="inlineStr">
        <is>
          <t>F2P</t>
        </is>
      </c>
      <c r="C23" s="8" t="inlineStr">
        <is>
          <t>11/D</t>
        </is>
      </c>
      <c r="D23" s="9" t="n">
        <v>59.993</v>
      </c>
      <c r="E23" s="9" t="n">
        <v>18.007</v>
      </c>
      <c r="F23" s="9" t="n">
        <v>1.5</v>
      </c>
      <c r="G23" s="9" t="n">
        <v>0.6</v>
      </c>
      <c r="H23" s="9" t="n">
        <v>0.8</v>
      </c>
      <c r="I23" s="9" t="n">
        <v>-0.4</v>
      </c>
      <c r="J23" s="9" t="n">
        <v>-1.2</v>
      </c>
      <c r="K23" s="9" t="n">
        <v>-1.35</v>
      </c>
      <c r="L23" s="9" t="n">
        <v>1.35</v>
      </c>
      <c r="M23" s="8" t="n">
        <v>2</v>
      </c>
      <c r="N23" s="8" t="inlineStr">
        <is>
          <t>2x I-260 ยาว 22 ม.</t>
        </is>
      </c>
      <c r="O23" s="8">
        <f>F23*G23*H23</f>
        <v/>
      </c>
      <c r="P23" s="8">
        <f>2*(F23+G23)*H23</f>
        <v/>
      </c>
      <c r="Q23" s="8">
        <f>IF(L23&gt;0,(F23+2*0.1)*(G23+2*0.1)*L23,0)</f>
        <v/>
      </c>
      <c r="R23" s="8">
        <f>(F23+0.2)*(G23+0.2)*0.1</f>
        <v/>
      </c>
      <c r="S23" s="8">
        <f>(F23+0.2)*(G23+0.2)*0.05</f>
        <v/>
      </c>
      <c r="T23" s="8">
        <f>INDEX('2-ฐานราก เหล็กเสริม'!$S:$S,MATCH(B23,'2-ฐานราก เหล็กเสริม'!$A:$A,0))</f>
        <v/>
      </c>
      <c r="U23" s="8" t="inlineStr">
        <is>
          <t>M22</t>
        </is>
      </c>
      <c r="V23" s="10" t="inlineStr">
        <is>
          <t>แบบ S201 (ตำแหน่ง) / ระดับรอยืนยัน</t>
        </is>
      </c>
    </row>
    <row r="24">
      <c r="A24" s="8" t="inlineStr">
        <is>
          <t>F2P-021</t>
        </is>
      </c>
      <c r="B24" s="8" t="inlineStr">
        <is>
          <t>F2P</t>
        </is>
      </c>
      <c r="C24" s="8" t="inlineStr">
        <is>
          <t>1/E</t>
        </is>
      </c>
      <c r="D24" s="9" t="n">
        <v>-0.008999999999999999</v>
      </c>
      <c r="E24" s="9" t="n">
        <v>24.012</v>
      </c>
      <c r="F24" s="9" t="n">
        <v>1.5</v>
      </c>
      <c r="G24" s="9" t="n">
        <v>0.6</v>
      </c>
      <c r="H24" s="9" t="n">
        <v>0.8</v>
      </c>
      <c r="I24" s="9" t="n">
        <v>-0.4</v>
      </c>
      <c r="J24" s="9" t="n">
        <v>-1.2</v>
      </c>
      <c r="K24" s="9" t="n">
        <v>-1.35</v>
      </c>
      <c r="L24" s="9" t="n">
        <v>1.35</v>
      </c>
      <c r="M24" s="8" t="n">
        <v>2</v>
      </c>
      <c r="N24" s="8" t="inlineStr">
        <is>
          <t>2x I-260 ยาว 22 ม.</t>
        </is>
      </c>
      <c r="O24" s="8">
        <f>F24*G24*H24</f>
        <v/>
      </c>
      <c r="P24" s="8">
        <f>2*(F24+G24)*H24</f>
        <v/>
      </c>
      <c r="Q24" s="8">
        <f>IF(L24&gt;0,(F24+2*0.1)*(G24+2*0.1)*L24,0)</f>
        <v/>
      </c>
      <c r="R24" s="8">
        <f>(F24+0.2)*(G24+0.2)*0.1</f>
        <v/>
      </c>
      <c r="S24" s="8">
        <f>(F24+0.2)*(G24+0.2)*0.05</f>
        <v/>
      </c>
      <c r="T24" s="8">
        <f>INDEX('2-ฐานราก เหล็กเสริม'!$S:$S,MATCH(B24,'2-ฐานราก เหล็กเสริม'!$A:$A,0))</f>
        <v/>
      </c>
      <c r="U24" s="8" t="inlineStr">
        <is>
          <t>M22</t>
        </is>
      </c>
      <c r="V24" s="10" t="inlineStr">
        <is>
          <t>แบบ S201 (ตำแหน่ง) / ระดับรอยืนยัน</t>
        </is>
      </c>
    </row>
    <row r="25">
      <c r="A25" s="8" t="inlineStr">
        <is>
          <t>F2P-022</t>
        </is>
      </c>
      <c r="B25" s="8" t="inlineStr">
        <is>
          <t>F2P</t>
        </is>
      </c>
      <c r="C25" s="8" t="inlineStr">
        <is>
          <t>6/E</t>
        </is>
      </c>
      <c r="D25" s="9" t="n">
        <v>29.992</v>
      </c>
      <c r="E25" s="9" t="n">
        <v>24.012</v>
      </c>
      <c r="F25" s="9" t="n">
        <v>1.5</v>
      </c>
      <c r="G25" s="9" t="n">
        <v>0.6</v>
      </c>
      <c r="H25" s="9" t="n">
        <v>0.8</v>
      </c>
      <c r="I25" s="9" t="n">
        <v>-0.4</v>
      </c>
      <c r="J25" s="9" t="n">
        <v>-1.2</v>
      </c>
      <c r="K25" s="9" t="n">
        <v>-1.35</v>
      </c>
      <c r="L25" s="9" t="n">
        <v>1.35</v>
      </c>
      <c r="M25" s="8" t="n">
        <v>2</v>
      </c>
      <c r="N25" s="8" t="inlineStr">
        <is>
          <t>2x I-260 ยาว 22 ม.</t>
        </is>
      </c>
      <c r="O25" s="8">
        <f>F25*G25*H25</f>
        <v/>
      </c>
      <c r="P25" s="8">
        <f>2*(F25+G25)*H25</f>
        <v/>
      </c>
      <c r="Q25" s="8">
        <f>IF(L25&gt;0,(F25+2*0.1)*(G25+2*0.1)*L25,0)</f>
        <v/>
      </c>
      <c r="R25" s="8">
        <f>(F25+0.2)*(G25+0.2)*0.1</f>
        <v/>
      </c>
      <c r="S25" s="8">
        <f>(F25+0.2)*(G25+0.2)*0.05</f>
        <v/>
      </c>
      <c r="T25" s="8">
        <f>INDEX('2-ฐานราก เหล็กเสริม'!$S:$S,MATCH(B25,'2-ฐานราก เหล็กเสริม'!$A:$A,0))</f>
        <v/>
      </c>
      <c r="U25" s="8" t="inlineStr">
        <is>
          <t>M22</t>
        </is>
      </c>
      <c r="V25" s="10" t="inlineStr">
        <is>
          <t>แบบ S201 (ตำแหน่ง) / ระดับรอยืนยัน</t>
        </is>
      </c>
    </row>
    <row r="26">
      <c r="A26" s="8" t="inlineStr">
        <is>
          <t>F2P-023</t>
        </is>
      </c>
      <c r="B26" s="8" t="inlineStr">
        <is>
          <t>F2P</t>
        </is>
      </c>
      <c r="C26" s="8" t="inlineStr">
        <is>
          <t>11/E</t>
        </is>
      </c>
      <c r="D26" s="9" t="n">
        <v>59.993</v>
      </c>
      <c r="E26" s="9" t="n">
        <v>24.012</v>
      </c>
      <c r="F26" s="9" t="n">
        <v>1.5</v>
      </c>
      <c r="G26" s="9" t="n">
        <v>0.6</v>
      </c>
      <c r="H26" s="9" t="n">
        <v>0.8</v>
      </c>
      <c r="I26" s="9" t="n">
        <v>-0.4</v>
      </c>
      <c r="J26" s="9" t="n">
        <v>-1.2</v>
      </c>
      <c r="K26" s="9" t="n">
        <v>-1.35</v>
      </c>
      <c r="L26" s="9" t="n">
        <v>1.35</v>
      </c>
      <c r="M26" s="8" t="n">
        <v>2</v>
      </c>
      <c r="N26" s="8" t="inlineStr">
        <is>
          <t>2x I-260 ยาว 22 ม.</t>
        </is>
      </c>
      <c r="O26" s="8">
        <f>F26*G26*H26</f>
        <v/>
      </c>
      <c r="P26" s="8">
        <f>2*(F26+G26)*H26</f>
        <v/>
      </c>
      <c r="Q26" s="8">
        <f>IF(L26&gt;0,(F26+2*0.1)*(G26+2*0.1)*L26,0)</f>
        <v/>
      </c>
      <c r="R26" s="8">
        <f>(F26+0.2)*(G26+0.2)*0.1</f>
        <v/>
      </c>
      <c r="S26" s="8">
        <f>(F26+0.2)*(G26+0.2)*0.05</f>
        <v/>
      </c>
      <c r="T26" s="8">
        <f>INDEX('2-ฐานราก เหล็กเสริม'!$S:$S,MATCH(B26,'2-ฐานราก เหล็กเสริม'!$A:$A,0))</f>
        <v/>
      </c>
      <c r="U26" s="8" t="inlineStr">
        <is>
          <t>M22</t>
        </is>
      </c>
      <c r="V26" s="10" t="inlineStr">
        <is>
          <t>แบบ S201 (ตำแหน่ง) / ระดับรอยืนยัน</t>
        </is>
      </c>
    </row>
    <row r="27">
      <c r="A27" s="8" t="inlineStr">
        <is>
          <t>F2P-024</t>
        </is>
      </c>
      <c r="B27" s="8" t="inlineStr">
        <is>
          <t>F2P</t>
        </is>
      </c>
      <c r="C27" s="8" t="inlineStr">
        <is>
          <t>1/F</t>
        </is>
      </c>
      <c r="D27" s="9" t="n">
        <v>-0.008999999999999999</v>
      </c>
      <c r="E27" s="9" t="n">
        <v>30.016</v>
      </c>
      <c r="F27" s="9" t="n">
        <v>1.5</v>
      </c>
      <c r="G27" s="9" t="n">
        <v>0.6</v>
      </c>
      <c r="H27" s="9" t="n">
        <v>0.8</v>
      </c>
      <c r="I27" s="9" t="n">
        <v>-0.4</v>
      </c>
      <c r="J27" s="9" t="n">
        <v>-1.2</v>
      </c>
      <c r="K27" s="9" t="n">
        <v>-1.35</v>
      </c>
      <c r="L27" s="9" t="n">
        <v>1.35</v>
      </c>
      <c r="M27" s="8" t="n">
        <v>2</v>
      </c>
      <c r="N27" s="8" t="inlineStr">
        <is>
          <t>2x I-260 ยาว 22 ม.</t>
        </is>
      </c>
      <c r="O27" s="8">
        <f>F27*G27*H27</f>
        <v/>
      </c>
      <c r="P27" s="8">
        <f>2*(F27+G27)*H27</f>
        <v/>
      </c>
      <c r="Q27" s="8">
        <f>IF(L27&gt;0,(F27+2*0.1)*(G27+2*0.1)*L27,0)</f>
        <v/>
      </c>
      <c r="R27" s="8">
        <f>(F27+0.2)*(G27+0.2)*0.1</f>
        <v/>
      </c>
      <c r="S27" s="8">
        <f>(F27+0.2)*(G27+0.2)*0.05</f>
        <v/>
      </c>
      <c r="T27" s="8">
        <f>INDEX('2-ฐานราก เหล็กเสริม'!$S:$S,MATCH(B27,'2-ฐานราก เหล็กเสริม'!$A:$A,0))</f>
        <v/>
      </c>
      <c r="U27" s="8" t="inlineStr">
        <is>
          <t>M22</t>
        </is>
      </c>
      <c r="V27" s="10" t="inlineStr">
        <is>
          <t>แบบ S201 (ตำแหน่ง) / ระดับรอยืนยัน</t>
        </is>
      </c>
    </row>
    <row r="28">
      <c r="A28" s="8" t="inlineStr">
        <is>
          <t>F2P-025</t>
        </is>
      </c>
      <c r="B28" s="8" t="inlineStr">
        <is>
          <t>F2P</t>
        </is>
      </c>
      <c r="C28" s="8" t="inlineStr">
        <is>
          <t>6/F</t>
        </is>
      </c>
      <c r="D28" s="9" t="n">
        <v>29.992</v>
      </c>
      <c r="E28" s="9" t="n">
        <v>30.016</v>
      </c>
      <c r="F28" s="9" t="n">
        <v>1.5</v>
      </c>
      <c r="G28" s="9" t="n">
        <v>0.6</v>
      </c>
      <c r="H28" s="9" t="n">
        <v>0.8</v>
      </c>
      <c r="I28" s="9" t="n">
        <v>-0.4</v>
      </c>
      <c r="J28" s="9" t="n">
        <v>-1.2</v>
      </c>
      <c r="K28" s="9" t="n">
        <v>-1.35</v>
      </c>
      <c r="L28" s="9" t="n">
        <v>1.35</v>
      </c>
      <c r="M28" s="8" t="n">
        <v>2</v>
      </c>
      <c r="N28" s="8" t="inlineStr">
        <is>
          <t>2x I-260 ยาว 22 ม.</t>
        </is>
      </c>
      <c r="O28" s="8">
        <f>F28*G28*H28</f>
        <v/>
      </c>
      <c r="P28" s="8">
        <f>2*(F28+G28)*H28</f>
        <v/>
      </c>
      <c r="Q28" s="8">
        <f>IF(L28&gt;0,(F28+2*0.1)*(G28+2*0.1)*L28,0)</f>
        <v/>
      </c>
      <c r="R28" s="8">
        <f>(F28+0.2)*(G28+0.2)*0.1</f>
        <v/>
      </c>
      <c r="S28" s="8">
        <f>(F28+0.2)*(G28+0.2)*0.05</f>
        <v/>
      </c>
      <c r="T28" s="8">
        <f>INDEX('2-ฐานราก เหล็กเสริม'!$S:$S,MATCH(B28,'2-ฐานราก เหล็กเสริม'!$A:$A,0))</f>
        <v/>
      </c>
      <c r="U28" s="8" t="inlineStr">
        <is>
          <t>M22</t>
        </is>
      </c>
      <c r="V28" s="10" t="inlineStr">
        <is>
          <t>แบบ S201 (ตำแหน่ง) / ระดับรอยืนยัน</t>
        </is>
      </c>
    </row>
    <row r="29">
      <c r="A29" s="8" t="inlineStr">
        <is>
          <t>F2P-026</t>
        </is>
      </c>
      <c r="B29" s="8" t="inlineStr">
        <is>
          <t>F2P</t>
        </is>
      </c>
      <c r="C29" s="8" t="inlineStr">
        <is>
          <t>11/F</t>
        </is>
      </c>
      <c r="D29" s="9" t="n">
        <v>59.993</v>
      </c>
      <c r="E29" s="9" t="n">
        <v>30.016</v>
      </c>
      <c r="F29" s="9" t="n">
        <v>1.5</v>
      </c>
      <c r="G29" s="9" t="n">
        <v>0.6</v>
      </c>
      <c r="H29" s="9" t="n">
        <v>0.8</v>
      </c>
      <c r="I29" s="9" t="n">
        <v>-0.4</v>
      </c>
      <c r="J29" s="9" t="n">
        <v>-1.2</v>
      </c>
      <c r="K29" s="9" t="n">
        <v>-1.35</v>
      </c>
      <c r="L29" s="9" t="n">
        <v>1.35</v>
      </c>
      <c r="M29" s="8" t="n">
        <v>2</v>
      </c>
      <c r="N29" s="8" t="inlineStr">
        <is>
          <t>2x I-260 ยาว 22 ม.</t>
        </is>
      </c>
      <c r="O29" s="8">
        <f>F29*G29*H29</f>
        <v/>
      </c>
      <c r="P29" s="8">
        <f>2*(F29+G29)*H29</f>
        <v/>
      </c>
      <c r="Q29" s="8">
        <f>IF(L29&gt;0,(F29+2*0.1)*(G29+2*0.1)*L29,0)</f>
        <v/>
      </c>
      <c r="R29" s="8">
        <f>(F29+0.2)*(G29+0.2)*0.1</f>
        <v/>
      </c>
      <c r="S29" s="8">
        <f>(F29+0.2)*(G29+0.2)*0.05</f>
        <v/>
      </c>
      <c r="T29" s="8">
        <f>INDEX('2-ฐานราก เหล็กเสริม'!$S:$S,MATCH(B29,'2-ฐานราก เหล็กเสริม'!$A:$A,0))</f>
        <v/>
      </c>
      <c r="U29" s="8" t="inlineStr">
        <is>
          <t>M22</t>
        </is>
      </c>
      <c r="V29" s="10" t="inlineStr">
        <is>
          <t>แบบ S201 (ตำแหน่ง) / ระดับรอยืนยัน</t>
        </is>
      </c>
    </row>
    <row r="30">
      <c r="A30" s="8" t="inlineStr">
        <is>
          <t>F2P-027</t>
        </is>
      </c>
      <c r="B30" s="8" t="inlineStr">
        <is>
          <t>F2P</t>
        </is>
      </c>
      <c r="C30" s="8" t="inlineStr">
        <is>
          <t>1/G</t>
        </is>
      </c>
      <c r="D30" s="9" t="n">
        <v>-0.008999999999999999</v>
      </c>
      <c r="E30" s="9" t="n">
        <v>36.013</v>
      </c>
      <c r="F30" s="9" t="n">
        <v>1.5</v>
      </c>
      <c r="G30" s="9" t="n">
        <v>0.6</v>
      </c>
      <c r="H30" s="9" t="n">
        <v>0.8</v>
      </c>
      <c r="I30" s="9" t="n">
        <v>-0.4</v>
      </c>
      <c r="J30" s="9" t="n">
        <v>-1.2</v>
      </c>
      <c r="K30" s="9" t="n">
        <v>-1.35</v>
      </c>
      <c r="L30" s="9" t="n">
        <v>1.35</v>
      </c>
      <c r="M30" s="8" t="n">
        <v>2</v>
      </c>
      <c r="N30" s="8" t="inlineStr">
        <is>
          <t>2x I-260 ยาว 22 ม.</t>
        </is>
      </c>
      <c r="O30" s="8">
        <f>F30*G30*H30</f>
        <v/>
      </c>
      <c r="P30" s="8">
        <f>2*(F30+G30)*H30</f>
        <v/>
      </c>
      <c r="Q30" s="8">
        <f>IF(L30&gt;0,(F30+2*0.1)*(G30+2*0.1)*L30,0)</f>
        <v/>
      </c>
      <c r="R30" s="8">
        <f>(F30+0.2)*(G30+0.2)*0.1</f>
        <v/>
      </c>
      <c r="S30" s="8">
        <f>(F30+0.2)*(G30+0.2)*0.05</f>
        <v/>
      </c>
      <c r="T30" s="8">
        <f>INDEX('2-ฐานราก เหล็กเสริม'!$S:$S,MATCH(B30,'2-ฐานราก เหล็กเสริม'!$A:$A,0))</f>
        <v/>
      </c>
      <c r="U30" s="8" t="inlineStr">
        <is>
          <t>M22</t>
        </is>
      </c>
      <c r="V30" s="10" t="inlineStr">
        <is>
          <t>แบบ S201 (ตำแหน่ง) / ระดับรอยืนยัน</t>
        </is>
      </c>
    </row>
    <row r="31">
      <c r="A31" s="8" t="inlineStr">
        <is>
          <t>F2P-028</t>
        </is>
      </c>
      <c r="B31" s="8" t="inlineStr">
        <is>
          <t>F2P</t>
        </is>
      </c>
      <c r="C31" s="8" t="inlineStr">
        <is>
          <t>6/G</t>
        </is>
      </c>
      <c r="D31" s="9" t="n">
        <v>29.992</v>
      </c>
      <c r="E31" s="9" t="n">
        <v>36.013</v>
      </c>
      <c r="F31" s="9" t="n">
        <v>1.5</v>
      </c>
      <c r="G31" s="9" t="n">
        <v>0.6</v>
      </c>
      <c r="H31" s="9" t="n">
        <v>0.8</v>
      </c>
      <c r="I31" s="9" t="n">
        <v>-0.4</v>
      </c>
      <c r="J31" s="9" t="n">
        <v>-1.2</v>
      </c>
      <c r="K31" s="9" t="n">
        <v>-1.35</v>
      </c>
      <c r="L31" s="9" t="n">
        <v>1.35</v>
      </c>
      <c r="M31" s="8" t="n">
        <v>2</v>
      </c>
      <c r="N31" s="8" t="inlineStr">
        <is>
          <t>2x I-260 ยาว 22 ม.</t>
        </is>
      </c>
      <c r="O31" s="8">
        <f>F31*G31*H31</f>
        <v/>
      </c>
      <c r="P31" s="8">
        <f>2*(F31+G31)*H31</f>
        <v/>
      </c>
      <c r="Q31" s="8">
        <f>IF(L31&gt;0,(F31+2*0.1)*(G31+2*0.1)*L31,0)</f>
        <v/>
      </c>
      <c r="R31" s="8">
        <f>(F31+0.2)*(G31+0.2)*0.1</f>
        <v/>
      </c>
      <c r="S31" s="8">
        <f>(F31+0.2)*(G31+0.2)*0.05</f>
        <v/>
      </c>
      <c r="T31" s="8">
        <f>INDEX('2-ฐานราก เหล็กเสริม'!$S:$S,MATCH(B31,'2-ฐานราก เหล็กเสริม'!$A:$A,0))</f>
        <v/>
      </c>
      <c r="U31" s="8" t="inlineStr">
        <is>
          <t>M22</t>
        </is>
      </c>
      <c r="V31" s="10" t="inlineStr">
        <is>
          <t>แบบ S201 (ตำแหน่ง) / ระดับรอยืนยัน</t>
        </is>
      </c>
    </row>
    <row r="32">
      <c r="A32" s="8" t="inlineStr">
        <is>
          <t>F2P-029</t>
        </is>
      </c>
      <c r="B32" s="8" t="inlineStr">
        <is>
          <t>F2P</t>
        </is>
      </c>
      <c r="C32" s="8" t="inlineStr">
        <is>
          <t>11/G</t>
        </is>
      </c>
      <c r="D32" s="9" t="n">
        <v>59.993</v>
      </c>
      <c r="E32" s="9" t="n">
        <v>36.013</v>
      </c>
      <c r="F32" s="9" t="n">
        <v>1.5</v>
      </c>
      <c r="G32" s="9" t="n">
        <v>0.6</v>
      </c>
      <c r="H32" s="9" t="n">
        <v>0.8</v>
      </c>
      <c r="I32" s="9" t="n">
        <v>-0.4</v>
      </c>
      <c r="J32" s="9" t="n">
        <v>-1.2</v>
      </c>
      <c r="K32" s="9" t="n">
        <v>-1.35</v>
      </c>
      <c r="L32" s="9" t="n">
        <v>1.35</v>
      </c>
      <c r="M32" s="8" t="n">
        <v>2</v>
      </c>
      <c r="N32" s="8" t="inlineStr">
        <is>
          <t>2x I-260 ยาว 22 ม.</t>
        </is>
      </c>
      <c r="O32" s="8">
        <f>F32*G32*H32</f>
        <v/>
      </c>
      <c r="P32" s="8">
        <f>2*(F32+G32)*H32</f>
        <v/>
      </c>
      <c r="Q32" s="8">
        <f>IF(L32&gt;0,(F32+2*0.1)*(G32+2*0.1)*L32,0)</f>
        <v/>
      </c>
      <c r="R32" s="8">
        <f>(F32+0.2)*(G32+0.2)*0.1</f>
        <v/>
      </c>
      <c r="S32" s="8">
        <f>(F32+0.2)*(G32+0.2)*0.05</f>
        <v/>
      </c>
      <c r="T32" s="8">
        <f>INDEX('2-ฐานราก เหล็กเสริม'!$S:$S,MATCH(B32,'2-ฐานราก เหล็กเสริม'!$A:$A,0))</f>
        <v/>
      </c>
      <c r="U32" s="8" t="inlineStr">
        <is>
          <t>M22</t>
        </is>
      </c>
      <c r="V32" s="10" t="inlineStr">
        <is>
          <t>แบบ S201 (ตำแหน่ง) / ระดับรอยืนยัน</t>
        </is>
      </c>
    </row>
    <row r="33">
      <c r="A33" s="8" t="inlineStr">
        <is>
          <t>F2P-030</t>
        </is>
      </c>
      <c r="B33" s="8" t="inlineStr">
        <is>
          <t>F2P</t>
        </is>
      </c>
      <c r="C33" s="8" t="inlineStr">
        <is>
          <t>1/H</t>
        </is>
      </c>
      <c r="D33" s="9" t="n">
        <v>-0.008999999999999999</v>
      </c>
      <c r="E33" s="9" t="n">
        <v>42.011</v>
      </c>
      <c r="F33" s="9" t="n">
        <v>1.5</v>
      </c>
      <c r="G33" s="9" t="n">
        <v>0.6</v>
      </c>
      <c r="H33" s="9" t="n">
        <v>0.8</v>
      </c>
      <c r="I33" s="9" t="n">
        <v>-0.4</v>
      </c>
      <c r="J33" s="9" t="n">
        <v>-1.2</v>
      </c>
      <c r="K33" s="9" t="n">
        <v>-1.35</v>
      </c>
      <c r="L33" s="9" t="n">
        <v>1.35</v>
      </c>
      <c r="M33" s="8" t="n">
        <v>2</v>
      </c>
      <c r="N33" s="8" t="inlineStr">
        <is>
          <t>2x I-260 ยาว 22 ม.</t>
        </is>
      </c>
      <c r="O33" s="8">
        <f>F33*G33*H33</f>
        <v/>
      </c>
      <c r="P33" s="8">
        <f>2*(F33+G33)*H33</f>
        <v/>
      </c>
      <c r="Q33" s="8">
        <f>IF(L33&gt;0,(F33+2*0.1)*(G33+2*0.1)*L33,0)</f>
        <v/>
      </c>
      <c r="R33" s="8">
        <f>(F33+0.2)*(G33+0.2)*0.1</f>
        <v/>
      </c>
      <c r="S33" s="8">
        <f>(F33+0.2)*(G33+0.2)*0.05</f>
        <v/>
      </c>
      <c r="T33" s="8">
        <f>INDEX('2-ฐานราก เหล็กเสริม'!$S:$S,MATCH(B33,'2-ฐานราก เหล็กเสริม'!$A:$A,0))</f>
        <v/>
      </c>
      <c r="U33" s="8" t="inlineStr">
        <is>
          <t>M22</t>
        </is>
      </c>
      <c r="V33" s="10" t="inlineStr">
        <is>
          <t>แบบ S201 (ตำแหน่ง) / ระดับรอยืนยัน</t>
        </is>
      </c>
    </row>
    <row r="34">
      <c r="A34" s="8" t="inlineStr">
        <is>
          <t>F2P-031</t>
        </is>
      </c>
      <c r="B34" s="8" t="inlineStr">
        <is>
          <t>F2P</t>
        </is>
      </c>
      <c r="C34" s="8" t="inlineStr">
        <is>
          <t>6/H</t>
        </is>
      </c>
      <c r="D34" s="9" t="n">
        <v>29.992</v>
      </c>
      <c r="E34" s="9" t="n">
        <v>42.011</v>
      </c>
      <c r="F34" s="9" t="n">
        <v>1.5</v>
      </c>
      <c r="G34" s="9" t="n">
        <v>0.6</v>
      </c>
      <c r="H34" s="9" t="n">
        <v>0.8</v>
      </c>
      <c r="I34" s="9" t="n">
        <v>-0.4</v>
      </c>
      <c r="J34" s="9" t="n">
        <v>-1.2</v>
      </c>
      <c r="K34" s="9" t="n">
        <v>-1.35</v>
      </c>
      <c r="L34" s="9" t="n">
        <v>1.35</v>
      </c>
      <c r="M34" s="8" t="n">
        <v>2</v>
      </c>
      <c r="N34" s="8" t="inlineStr">
        <is>
          <t>2x I-260 ยาว 22 ม.</t>
        </is>
      </c>
      <c r="O34" s="8">
        <f>F34*G34*H34</f>
        <v/>
      </c>
      <c r="P34" s="8">
        <f>2*(F34+G34)*H34</f>
        <v/>
      </c>
      <c r="Q34" s="8">
        <f>IF(L34&gt;0,(F34+2*0.1)*(G34+2*0.1)*L34,0)</f>
        <v/>
      </c>
      <c r="R34" s="8">
        <f>(F34+0.2)*(G34+0.2)*0.1</f>
        <v/>
      </c>
      <c r="S34" s="8">
        <f>(F34+0.2)*(G34+0.2)*0.05</f>
        <v/>
      </c>
      <c r="T34" s="8">
        <f>INDEX('2-ฐานราก เหล็กเสริม'!$S:$S,MATCH(B34,'2-ฐานราก เหล็กเสริม'!$A:$A,0))</f>
        <v/>
      </c>
      <c r="U34" s="8" t="inlineStr">
        <is>
          <t>M22</t>
        </is>
      </c>
      <c r="V34" s="10" t="inlineStr">
        <is>
          <t>แบบ S201 (ตำแหน่ง) / ระดับรอยืนยัน</t>
        </is>
      </c>
    </row>
    <row r="35">
      <c r="A35" s="8" t="inlineStr">
        <is>
          <t>F2P-032</t>
        </is>
      </c>
      <c r="B35" s="8" t="inlineStr">
        <is>
          <t>F2P</t>
        </is>
      </c>
      <c r="C35" s="8" t="inlineStr">
        <is>
          <t>11/H</t>
        </is>
      </c>
      <c r="D35" s="9" t="n">
        <v>59.993</v>
      </c>
      <c r="E35" s="9" t="n">
        <v>42.011</v>
      </c>
      <c r="F35" s="9" t="n">
        <v>1.5</v>
      </c>
      <c r="G35" s="9" t="n">
        <v>0.6</v>
      </c>
      <c r="H35" s="9" t="n">
        <v>0.8</v>
      </c>
      <c r="I35" s="9" t="n">
        <v>-0.4</v>
      </c>
      <c r="J35" s="9" t="n">
        <v>-1.2</v>
      </c>
      <c r="K35" s="9" t="n">
        <v>-1.35</v>
      </c>
      <c r="L35" s="9" t="n">
        <v>1.35</v>
      </c>
      <c r="M35" s="8" t="n">
        <v>2</v>
      </c>
      <c r="N35" s="8" t="inlineStr">
        <is>
          <t>2x I-260 ยาว 22 ม.</t>
        </is>
      </c>
      <c r="O35" s="8">
        <f>F35*G35*H35</f>
        <v/>
      </c>
      <c r="P35" s="8">
        <f>2*(F35+G35)*H35</f>
        <v/>
      </c>
      <c r="Q35" s="8">
        <f>IF(L35&gt;0,(F35+2*0.1)*(G35+2*0.1)*L35,0)</f>
        <v/>
      </c>
      <c r="R35" s="8">
        <f>(F35+0.2)*(G35+0.2)*0.1</f>
        <v/>
      </c>
      <c r="S35" s="8">
        <f>(F35+0.2)*(G35+0.2)*0.05</f>
        <v/>
      </c>
      <c r="T35" s="8">
        <f>INDEX('2-ฐานราก เหล็กเสริม'!$S:$S,MATCH(B35,'2-ฐานราก เหล็กเสริม'!$A:$A,0))</f>
        <v/>
      </c>
      <c r="U35" s="8" t="inlineStr">
        <is>
          <t>M22</t>
        </is>
      </c>
      <c r="V35" s="10" t="inlineStr">
        <is>
          <t>แบบ S201 (ตำแหน่ง) / ระดับรอยืนยัน</t>
        </is>
      </c>
    </row>
    <row r="36">
      <c r="A36" s="8" t="inlineStr">
        <is>
          <t>F2P-033</t>
        </is>
      </c>
      <c r="B36" s="8" t="inlineStr">
        <is>
          <t>F2P</t>
        </is>
      </c>
      <c r="C36" s="8" t="inlineStr">
        <is>
          <t>1/I</t>
        </is>
      </c>
      <c r="D36" s="9" t="n">
        <v>-0.008999999999999999</v>
      </c>
      <c r="E36" s="9" t="n">
        <v>48.015</v>
      </c>
      <c r="F36" s="9" t="n">
        <v>1.5</v>
      </c>
      <c r="G36" s="9" t="n">
        <v>0.6</v>
      </c>
      <c r="H36" s="9" t="n">
        <v>0.8</v>
      </c>
      <c r="I36" s="9" t="n">
        <v>-0.4</v>
      </c>
      <c r="J36" s="9" t="n">
        <v>-1.2</v>
      </c>
      <c r="K36" s="9" t="n">
        <v>-1.35</v>
      </c>
      <c r="L36" s="9" t="n">
        <v>1.35</v>
      </c>
      <c r="M36" s="8" t="n">
        <v>2</v>
      </c>
      <c r="N36" s="8" t="inlineStr">
        <is>
          <t>2x I-260 ยาว 22 ม.</t>
        </is>
      </c>
      <c r="O36" s="8">
        <f>F36*G36*H36</f>
        <v/>
      </c>
      <c r="P36" s="8">
        <f>2*(F36+G36)*H36</f>
        <v/>
      </c>
      <c r="Q36" s="8">
        <f>IF(L36&gt;0,(F36+2*0.1)*(G36+2*0.1)*L36,0)</f>
        <v/>
      </c>
      <c r="R36" s="8">
        <f>(F36+0.2)*(G36+0.2)*0.1</f>
        <v/>
      </c>
      <c r="S36" s="8">
        <f>(F36+0.2)*(G36+0.2)*0.05</f>
        <v/>
      </c>
      <c r="T36" s="8">
        <f>INDEX('2-ฐานราก เหล็กเสริม'!$S:$S,MATCH(B36,'2-ฐานราก เหล็กเสริม'!$A:$A,0))</f>
        <v/>
      </c>
      <c r="U36" s="8" t="inlineStr">
        <is>
          <t>M22</t>
        </is>
      </c>
      <c r="V36" s="10" t="inlineStr">
        <is>
          <t>แบบ S201 (ตำแหน่ง) / ระดับรอยืนยัน</t>
        </is>
      </c>
    </row>
    <row r="37">
      <c r="A37" s="8" t="inlineStr">
        <is>
          <t>F2P-034</t>
        </is>
      </c>
      <c r="B37" s="8" t="inlineStr">
        <is>
          <t>F2P</t>
        </is>
      </c>
      <c r="C37" s="8" t="inlineStr">
        <is>
          <t>6/I</t>
        </is>
      </c>
      <c r="D37" s="9" t="n">
        <v>29.992</v>
      </c>
      <c r="E37" s="9" t="n">
        <v>48.015</v>
      </c>
      <c r="F37" s="9" t="n">
        <v>1.5</v>
      </c>
      <c r="G37" s="9" t="n">
        <v>0.6</v>
      </c>
      <c r="H37" s="9" t="n">
        <v>0.8</v>
      </c>
      <c r="I37" s="9" t="n">
        <v>-0.4</v>
      </c>
      <c r="J37" s="9" t="n">
        <v>-1.2</v>
      </c>
      <c r="K37" s="9" t="n">
        <v>-1.35</v>
      </c>
      <c r="L37" s="9" t="n">
        <v>1.35</v>
      </c>
      <c r="M37" s="8" t="n">
        <v>2</v>
      </c>
      <c r="N37" s="8" t="inlineStr">
        <is>
          <t>2x I-260 ยาว 22 ม.</t>
        </is>
      </c>
      <c r="O37" s="8">
        <f>F37*G37*H37</f>
        <v/>
      </c>
      <c r="P37" s="8">
        <f>2*(F37+G37)*H37</f>
        <v/>
      </c>
      <c r="Q37" s="8">
        <f>IF(L37&gt;0,(F37+2*0.1)*(G37+2*0.1)*L37,0)</f>
        <v/>
      </c>
      <c r="R37" s="8">
        <f>(F37+0.2)*(G37+0.2)*0.1</f>
        <v/>
      </c>
      <c r="S37" s="8">
        <f>(F37+0.2)*(G37+0.2)*0.05</f>
        <v/>
      </c>
      <c r="T37" s="8">
        <f>INDEX('2-ฐานราก เหล็กเสริม'!$S:$S,MATCH(B37,'2-ฐานราก เหล็กเสริม'!$A:$A,0))</f>
        <v/>
      </c>
      <c r="U37" s="8" t="inlineStr">
        <is>
          <t>M22</t>
        </is>
      </c>
      <c r="V37" s="10" t="inlineStr">
        <is>
          <t>แบบ S201 (ตำแหน่ง) / ระดับรอยืนยัน</t>
        </is>
      </c>
    </row>
    <row r="38">
      <c r="A38" s="8" t="inlineStr">
        <is>
          <t>F2P-035</t>
        </is>
      </c>
      <c r="B38" s="8" t="inlineStr">
        <is>
          <t>F2P</t>
        </is>
      </c>
      <c r="C38" s="8" t="inlineStr">
        <is>
          <t>11/I</t>
        </is>
      </c>
      <c r="D38" s="9" t="n">
        <v>59.993</v>
      </c>
      <c r="E38" s="9" t="n">
        <v>48.015</v>
      </c>
      <c r="F38" s="9" t="n">
        <v>1.5</v>
      </c>
      <c r="G38" s="9" t="n">
        <v>0.6</v>
      </c>
      <c r="H38" s="9" t="n">
        <v>0.8</v>
      </c>
      <c r="I38" s="9" t="n">
        <v>-0.4</v>
      </c>
      <c r="J38" s="9" t="n">
        <v>-1.2</v>
      </c>
      <c r="K38" s="9" t="n">
        <v>-1.35</v>
      </c>
      <c r="L38" s="9" t="n">
        <v>1.35</v>
      </c>
      <c r="M38" s="8" t="n">
        <v>2</v>
      </c>
      <c r="N38" s="8" t="inlineStr">
        <is>
          <t>2x I-260 ยาว 22 ม.</t>
        </is>
      </c>
      <c r="O38" s="8">
        <f>F38*G38*H38</f>
        <v/>
      </c>
      <c r="P38" s="8">
        <f>2*(F38+G38)*H38</f>
        <v/>
      </c>
      <c r="Q38" s="8">
        <f>IF(L38&gt;0,(F38+2*0.1)*(G38+2*0.1)*L38,0)</f>
        <v/>
      </c>
      <c r="R38" s="8">
        <f>(F38+0.2)*(G38+0.2)*0.1</f>
        <v/>
      </c>
      <c r="S38" s="8">
        <f>(F38+0.2)*(G38+0.2)*0.05</f>
        <v/>
      </c>
      <c r="T38" s="8">
        <f>INDEX('2-ฐานราก เหล็กเสริม'!$S:$S,MATCH(B38,'2-ฐานราก เหล็กเสริม'!$A:$A,0))</f>
        <v/>
      </c>
      <c r="U38" s="8" t="inlineStr">
        <is>
          <t>M22</t>
        </is>
      </c>
      <c r="V38" s="10" t="inlineStr">
        <is>
          <t>แบบ S201 (ตำแหน่ง) / ระดับรอยืนยัน</t>
        </is>
      </c>
    </row>
    <row r="39">
      <c r="A39" s="8" t="inlineStr">
        <is>
          <t>F2P-036</t>
        </is>
      </c>
      <c r="B39" s="8" t="inlineStr">
        <is>
          <t>F2P</t>
        </is>
      </c>
      <c r="C39" s="8" t="inlineStr">
        <is>
          <t>1/J</t>
        </is>
      </c>
      <c r="D39" s="9" t="n">
        <v>-0.008999999999999999</v>
      </c>
      <c r="E39" s="9" t="n">
        <v>54.013</v>
      </c>
      <c r="F39" s="9" t="n">
        <v>1.5</v>
      </c>
      <c r="G39" s="9" t="n">
        <v>0.6</v>
      </c>
      <c r="H39" s="9" t="n">
        <v>0.8</v>
      </c>
      <c r="I39" s="9" t="n">
        <v>-0.4</v>
      </c>
      <c r="J39" s="9" t="n">
        <v>-1.2</v>
      </c>
      <c r="K39" s="9" t="n">
        <v>-1.35</v>
      </c>
      <c r="L39" s="9" t="n">
        <v>1.35</v>
      </c>
      <c r="M39" s="8" t="n">
        <v>2</v>
      </c>
      <c r="N39" s="8" t="inlineStr">
        <is>
          <t>2x I-260 ยาว 22 ม.</t>
        </is>
      </c>
      <c r="O39" s="8">
        <f>F39*G39*H39</f>
        <v/>
      </c>
      <c r="P39" s="8">
        <f>2*(F39+G39)*H39</f>
        <v/>
      </c>
      <c r="Q39" s="8">
        <f>IF(L39&gt;0,(F39+2*0.1)*(G39+2*0.1)*L39,0)</f>
        <v/>
      </c>
      <c r="R39" s="8">
        <f>(F39+0.2)*(G39+0.2)*0.1</f>
        <v/>
      </c>
      <c r="S39" s="8">
        <f>(F39+0.2)*(G39+0.2)*0.05</f>
        <v/>
      </c>
      <c r="T39" s="8">
        <f>INDEX('2-ฐานราก เหล็กเสริม'!$S:$S,MATCH(B39,'2-ฐานราก เหล็กเสริม'!$A:$A,0))</f>
        <v/>
      </c>
      <c r="U39" s="8" t="inlineStr">
        <is>
          <t>M22</t>
        </is>
      </c>
      <c r="V39" s="10" t="inlineStr">
        <is>
          <t>แบบ S201 (ตำแหน่ง) / ระดับรอยืนยัน</t>
        </is>
      </c>
    </row>
    <row r="40">
      <c r="A40" s="8" t="inlineStr">
        <is>
          <t>F2P-037</t>
        </is>
      </c>
      <c r="B40" s="8" t="inlineStr">
        <is>
          <t>F2P</t>
        </is>
      </c>
      <c r="C40" s="8" t="inlineStr">
        <is>
          <t>2/J</t>
        </is>
      </c>
      <c r="D40" s="9" t="n">
        <v>5.988</v>
      </c>
      <c r="E40" s="9" t="n">
        <v>54.013</v>
      </c>
      <c r="F40" s="9" t="n">
        <v>0.6</v>
      </c>
      <c r="G40" s="9" t="n">
        <v>1.5</v>
      </c>
      <c r="H40" s="9" t="n">
        <v>0.8</v>
      </c>
      <c r="I40" s="9" t="n">
        <v>-0.4</v>
      </c>
      <c r="J40" s="9" t="n">
        <v>-1.2</v>
      </c>
      <c r="K40" s="9" t="n">
        <v>-1.35</v>
      </c>
      <c r="L40" s="9" t="n">
        <v>1.35</v>
      </c>
      <c r="M40" s="8" t="n">
        <v>2</v>
      </c>
      <c r="N40" s="8" t="inlineStr">
        <is>
          <t>2x I-260 ยาว 22 ม.</t>
        </is>
      </c>
      <c r="O40" s="8">
        <f>F40*G40*H40</f>
        <v/>
      </c>
      <c r="P40" s="8">
        <f>2*(F40+G40)*H40</f>
        <v/>
      </c>
      <c r="Q40" s="8">
        <f>IF(L40&gt;0,(F40+2*0.1)*(G40+2*0.1)*L40,0)</f>
        <v/>
      </c>
      <c r="R40" s="8">
        <f>(F40+0.2)*(G40+0.2)*0.1</f>
        <v/>
      </c>
      <c r="S40" s="8">
        <f>(F40+0.2)*(G40+0.2)*0.05</f>
        <v/>
      </c>
      <c r="T40" s="8">
        <f>INDEX('2-ฐานราก เหล็กเสริม'!$S:$S,MATCH(B40,'2-ฐานราก เหล็กเสริม'!$A:$A,0))</f>
        <v/>
      </c>
      <c r="U40" s="8" t="inlineStr">
        <is>
          <t>M22</t>
        </is>
      </c>
      <c r="V40" s="10" t="inlineStr">
        <is>
          <t>แบบ S201 (ตำแหน่ง) / ระดับรอยืนยัน</t>
        </is>
      </c>
    </row>
    <row r="41">
      <c r="A41" s="8" t="inlineStr">
        <is>
          <t>F2P-038</t>
        </is>
      </c>
      <c r="B41" s="8" t="inlineStr">
        <is>
          <t>F2P</t>
        </is>
      </c>
      <c r="C41" s="8" t="inlineStr">
        <is>
          <t>3/J</t>
        </is>
      </c>
      <c r="D41" s="9" t="n">
        <v>11.986</v>
      </c>
      <c r="E41" s="9" t="n">
        <v>54.013</v>
      </c>
      <c r="F41" s="9" t="n">
        <v>0.6</v>
      </c>
      <c r="G41" s="9" t="n">
        <v>1.5</v>
      </c>
      <c r="H41" s="9" t="n">
        <v>0.8</v>
      </c>
      <c r="I41" s="9" t="n">
        <v>-0.4</v>
      </c>
      <c r="J41" s="9" t="n">
        <v>-1.2</v>
      </c>
      <c r="K41" s="9" t="n">
        <v>-1.35</v>
      </c>
      <c r="L41" s="9" t="n">
        <v>1.35</v>
      </c>
      <c r="M41" s="8" t="n">
        <v>2</v>
      </c>
      <c r="N41" s="8" t="inlineStr">
        <is>
          <t>2x I-260 ยาว 22 ม.</t>
        </is>
      </c>
      <c r="O41" s="8">
        <f>F41*G41*H41</f>
        <v/>
      </c>
      <c r="P41" s="8">
        <f>2*(F41+G41)*H41</f>
        <v/>
      </c>
      <c r="Q41" s="8">
        <f>IF(L41&gt;0,(F41+2*0.1)*(G41+2*0.1)*L41,0)</f>
        <v/>
      </c>
      <c r="R41" s="8">
        <f>(F41+0.2)*(G41+0.2)*0.1</f>
        <v/>
      </c>
      <c r="S41" s="8">
        <f>(F41+0.2)*(G41+0.2)*0.05</f>
        <v/>
      </c>
      <c r="T41" s="8">
        <f>INDEX('2-ฐานราก เหล็กเสริม'!$S:$S,MATCH(B41,'2-ฐานราก เหล็กเสริม'!$A:$A,0))</f>
        <v/>
      </c>
      <c r="U41" s="8" t="inlineStr">
        <is>
          <t>M22</t>
        </is>
      </c>
      <c r="V41" s="10" t="inlineStr">
        <is>
          <t>แบบ S201 (ตำแหน่ง) / ระดับรอยืนยัน</t>
        </is>
      </c>
    </row>
    <row r="42">
      <c r="A42" s="8" t="inlineStr">
        <is>
          <t>F2P-039</t>
        </is>
      </c>
      <c r="B42" s="8" t="inlineStr">
        <is>
          <t>F2P</t>
        </is>
      </c>
      <c r="C42" s="8" t="inlineStr">
        <is>
          <t>4/J</t>
        </is>
      </c>
      <c r="D42" s="9" t="n">
        <v>17.99</v>
      </c>
      <c r="E42" s="9" t="n">
        <v>54.013</v>
      </c>
      <c r="F42" s="9" t="n">
        <v>0.6</v>
      </c>
      <c r="G42" s="9" t="n">
        <v>1.5</v>
      </c>
      <c r="H42" s="9" t="n">
        <v>0.8</v>
      </c>
      <c r="I42" s="9" t="n">
        <v>-0.4</v>
      </c>
      <c r="J42" s="9" t="n">
        <v>-1.2</v>
      </c>
      <c r="K42" s="9" t="n">
        <v>-1.35</v>
      </c>
      <c r="L42" s="9" t="n">
        <v>1.35</v>
      </c>
      <c r="M42" s="8" t="n">
        <v>2</v>
      </c>
      <c r="N42" s="8" t="inlineStr">
        <is>
          <t>2x I-260 ยาว 22 ม.</t>
        </is>
      </c>
      <c r="O42" s="8">
        <f>F42*G42*H42</f>
        <v/>
      </c>
      <c r="P42" s="8">
        <f>2*(F42+G42)*H42</f>
        <v/>
      </c>
      <c r="Q42" s="8">
        <f>IF(L42&gt;0,(F42+2*0.1)*(G42+2*0.1)*L42,0)</f>
        <v/>
      </c>
      <c r="R42" s="8">
        <f>(F42+0.2)*(G42+0.2)*0.1</f>
        <v/>
      </c>
      <c r="S42" s="8">
        <f>(F42+0.2)*(G42+0.2)*0.05</f>
        <v/>
      </c>
      <c r="T42" s="8">
        <f>INDEX('2-ฐานราก เหล็กเสริม'!$S:$S,MATCH(B42,'2-ฐานราก เหล็กเสริม'!$A:$A,0))</f>
        <v/>
      </c>
      <c r="U42" s="8" t="inlineStr">
        <is>
          <t>M22</t>
        </is>
      </c>
      <c r="V42" s="10" t="inlineStr">
        <is>
          <t>แบบ S201 (ตำแหน่ง) / ระดับรอยืนยัน</t>
        </is>
      </c>
    </row>
    <row r="43">
      <c r="A43" s="8" t="inlineStr">
        <is>
          <t>F2P-040</t>
        </is>
      </c>
      <c r="B43" s="8" t="inlineStr">
        <is>
          <t>F2P</t>
        </is>
      </c>
      <c r="C43" s="8" t="inlineStr">
        <is>
          <t>5/J</t>
        </is>
      </c>
      <c r="D43" s="9" t="n">
        <v>23.994</v>
      </c>
      <c r="E43" s="9" t="n">
        <v>54.013</v>
      </c>
      <c r="F43" s="9" t="n">
        <v>0.6</v>
      </c>
      <c r="G43" s="9" t="n">
        <v>1.5</v>
      </c>
      <c r="H43" s="9" t="n">
        <v>0.8</v>
      </c>
      <c r="I43" s="9" t="n">
        <v>-0.4</v>
      </c>
      <c r="J43" s="9" t="n">
        <v>-1.2</v>
      </c>
      <c r="K43" s="9" t="n">
        <v>-1.35</v>
      </c>
      <c r="L43" s="9" t="n">
        <v>1.35</v>
      </c>
      <c r="M43" s="8" t="n">
        <v>2</v>
      </c>
      <c r="N43" s="8" t="inlineStr">
        <is>
          <t>2x I-260 ยาว 22 ม.</t>
        </is>
      </c>
      <c r="O43" s="8">
        <f>F43*G43*H43</f>
        <v/>
      </c>
      <c r="P43" s="8">
        <f>2*(F43+G43)*H43</f>
        <v/>
      </c>
      <c r="Q43" s="8">
        <f>IF(L43&gt;0,(F43+2*0.1)*(G43+2*0.1)*L43,0)</f>
        <v/>
      </c>
      <c r="R43" s="8">
        <f>(F43+0.2)*(G43+0.2)*0.1</f>
        <v/>
      </c>
      <c r="S43" s="8">
        <f>(F43+0.2)*(G43+0.2)*0.05</f>
        <v/>
      </c>
      <c r="T43" s="8">
        <f>INDEX('2-ฐานราก เหล็กเสริม'!$S:$S,MATCH(B43,'2-ฐานราก เหล็กเสริม'!$A:$A,0))</f>
        <v/>
      </c>
      <c r="U43" s="8" t="inlineStr">
        <is>
          <t>M22</t>
        </is>
      </c>
      <c r="V43" s="10" t="inlineStr">
        <is>
          <t>แบบ S201 (ตำแหน่ง) / ระดับรอยืนยัน</t>
        </is>
      </c>
    </row>
    <row r="44">
      <c r="A44" s="8" t="inlineStr">
        <is>
          <t>F2P-041</t>
        </is>
      </c>
      <c r="B44" s="8" t="inlineStr">
        <is>
          <t>F2P</t>
        </is>
      </c>
      <c r="C44" s="8" t="inlineStr">
        <is>
          <t>6/J</t>
        </is>
      </c>
      <c r="D44" s="9" t="n">
        <v>29.992</v>
      </c>
      <c r="E44" s="9" t="n">
        <v>54.013</v>
      </c>
      <c r="F44" s="9" t="n">
        <v>1.5</v>
      </c>
      <c r="G44" s="9" t="n">
        <v>0.6</v>
      </c>
      <c r="H44" s="9" t="n">
        <v>0.8</v>
      </c>
      <c r="I44" s="9" t="n">
        <v>-0.4</v>
      </c>
      <c r="J44" s="9" t="n">
        <v>-1.2</v>
      </c>
      <c r="K44" s="9" t="n">
        <v>-1.35</v>
      </c>
      <c r="L44" s="9" t="n">
        <v>1.35</v>
      </c>
      <c r="M44" s="8" t="n">
        <v>2</v>
      </c>
      <c r="N44" s="8" t="inlineStr">
        <is>
          <t>2x I-260 ยาว 22 ม.</t>
        </is>
      </c>
      <c r="O44" s="8">
        <f>F44*G44*H44</f>
        <v/>
      </c>
      <c r="P44" s="8">
        <f>2*(F44+G44)*H44</f>
        <v/>
      </c>
      <c r="Q44" s="8">
        <f>IF(L44&gt;0,(F44+2*0.1)*(G44+2*0.1)*L44,0)</f>
        <v/>
      </c>
      <c r="R44" s="8">
        <f>(F44+0.2)*(G44+0.2)*0.1</f>
        <v/>
      </c>
      <c r="S44" s="8">
        <f>(F44+0.2)*(G44+0.2)*0.05</f>
        <v/>
      </c>
      <c r="T44" s="8">
        <f>INDEX('2-ฐานราก เหล็กเสริม'!$S:$S,MATCH(B44,'2-ฐานราก เหล็กเสริม'!$A:$A,0))</f>
        <v/>
      </c>
      <c r="U44" s="8" t="inlineStr">
        <is>
          <t>M22</t>
        </is>
      </c>
      <c r="V44" s="10" t="inlineStr">
        <is>
          <t>แบบ S201 (ตำแหน่ง) / ระดับรอยืนยัน</t>
        </is>
      </c>
    </row>
    <row r="45">
      <c r="A45" s="8" t="inlineStr">
        <is>
          <t>F2P-042</t>
        </is>
      </c>
      <c r="B45" s="8" t="inlineStr">
        <is>
          <t>F2P</t>
        </is>
      </c>
      <c r="C45" s="8" t="inlineStr">
        <is>
          <t>7/J</t>
        </is>
      </c>
      <c r="D45" s="9" t="n">
        <v>35.989</v>
      </c>
      <c r="E45" s="9" t="n">
        <v>54.013</v>
      </c>
      <c r="F45" s="9" t="n">
        <v>0.6</v>
      </c>
      <c r="G45" s="9" t="n">
        <v>1.5</v>
      </c>
      <c r="H45" s="9" t="n">
        <v>0.8</v>
      </c>
      <c r="I45" s="9" t="n">
        <v>-0.4</v>
      </c>
      <c r="J45" s="9" t="n">
        <v>-1.2</v>
      </c>
      <c r="K45" s="9" t="n">
        <v>-1.35</v>
      </c>
      <c r="L45" s="9" t="n">
        <v>1.35</v>
      </c>
      <c r="M45" s="8" t="n">
        <v>2</v>
      </c>
      <c r="N45" s="8" t="inlineStr">
        <is>
          <t>2x I-260 ยาว 22 ม.</t>
        </is>
      </c>
      <c r="O45" s="8">
        <f>F45*G45*H45</f>
        <v/>
      </c>
      <c r="P45" s="8">
        <f>2*(F45+G45)*H45</f>
        <v/>
      </c>
      <c r="Q45" s="8">
        <f>IF(L45&gt;0,(F45+2*0.1)*(G45+2*0.1)*L45,0)</f>
        <v/>
      </c>
      <c r="R45" s="8">
        <f>(F45+0.2)*(G45+0.2)*0.1</f>
        <v/>
      </c>
      <c r="S45" s="8">
        <f>(F45+0.2)*(G45+0.2)*0.05</f>
        <v/>
      </c>
      <c r="T45" s="8">
        <f>INDEX('2-ฐานราก เหล็กเสริม'!$S:$S,MATCH(B45,'2-ฐานราก เหล็กเสริม'!$A:$A,0))</f>
        <v/>
      </c>
      <c r="U45" s="8" t="inlineStr">
        <is>
          <t>M22</t>
        </is>
      </c>
      <c r="V45" s="10" t="inlineStr">
        <is>
          <t>แบบ S201 (ตำแหน่ง) / ระดับรอยืนยัน</t>
        </is>
      </c>
    </row>
    <row r="46">
      <c r="A46" s="8" t="inlineStr">
        <is>
          <t>F2P-043</t>
        </is>
      </c>
      <c r="B46" s="8" t="inlineStr">
        <is>
          <t>F2P</t>
        </is>
      </c>
      <c r="C46" s="8" t="inlineStr">
        <is>
          <t>8/J</t>
        </is>
      </c>
      <c r="D46" s="9" t="n">
        <v>41.987</v>
      </c>
      <c r="E46" s="9" t="n">
        <v>54.013</v>
      </c>
      <c r="F46" s="9" t="n">
        <v>0.6</v>
      </c>
      <c r="G46" s="9" t="n">
        <v>1.5</v>
      </c>
      <c r="H46" s="9" t="n">
        <v>0.8</v>
      </c>
      <c r="I46" s="9" t="n">
        <v>-0.4</v>
      </c>
      <c r="J46" s="9" t="n">
        <v>-1.2</v>
      </c>
      <c r="K46" s="9" t="n">
        <v>-1.35</v>
      </c>
      <c r="L46" s="9" t="n">
        <v>1.35</v>
      </c>
      <c r="M46" s="8" t="n">
        <v>2</v>
      </c>
      <c r="N46" s="8" t="inlineStr">
        <is>
          <t>2x I-260 ยาว 22 ม.</t>
        </is>
      </c>
      <c r="O46" s="8">
        <f>F46*G46*H46</f>
        <v/>
      </c>
      <c r="P46" s="8">
        <f>2*(F46+G46)*H46</f>
        <v/>
      </c>
      <c r="Q46" s="8">
        <f>IF(L46&gt;0,(F46+2*0.1)*(G46+2*0.1)*L46,0)</f>
        <v/>
      </c>
      <c r="R46" s="8">
        <f>(F46+0.2)*(G46+0.2)*0.1</f>
        <v/>
      </c>
      <c r="S46" s="8">
        <f>(F46+0.2)*(G46+0.2)*0.05</f>
        <v/>
      </c>
      <c r="T46" s="8">
        <f>INDEX('2-ฐานราก เหล็กเสริม'!$S:$S,MATCH(B46,'2-ฐานราก เหล็กเสริม'!$A:$A,0))</f>
        <v/>
      </c>
      <c r="U46" s="8" t="inlineStr">
        <is>
          <t>M22</t>
        </is>
      </c>
      <c r="V46" s="10" t="inlineStr">
        <is>
          <t>แบบ S201 (ตำแหน่ง) / ระดับรอยืนยัน</t>
        </is>
      </c>
    </row>
    <row r="47">
      <c r="A47" s="8" t="inlineStr">
        <is>
          <t>F2P-044</t>
        </is>
      </c>
      <c r="B47" s="8" t="inlineStr">
        <is>
          <t>F2P</t>
        </is>
      </c>
      <c r="C47" s="8" t="inlineStr">
        <is>
          <t>9/J</t>
        </is>
      </c>
      <c r="D47" s="9" t="n">
        <v>47.991</v>
      </c>
      <c r="E47" s="9" t="n">
        <v>54.013</v>
      </c>
      <c r="F47" s="9" t="n">
        <v>0.6</v>
      </c>
      <c r="G47" s="9" t="n">
        <v>1.5</v>
      </c>
      <c r="H47" s="9" t="n">
        <v>0.8</v>
      </c>
      <c r="I47" s="9" t="n">
        <v>-0.4</v>
      </c>
      <c r="J47" s="9" t="n">
        <v>-1.2</v>
      </c>
      <c r="K47" s="9" t="n">
        <v>-1.35</v>
      </c>
      <c r="L47" s="9" t="n">
        <v>1.35</v>
      </c>
      <c r="M47" s="8" t="n">
        <v>2</v>
      </c>
      <c r="N47" s="8" t="inlineStr">
        <is>
          <t>2x I-260 ยาว 22 ม.</t>
        </is>
      </c>
      <c r="O47" s="8">
        <f>F47*G47*H47</f>
        <v/>
      </c>
      <c r="P47" s="8">
        <f>2*(F47+G47)*H47</f>
        <v/>
      </c>
      <c r="Q47" s="8">
        <f>IF(L47&gt;0,(F47+2*0.1)*(G47+2*0.1)*L47,0)</f>
        <v/>
      </c>
      <c r="R47" s="8">
        <f>(F47+0.2)*(G47+0.2)*0.1</f>
        <v/>
      </c>
      <c r="S47" s="8">
        <f>(F47+0.2)*(G47+0.2)*0.05</f>
        <v/>
      </c>
      <c r="T47" s="8">
        <f>INDEX('2-ฐานราก เหล็กเสริม'!$S:$S,MATCH(B47,'2-ฐานราก เหล็กเสริม'!$A:$A,0))</f>
        <v/>
      </c>
      <c r="U47" s="8" t="inlineStr">
        <is>
          <t>M22</t>
        </is>
      </c>
      <c r="V47" s="10" t="inlineStr">
        <is>
          <t>แบบ S201 (ตำแหน่ง) / ระดับรอยืนยัน</t>
        </is>
      </c>
    </row>
    <row r="48">
      <c r="A48" s="8" t="inlineStr">
        <is>
          <t>F2P-045</t>
        </is>
      </c>
      <c r="B48" s="8" t="inlineStr">
        <is>
          <t>F2P</t>
        </is>
      </c>
      <c r="C48" s="8" t="inlineStr">
        <is>
          <t>10/J</t>
        </is>
      </c>
      <c r="D48" s="9" t="n">
        <v>53.995</v>
      </c>
      <c r="E48" s="9" t="n">
        <v>54.013</v>
      </c>
      <c r="F48" s="9" t="n">
        <v>0.6</v>
      </c>
      <c r="G48" s="9" t="n">
        <v>1.5</v>
      </c>
      <c r="H48" s="9" t="n">
        <v>0.8</v>
      </c>
      <c r="I48" s="9" t="n">
        <v>-0.4</v>
      </c>
      <c r="J48" s="9" t="n">
        <v>-1.2</v>
      </c>
      <c r="K48" s="9" t="n">
        <v>-1.35</v>
      </c>
      <c r="L48" s="9" t="n">
        <v>1.35</v>
      </c>
      <c r="M48" s="8" t="n">
        <v>2</v>
      </c>
      <c r="N48" s="8" t="inlineStr">
        <is>
          <t>2x I-260 ยาว 22 ม.</t>
        </is>
      </c>
      <c r="O48" s="8">
        <f>F48*G48*H48</f>
        <v/>
      </c>
      <c r="P48" s="8">
        <f>2*(F48+G48)*H48</f>
        <v/>
      </c>
      <c r="Q48" s="8">
        <f>IF(L48&gt;0,(F48+2*0.1)*(G48+2*0.1)*L48,0)</f>
        <v/>
      </c>
      <c r="R48" s="8">
        <f>(F48+0.2)*(G48+0.2)*0.1</f>
        <v/>
      </c>
      <c r="S48" s="8">
        <f>(F48+0.2)*(G48+0.2)*0.05</f>
        <v/>
      </c>
      <c r="T48" s="8">
        <f>INDEX('2-ฐานราก เหล็กเสริม'!$S:$S,MATCH(B48,'2-ฐานราก เหล็กเสริม'!$A:$A,0))</f>
        <v/>
      </c>
      <c r="U48" s="8" t="inlineStr">
        <is>
          <t>M22</t>
        </is>
      </c>
      <c r="V48" s="10" t="inlineStr">
        <is>
          <t>แบบ S201 (ตำแหน่ง) / ระดับรอยืนยัน</t>
        </is>
      </c>
    </row>
    <row r="49">
      <c r="A49" s="8" t="inlineStr">
        <is>
          <t>F2P-046</t>
        </is>
      </c>
      <c r="B49" s="8" t="inlineStr">
        <is>
          <t>F2P</t>
        </is>
      </c>
      <c r="C49" s="8" t="inlineStr">
        <is>
          <t>11/J</t>
        </is>
      </c>
      <c r="D49" s="9" t="n">
        <v>59.993</v>
      </c>
      <c r="E49" s="9" t="n">
        <v>54.013</v>
      </c>
      <c r="F49" s="9" t="n">
        <v>1.5</v>
      </c>
      <c r="G49" s="9" t="n">
        <v>0.6</v>
      </c>
      <c r="H49" s="9" t="n">
        <v>0.8</v>
      </c>
      <c r="I49" s="9" t="n">
        <v>-0.4</v>
      </c>
      <c r="J49" s="9" t="n">
        <v>-1.2</v>
      </c>
      <c r="K49" s="9" t="n">
        <v>-1.35</v>
      </c>
      <c r="L49" s="9" t="n">
        <v>1.35</v>
      </c>
      <c r="M49" s="8" t="n">
        <v>2</v>
      </c>
      <c r="N49" s="8" t="inlineStr">
        <is>
          <t>2x I-260 ยาว 22 ม.</t>
        </is>
      </c>
      <c r="O49" s="8">
        <f>F49*G49*H49</f>
        <v/>
      </c>
      <c r="P49" s="8">
        <f>2*(F49+G49)*H49</f>
        <v/>
      </c>
      <c r="Q49" s="8">
        <f>IF(L49&gt;0,(F49+2*0.1)*(G49+2*0.1)*L49,0)</f>
        <v/>
      </c>
      <c r="R49" s="8">
        <f>(F49+0.2)*(G49+0.2)*0.1</f>
        <v/>
      </c>
      <c r="S49" s="8">
        <f>(F49+0.2)*(G49+0.2)*0.05</f>
        <v/>
      </c>
      <c r="T49" s="8">
        <f>INDEX('2-ฐานราก เหล็กเสริม'!$S:$S,MATCH(B49,'2-ฐานราก เหล็กเสริม'!$A:$A,0))</f>
        <v/>
      </c>
      <c r="U49" s="8" t="inlineStr">
        <is>
          <t>M22</t>
        </is>
      </c>
      <c r="V49" s="10" t="inlineStr">
        <is>
          <t>แบบ S201 (ตำแหน่ง) / ระดับรอยืนยัน</t>
        </is>
      </c>
    </row>
    <row r="50">
      <c r="A50" s="8" t="inlineStr">
        <is>
          <t>F1P-001</t>
        </is>
      </c>
      <c r="B50" s="8" t="inlineStr">
        <is>
          <t>F1P</t>
        </is>
      </c>
      <c r="C50" s="8" t="inlineStr">
        <is>
          <t>1+1.49/A+1.51</t>
        </is>
      </c>
      <c r="D50" s="9" t="n">
        <v>1.487</v>
      </c>
      <c r="E50" s="9" t="n">
        <v>1.511</v>
      </c>
      <c r="F50" s="9" t="n">
        <v>1</v>
      </c>
      <c r="G50" s="9" t="n">
        <v>1</v>
      </c>
      <c r="H50" s="9" t="n">
        <v>0.2</v>
      </c>
      <c r="I50" s="9" t="n">
        <v>0.3</v>
      </c>
      <c r="J50" s="9" t="n">
        <v>0.1</v>
      </c>
      <c r="K50" s="9" t="n">
        <v>-0.05</v>
      </c>
      <c r="L50" s="9" t="n">
        <v>0.05</v>
      </c>
      <c r="M50" s="8" t="n">
        <v>1</v>
      </c>
      <c r="N50" s="8" t="inlineStr">
        <is>
          <t>1x I-350 ยาว 22 ม.</t>
        </is>
      </c>
      <c r="O50" s="8">
        <f>F50*G50*H50</f>
        <v/>
      </c>
      <c r="P50" s="8">
        <f>2*(F50+G50)*H50</f>
        <v/>
      </c>
      <c r="Q50" s="8">
        <f>IF(L50&gt;0,(F50+2*0.1)*(G50+2*0.1)*L50,0)</f>
        <v/>
      </c>
      <c r="R50" s="8">
        <f>(F50+0.2)*(G50+0.2)*0.1</f>
        <v/>
      </c>
      <c r="S50" s="8">
        <f>(F50+0.2)*(G50+0.2)*0.05</f>
        <v/>
      </c>
      <c r="T50" s="8">
        <f>INDEX('2-ฐานราก เหล็กเสริม'!$S:$S,MATCH(B50,'2-ฐานราก เหล็กเสริม'!$A:$A,0))</f>
        <v/>
      </c>
      <c r="U50" s="8" t="inlineStr">
        <is>
          <t>M24</t>
        </is>
      </c>
      <c r="V50" s="10" t="inlineStr">
        <is>
          <t>แบบ S201 (ตำแหน่ง) / ระดับรอยืนยัน</t>
        </is>
      </c>
    </row>
    <row r="51">
      <c r="A51" s="8" t="inlineStr">
        <is>
          <t>F1P-002</t>
        </is>
      </c>
      <c r="B51" s="8" t="inlineStr">
        <is>
          <t>F1P</t>
        </is>
      </c>
      <c r="C51" s="8" t="inlineStr">
        <is>
          <t>2-1.51/A+1.51</t>
        </is>
      </c>
      <c r="D51" s="9" t="n">
        <v>4.485</v>
      </c>
      <c r="E51" s="9" t="n">
        <v>1.511</v>
      </c>
      <c r="F51" s="9" t="n">
        <v>1</v>
      </c>
      <c r="G51" s="9" t="n">
        <v>1</v>
      </c>
      <c r="H51" s="9" t="n">
        <v>0.2</v>
      </c>
      <c r="I51" s="9" t="n">
        <v>0.3</v>
      </c>
      <c r="J51" s="9" t="n">
        <v>0.1</v>
      </c>
      <c r="K51" s="9" t="n">
        <v>-0.05</v>
      </c>
      <c r="L51" s="9" t="n">
        <v>0.05</v>
      </c>
      <c r="M51" s="8" t="n">
        <v>1</v>
      </c>
      <c r="N51" s="8" t="inlineStr">
        <is>
          <t>1x I-350 ยาว 22 ม.</t>
        </is>
      </c>
      <c r="O51" s="8">
        <f>F51*G51*H51</f>
        <v/>
      </c>
      <c r="P51" s="8">
        <f>2*(F51+G51)*H51</f>
        <v/>
      </c>
      <c r="Q51" s="8">
        <f>IF(L51&gt;0,(F51+2*0.1)*(G51+2*0.1)*L51,0)</f>
        <v/>
      </c>
      <c r="R51" s="8">
        <f>(F51+0.2)*(G51+0.2)*0.1</f>
        <v/>
      </c>
      <c r="S51" s="8">
        <f>(F51+0.2)*(G51+0.2)*0.05</f>
        <v/>
      </c>
      <c r="T51" s="8">
        <f>INDEX('2-ฐานราก เหล็กเสริม'!$S:$S,MATCH(B51,'2-ฐานราก เหล็กเสริม'!$A:$A,0))</f>
        <v/>
      </c>
      <c r="U51" s="8" t="inlineStr">
        <is>
          <t>M24</t>
        </is>
      </c>
      <c r="V51" s="10" t="inlineStr">
        <is>
          <t>แบบ S201 (ตำแหน่ง) / ระดับรอยืนยัน</t>
        </is>
      </c>
    </row>
    <row r="52">
      <c r="A52" s="8" t="inlineStr">
        <is>
          <t>F1P-003</t>
        </is>
      </c>
      <c r="B52" s="8" t="inlineStr">
        <is>
          <t>F1P</t>
        </is>
      </c>
      <c r="C52" s="8" t="inlineStr">
        <is>
          <t>2+1.49/A+1.51</t>
        </is>
      </c>
      <c r="D52" s="9" t="n">
        <v>7.491</v>
      </c>
      <c r="E52" s="9" t="n">
        <v>1.511</v>
      </c>
      <c r="F52" s="9" t="n">
        <v>1</v>
      </c>
      <c r="G52" s="9" t="n">
        <v>1</v>
      </c>
      <c r="H52" s="9" t="n">
        <v>0.2</v>
      </c>
      <c r="I52" s="9" t="n">
        <v>0.3</v>
      </c>
      <c r="J52" s="9" t="n">
        <v>0.1</v>
      </c>
      <c r="K52" s="9" t="n">
        <v>-0.05</v>
      </c>
      <c r="L52" s="9" t="n">
        <v>0.05</v>
      </c>
      <c r="M52" s="8" t="n">
        <v>1</v>
      </c>
      <c r="N52" s="8" t="inlineStr">
        <is>
          <t>1x I-350 ยาว 22 ม.</t>
        </is>
      </c>
      <c r="O52" s="8">
        <f>F52*G52*H52</f>
        <v/>
      </c>
      <c r="P52" s="8">
        <f>2*(F52+G52)*H52</f>
        <v/>
      </c>
      <c r="Q52" s="8">
        <f>IF(L52&gt;0,(F52+2*0.1)*(G52+2*0.1)*L52,0)</f>
        <v/>
      </c>
      <c r="R52" s="8">
        <f>(F52+0.2)*(G52+0.2)*0.1</f>
        <v/>
      </c>
      <c r="S52" s="8">
        <f>(F52+0.2)*(G52+0.2)*0.05</f>
        <v/>
      </c>
      <c r="T52" s="8">
        <f>INDEX('2-ฐานราก เหล็กเสริม'!$S:$S,MATCH(B52,'2-ฐานราก เหล็กเสริม'!$A:$A,0))</f>
        <v/>
      </c>
      <c r="U52" s="8" t="inlineStr">
        <is>
          <t>M24</t>
        </is>
      </c>
      <c r="V52" s="10" t="inlineStr">
        <is>
          <t>แบบ S201 (ตำแหน่ง) / ระดับรอยืนยัน</t>
        </is>
      </c>
    </row>
    <row r="53">
      <c r="A53" s="8" t="inlineStr">
        <is>
          <t>F1P-004</t>
        </is>
      </c>
      <c r="B53" s="8" t="inlineStr">
        <is>
          <t>F1P</t>
        </is>
      </c>
      <c r="C53" s="8" t="inlineStr">
        <is>
          <t>3-1.51/A+1.51</t>
        </is>
      </c>
      <c r="D53" s="9" t="n">
        <v>10.49</v>
      </c>
      <c r="E53" s="9" t="n">
        <v>1.511</v>
      </c>
      <c r="F53" s="9" t="n">
        <v>1</v>
      </c>
      <c r="G53" s="9" t="n">
        <v>1</v>
      </c>
      <c r="H53" s="9" t="n">
        <v>0.2</v>
      </c>
      <c r="I53" s="9" t="n">
        <v>0.3</v>
      </c>
      <c r="J53" s="9" t="n">
        <v>0.1</v>
      </c>
      <c r="K53" s="9" t="n">
        <v>-0.05</v>
      </c>
      <c r="L53" s="9" t="n">
        <v>0.05</v>
      </c>
      <c r="M53" s="8" t="n">
        <v>1</v>
      </c>
      <c r="N53" s="8" t="inlineStr">
        <is>
          <t>1x I-350 ยาว 22 ม.</t>
        </is>
      </c>
      <c r="O53" s="8">
        <f>F53*G53*H53</f>
        <v/>
      </c>
      <c r="P53" s="8">
        <f>2*(F53+G53)*H53</f>
        <v/>
      </c>
      <c r="Q53" s="8">
        <f>IF(L53&gt;0,(F53+2*0.1)*(G53+2*0.1)*L53,0)</f>
        <v/>
      </c>
      <c r="R53" s="8">
        <f>(F53+0.2)*(G53+0.2)*0.1</f>
        <v/>
      </c>
      <c r="S53" s="8">
        <f>(F53+0.2)*(G53+0.2)*0.05</f>
        <v/>
      </c>
      <c r="T53" s="8">
        <f>INDEX('2-ฐานราก เหล็กเสริม'!$S:$S,MATCH(B53,'2-ฐานราก เหล็กเสริม'!$A:$A,0))</f>
        <v/>
      </c>
      <c r="U53" s="8" t="inlineStr">
        <is>
          <t>M24</t>
        </is>
      </c>
      <c r="V53" s="10" t="inlineStr">
        <is>
          <t>แบบ S201 (ตำแหน่ง) / ระดับรอยืนยัน</t>
        </is>
      </c>
    </row>
    <row r="54">
      <c r="A54" s="8" t="inlineStr">
        <is>
          <t>F1P-005</t>
        </is>
      </c>
      <c r="B54" s="8" t="inlineStr">
        <is>
          <t>F1P</t>
        </is>
      </c>
      <c r="C54" s="8" t="inlineStr">
        <is>
          <t>3+1.49/A+1.51</t>
        </is>
      </c>
      <c r="D54" s="9" t="n">
        <v>13.488</v>
      </c>
      <c r="E54" s="9" t="n">
        <v>1.511</v>
      </c>
      <c r="F54" s="9" t="n">
        <v>1</v>
      </c>
      <c r="G54" s="9" t="n">
        <v>1</v>
      </c>
      <c r="H54" s="9" t="n">
        <v>0.2</v>
      </c>
      <c r="I54" s="9" t="n">
        <v>0.3</v>
      </c>
      <c r="J54" s="9" t="n">
        <v>0.1</v>
      </c>
      <c r="K54" s="9" t="n">
        <v>-0.05</v>
      </c>
      <c r="L54" s="9" t="n">
        <v>0.05</v>
      </c>
      <c r="M54" s="8" t="n">
        <v>1</v>
      </c>
      <c r="N54" s="8" t="inlineStr">
        <is>
          <t>1x I-350 ยาว 22 ม.</t>
        </is>
      </c>
      <c r="O54" s="8">
        <f>F54*G54*H54</f>
        <v/>
      </c>
      <c r="P54" s="8">
        <f>2*(F54+G54)*H54</f>
        <v/>
      </c>
      <c r="Q54" s="8">
        <f>IF(L54&gt;0,(F54+2*0.1)*(G54+2*0.1)*L54,0)</f>
        <v/>
      </c>
      <c r="R54" s="8">
        <f>(F54+0.2)*(G54+0.2)*0.1</f>
        <v/>
      </c>
      <c r="S54" s="8">
        <f>(F54+0.2)*(G54+0.2)*0.05</f>
        <v/>
      </c>
      <c r="T54" s="8">
        <f>INDEX('2-ฐานราก เหล็กเสริม'!$S:$S,MATCH(B54,'2-ฐานราก เหล็กเสริม'!$A:$A,0))</f>
        <v/>
      </c>
      <c r="U54" s="8" t="inlineStr">
        <is>
          <t>M24</t>
        </is>
      </c>
      <c r="V54" s="10" t="inlineStr">
        <is>
          <t>แบบ S201 (ตำแหน่ง) / ระดับรอยืนยัน</t>
        </is>
      </c>
    </row>
    <row r="55">
      <c r="A55" s="8" t="inlineStr">
        <is>
          <t>F1P-006</t>
        </is>
      </c>
      <c r="B55" s="8" t="inlineStr">
        <is>
          <t>F1P</t>
        </is>
      </c>
      <c r="C55" s="8" t="inlineStr">
        <is>
          <t>4-1.51/A+1.51</t>
        </is>
      </c>
      <c r="D55" s="9" t="n">
        <v>16.487</v>
      </c>
      <c r="E55" s="9" t="n">
        <v>1.511</v>
      </c>
      <c r="F55" s="9" t="n">
        <v>1</v>
      </c>
      <c r="G55" s="9" t="n">
        <v>1</v>
      </c>
      <c r="H55" s="9" t="n">
        <v>0.2</v>
      </c>
      <c r="I55" s="9" t="n">
        <v>0.3</v>
      </c>
      <c r="J55" s="9" t="n">
        <v>0.1</v>
      </c>
      <c r="K55" s="9" t="n">
        <v>-0.05</v>
      </c>
      <c r="L55" s="9" t="n">
        <v>0.05</v>
      </c>
      <c r="M55" s="8" t="n">
        <v>1</v>
      </c>
      <c r="N55" s="8" t="inlineStr">
        <is>
          <t>1x I-350 ยาว 22 ม.</t>
        </is>
      </c>
      <c r="O55" s="8">
        <f>F55*G55*H55</f>
        <v/>
      </c>
      <c r="P55" s="8">
        <f>2*(F55+G55)*H55</f>
        <v/>
      </c>
      <c r="Q55" s="8">
        <f>IF(L55&gt;0,(F55+2*0.1)*(G55+2*0.1)*L55,0)</f>
        <v/>
      </c>
      <c r="R55" s="8">
        <f>(F55+0.2)*(G55+0.2)*0.1</f>
        <v/>
      </c>
      <c r="S55" s="8">
        <f>(F55+0.2)*(G55+0.2)*0.05</f>
        <v/>
      </c>
      <c r="T55" s="8">
        <f>INDEX('2-ฐานราก เหล็กเสริม'!$S:$S,MATCH(B55,'2-ฐานราก เหล็กเสริม'!$A:$A,0))</f>
        <v/>
      </c>
      <c r="U55" s="8" t="inlineStr">
        <is>
          <t>M24</t>
        </is>
      </c>
      <c r="V55" s="10" t="inlineStr">
        <is>
          <t>แบบ S201 (ตำแหน่ง) / ระดับรอยืนยัน</t>
        </is>
      </c>
    </row>
    <row r="56">
      <c r="A56" s="8" t="inlineStr">
        <is>
          <t>F1P-007</t>
        </is>
      </c>
      <c r="B56" s="8" t="inlineStr">
        <is>
          <t>F1P</t>
        </is>
      </c>
      <c r="C56" s="8" t="inlineStr">
        <is>
          <t>4+1.49/A+1.51</t>
        </is>
      </c>
      <c r="D56" s="9" t="n">
        <v>19.486</v>
      </c>
      <c r="E56" s="9" t="n">
        <v>1.511</v>
      </c>
      <c r="F56" s="9" t="n">
        <v>1</v>
      </c>
      <c r="G56" s="9" t="n">
        <v>1</v>
      </c>
      <c r="H56" s="9" t="n">
        <v>0.2</v>
      </c>
      <c r="I56" s="9" t="n">
        <v>0.3</v>
      </c>
      <c r="J56" s="9" t="n">
        <v>0.1</v>
      </c>
      <c r="K56" s="9" t="n">
        <v>-0.05</v>
      </c>
      <c r="L56" s="9" t="n">
        <v>0.05</v>
      </c>
      <c r="M56" s="8" t="n">
        <v>1</v>
      </c>
      <c r="N56" s="8" t="inlineStr">
        <is>
          <t>1x I-350 ยาว 22 ม.</t>
        </is>
      </c>
      <c r="O56" s="8">
        <f>F56*G56*H56</f>
        <v/>
      </c>
      <c r="P56" s="8">
        <f>2*(F56+G56)*H56</f>
        <v/>
      </c>
      <c r="Q56" s="8">
        <f>IF(L56&gt;0,(F56+2*0.1)*(G56+2*0.1)*L56,0)</f>
        <v/>
      </c>
      <c r="R56" s="8">
        <f>(F56+0.2)*(G56+0.2)*0.1</f>
        <v/>
      </c>
      <c r="S56" s="8">
        <f>(F56+0.2)*(G56+0.2)*0.05</f>
        <v/>
      </c>
      <c r="T56" s="8">
        <f>INDEX('2-ฐานราก เหล็กเสริม'!$S:$S,MATCH(B56,'2-ฐานราก เหล็กเสริม'!$A:$A,0))</f>
        <v/>
      </c>
      <c r="U56" s="8" t="inlineStr">
        <is>
          <t>M24</t>
        </is>
      </c>
      <c r="V56" s="10" t="inlineStr">
        <is>
          <t>แบบ S201 (ตำแหน่ง) / ระดับรอยืนยัน</t>
        </is>
      </c>
    </row>
    <row r="57">
      <c r="A57" s="8" t="inlineStr">
        <is>
          <t>F1P-008</t>
        </is>
      </c>
      <c r="B57" s="8" t="inlineStr">
        <is>
          <t>F1P</t>
        </is>
      </c>
      <c r="C57" s="8" t="inlineStr">
        <is>
          <t>5-1.51/A+1.51</t>
        </is>
      </c>
      <c r="D57" s="9" t="n">
        <v>22.491</v>
      </c>
      <c r="E57" s="9" t="n">
        <v>1.511</v>
      </c>
      <c r="F57" s="9" t="n">
        <v>1</v>
      </c>
      <c r="G57" s="9" t="n">
        <v>1</v>
      </c>
      <c r="H57" s="9" t="n">
        <v>0.2</v>
      </c>
      <c r="I57" s="9" t="n">
        <v>0.3</v>
      </c>
      <c r="J57" s="9" t="n">
        <v>0.1</v>
      </c>
      <c r="K57" s="9" t="n">
        <v>-0.05</v>
      </c>
      <c r="L57" s="9" t="n">
        <v>0.05</v>
      </c>
      <c r="M57" s="8" t="n">
        <v>1</v>
      </c>
      <c r="N57" s="8" t="inlineStr">
        <is>
          <t>1x I-350 ยาว 22 ม.</t>
        </is>
      </c>
      <c r="O57" s="8">
        <f>F57*G57*H57</f>
        <v/>
      </c>
      <c r="P57" s="8">
        <f>2*(F57+G57)*H57</f>
        <v/>
      </c>
      <c r="Q57" s="8">
        <f>IF(L57&gt;0,(F57+2*0.1)*(G57+2*0.1)*L57,0)</f>
        <v/>
      </c>
      <c r="R57" s="8">
        <f>(F57+0.2)*(G57+0.2)*0.1</f>
        <v/>
      </c>
      <c r="S57" s="8">
        <f>(F57+0.2)*(G57+0.2)*0.05</f>
        <v/>
      </c>
      <c r="T57" s="8">
        <f>INDEX('2-ฐานราก เหล็กเสริม'!$S:$S,MATCH(B57,'2-ฐานราก เหล็กเสริม'!$A:$A,0))</f>
        <v/>
      </c>
      <c r="U57" s="8" t="inlineStr">
        <is>
          <t>M24</t>
        </is>
      </c>
      <c r="V57" s="10" t="inlineStr">
        <is>
          <t>แบบ S201 (ตำแหน่ง) / ระดับรอยืนยัน</t>
        </is>
      </c>
    </row>
    <row r="58">
      <c r="A58" s="8" t="inlineStr">
        <is>
          <t>F1P-009</t>
        </is>
      </c>
      <c r="B58" s="8" t="inlineStr">
        <is>
          <t>F1P</t>
        </is>
      </c>
      <c r="C58" s="8" t="inlineStr">
        <is>
          <t>5+1.49/A+1.51</t>
        </is>
      </c>
      <c r="D58" s="9" t="n">
        <v>25.49</v>
      </c>
      <c r="E58" s="9" t="n">
        <v>1.511</v>
      </c>
      <c r="F58" s="9" t="n">
        <v>1</v>
      </c>
      <c r="G58" s="9" t="n">
        <v>1</v>
      </c>
      <c r="H58" s="9" t="n">
        <v>0.2</v>
      </c>
      <c r="I58" s="9" t="n">
        <v>0.3</v>
      </c>
      <c r="J58" s="9" t="n">
        <v>0.1</v>
      </c>
      <c r="K58" s="9" t="n">
        <v>-0.05</v>
      </c>
      <c r="L58" s="9" t="n">
        <v>0.05</v>
      </c>
      <c r="M58" s="8" t="n">
        <v>1</v>
      </c>
      <c r="N58" s="8" t="inlineStr">
        <is>
          <t>1x I-350 ยาว 22 ม.</t>
        </is>
      </c>
      <c r="O58" s="8">
        <f>F58*G58*H58</f>
        <v/>
      </c>
      <c r="P58" s="8">
        <f>2*(F58+G58)*H58</f>
        <v/>
      </c>
      <c r="Q58" s="8">
        <f>IF(L58&gt;0,(F58+2*0.1)*(G58+2*0.1)*L58,0)</f>
        <v/>
      </c>
      <c r="R58" s="8">
        <f>(F58+0.2)*(G58+0.2)*0.1</f>
        <v/>
      </c>
      <c r="S58" s="8">
        <f>(F58+0.2)*(G58+0.2)*0.05</f>
        <v/>
      </c>
      <c r="T58" s="8">
        <f>INDEX('2-ฐานราก เหล็กเสริม'!$S:$S,MATCH(B58,'2-ฐานราก เหล็กเสริม'!$A:$A,0))</f>
        <v/>
      </c>
      <c r="U58" s="8" t="inlineStr">
        <is>
          <t>M24</t>
        </is>
      </c>
      <c r="V58" s="10" t="inlineStr">
        <is>
          <t>แบบ S201 (ตำแหน่ง) / ระดับรอยืนยัน</t>
        </is>
      </c>
    </row>
    <row r="59">
      <c r="A59" s="8" t="inlineStr">
        <is>
          <t>F1P-010</t>
        </is>
      </c>
      <c r="B59" s="8" t="inlineStr">
        <is>
          <t>F1P</t>
        </is>
      </c>
      <c r="C59" s="8" t="inlineStr">
        <is>
          <t>6-1.51/A+1.51</t>
        </is>
      </c>
      <c r="D59" s="9" t="n">
        <v>28.489</v>
      </c>
      <c r="E59" s="9" t="n">
        <v>1.511</v>
      </c>
      <c r="F59" s="9" t="n">
        <v>1</v>
      </c>
      <c r="G59" s="9" t="n">
        <v>1</v>
      </c>
      <c r="H59" s="9" t="n">
        <v>0.2</v>
      </c>
      <c r="I59" s="9" t="n">
        <v>0.3</v>
      </c>
      <c r="J59" s="9" t="n">
        <v>0.1</v>
      </c>
      <c r="K59" s="9" t="n">
        <v>-0.05</v>
      </c>
      <c r="L59" s="9" t="n">
        <v>0.05</v>
      </c>
      <c r="M59" s="8" t="n">
        <v>1</v>
      </c>
      <c r="N59" s="8" t="inlineStr">
        <is>
          <t>1x I-350 ยาว 22 ม.</t>
        </is>
      </c>
      <c r="O59" s="8">
        <f>F59*G59*H59</f>
        <v/>
      </c>
      <c r="P59" s="8">
        <f>2*(F59+G59)*H59</f>
        <v/>
      </c>
      <c r="Q59" s="8">
        <f>IF(L59&gt;0,(F59+2*0.1)*(G59+2*0.1)*L59,0)</f>
        <v/>
      </c>
      <c r="R59" s="8">
        <f>(F59+0.2)*(G59+0.2)*0.1</f>
        <v/>
      </c>
      <c r="S59" s="8">
        <f>(F59+0.2)*(G59+0.2)*0.05</f>
        <v/>
      </c>
      <c r="T59" s="8">
        <f>INDEX('2-ฐานราก เหล็กเสริม'!$S:$S,MATCH(B59,'2-ฐานราก เหล็กเสริม'!$A:$A,0))</f>
        <v/>
      </c>
      <c r="U59" s="8" t="inlineStr">
        <is>
          <t>M24</t>
        </is>
      </c>
      <c r="V59" s="10" t="inlineStr">
        <is>
          <t>แบบ S201 (ตำแหน่ง) / ระดับรอยืนยัน</t>
        </is>
      </c>
    </row>
    <row r="60">
      <c r="A60" s="8" t="inlineStr">
        <is>
          <t>F1P-011</t>
        </is>
      </c>
      <c r="B60" s="8" t="inlineStr">
        <is>
          <t>F1P</t>
        </is>
      </c>
      <c r="C60" s="8" t="inlineStr">
        <is>
          <t>6+1.49/A+1.51</t>
        </is>
      </c>
      <c r="D60" s="9" t="n">
        <v>31.488</v>
      </c>
      <c r="E60" s="9" t="n">
        <v>1.511</v>
      </c>
      <c r="F60" s="9" t="n">
        <v>1</v>
      </c>
      <c r="G60" s="9" t="n">
        <v>1</v>
      </c>
      <c r="H60" s="9" t="n">
        <v>0.2</v>
      </c>
      <c r="I60" s="9" t="n">
        <v>0.3</v>
      </c>
      <c r="J60" s="9" t="n">
        <v>0.1</v>
      </c>
      <c r="K60" s="9" t="n">
        <v>-0.05</v>
      </c>
      <c r="L60" s="9" t="n">
        <v>0.05</v>
      </c>
      <c r="M60" s="8" t="n">
        <v>1</v>
      </c>
      <c r="N60" s="8" t="inlineStr">
        <is>
          <t>1x I-350 ยาว 22 ม.</t>
        </is>
      </c>
      <c r="O60" s="8">
        <f>F60*G60*H60</f>
        <v/>
      </c>
      <c r="P60" s="8">
        <f>2*(F60+G60)*H60</f>
        <v/>
      </c>
      <c r="Q60" s="8">
        <f>IF(L60&gt;0,(F60+2*0.1)*(G60+2*0.1)*L60,0)</f>
        <v/>
      </c>
      <c r="R60" s="8">
        <f>(F60+0.2)*(G60+0.2)*0.1</f>
        <v/>
      </c>
      <c r="S60" s="8">
        <f>(F60+0.2)*(G60+0.2)*0.05</f>
        <v/>
      </c>
      <c r="T60" s="8">
        <f>INDEX('2-ฐานราก เหล็กเสริม'!$S:$S,MATCH(B60,'2-ฐานราก เหล็กเสริม'!$A:$A,0))</f>
        <v/>
      </c>
      <c r="U60" s="8" t="inlineStr">
        <is>
          <t>M24</t>
        </is>
      </c>
      <c r="V60" s="10" t="inlineStr">
        <is>
          <t>แบบ S201 (ตำแหน่ง) / ระดับรอยืนยัน</t>
        </is>
      </c>
    </row>
    <row r="61">
      <c r="A61" s="8" t="inlineStr">
        <is>
          <t>F1P-012</t>
        </is>
      </c>
      <c r="B61" s="8" t="inlineStr">
        <is>
          <t>F1P</t>
        </is>
      </c>
      <c r="C61" s="8" t="inlineStr">
        <is>
          <t>7-1.51/A+1.51</t>
        </is>
      </c>
      <c r="D61" s="9" t="n">
        <v>34.493</v>
      </c>
      <c r="E61" s="9" t="n">
        <v>1.511</v>
      </c>
      <c r="F61" s="9" t="n">
        <v>1</v>
      </c>
      <c r="G61" s="9" t="n">
        <v>1</v>
      </c>
      <c r="H61" s="9" t="n">
        <v>0.2</v>
      </c>
      <c r="I61" s="9" t="n">
        <v>0.3</v>
      </c>
      <c r="J61" s="9" t="n">
        <v>0.1</v>
      </c>
      <c r="K61" s="9" t="n">
        <v>-0.05</v>
      </c>
      <c r="L61" s="9" t="n">
        <v>0.05</v>
      </c>
      <c r="M61" s="8" t="n">
        <v>1</v>
      </c>
      <c r="N61" s="8" t="inlineStr">
        <is>
          <t>1x I-350 ยาว 22 ม.</t>
        </is>
      </c>
      <c r="O61" s="8">
        <f>F61*G61*H61</f>
        <v/>
      </c>
      <c r="P61" s="8">
        <f>2*(F61+G61)*H61</f>
        <v/>
      </c>
      <c r="Q61" s="8">
        <f>IF(L61&gt;0,(F61+2*0.1)*(G61+2*0.1)*L61,0)</f>
        <v/>
      </c>
      <c r="R61" s="8">
        <f>(F61+0.2)*(G61+0.2)*0.1</f>
        <v/>
      </c>
      <c r="S61" s="8">
        <f>(F61+0.2)*(G61+0.2)*0.05</f>
        <v/>
      </c>
      <c r="T61" s="8">
        <f>INDEX('2-ฐานราก เหล็กเสริม'!$S:$S,MATCH(B61,'2-ฐานราก เหล็กเสริม'!$A:$A,0))</f>
        <v/>
      </c>
      <c r="U61" s="8" t="inlineStr">
        <is>
          <t>M24</t>
        </is>
      </c>
      <c r="V61" s="10" t="inlineStr">
        <is>
          <t>แบบ S201 (ตำแหน่ง) / ระดับรอยืนยัน</t>
        </is>
      </c>
    </row>
    <row r="62">
      <c r="A62" s="8" t="inlineStr">
        <is>
          <t>F1P-013</t>
        </is>
      </c>
      <c r="B62" s="8" t="inlineStr">
        <is>
          <t>F1P</t>
        </is>
      </c>
      <c r="C62" s="8" t="inlineStr">
        <is>
          <t>7+1.49/A+1.51</t>
        </is>
      </c>
      <c r="D62" s="9" t="n">
        <v>37.492</v>
      </c>
      <c r="E62" s="9" t="n">
        <v>1.511</v>
      </c>
      <c r="F62" s="9" t="n">
        <v>1</v>
      </c>
      <c r="G62" s="9" t="n">
        <v>1</v>
      </c>
      <c r="H62" s="9" t="n">
        <v>0.2</v>
      </c>
      <c r="I62" s="9" t="n">
        <v>0.3</v>
      </c>
      <c r="J62" s="9" t="n">
        <v>0.1</v>
      </c>
      <c r="K62" s="9" t="n">
        <v>-0.05</v>
      </c>
      <c r="L62" s="9" t="n">
        <v>0.05</v>
      </c>
      <c r="M62" s="8" t="n">
        <v>1</v>
      </c>
      <c r="N62" s="8" t="inlineStr">
        <is>
          <t>1x I-350 ยาว 22 ม.</t>
        </is>
      </c>
      <c r="O62" s="8">
        <f>F62*G62*H62</f>
        <v/>
      </c>
      <c r="P62" s="8">
        <f>2*(F62+G62)*H62</f>
        <v/>
      </c>
      <c r="Q62" s="8">
        <f>IF(L62&gt;0,(F62+2*0.1)*(G62+2*0.1)*L62,0)</f>
        <v/>
      </c>
      <c r="R62" s="8">
        <f>(F62+0.2)*(G62+0.2)*0.1</f>
        <v/>
      </c>
      <c r="S62" s="8">
        <f>(F62+0.2)*(G62+0.2)*0.05</f>
        <v/>
      </c>
      <c r="T62" s="8">
        <f>INDEX('2-ฐานราก เหล็กเสริม'!$S:$S,MATCH(B62,'2-ฐานราก เหล็กเสริม'!$A:$A,0))</f>
        <v/>
      </c>
      <c r="U62" s="8" t="inlineStr">
        <is>
          <t>M24</t>
        </is>
      </c>
      <c r="V62" s="10" t="inlineStr">
        <is>
          <t>แบบ S201 (ตำแหน่ง) / ระดับรอยืนยัน</t>
        </is>
      </c>
    </row>
    <row r="63">
      <c r="A63" s="8" t="inlineStr">
        <is>
          <t>F1P-014</t>
        </is>
      </c>
      <c r="B63" s="8" t="inlineStr">
        <is>
          <t>F1P</t>
        </is>
      </c>
      <c r="C63" s="8" t="inlineStr">
        <is>
          <t>8-1.51/A+1.51</t>
        </is>
      </c>
      <c r="D63" s="9" t="n">
        <v>40.491</v>
      </c>
      <c r="E63" s="9" t="n">
        <v>1.511</v>
      </c>
      <c r="F63" s="9" t="n">
        <v>1</v>
      </c>
      <c r="G63" s="9" t="n">
        <v>1</v>
      </c>
      <c r="H63" s="9" t="n">
        <v>0.2</v>
      </c>
      <c r="I63" s="9" t="n">
        <v>0.3</v>
      </c>
      <c r="J63" s="9" t="n">
        <v>0.1</v>
      </c>
      <c r="K63" s="9" t="n">
        <v>-0.05</v>
      </c>
      <c r="L63" s="9" t="n">
        <v>0.05</v>
      </c>
      <c r="M63" s="8" t="n">
        <v>1</v>
      </c>
      <c r="N63" s="8" t="inlineStr">
        <is>
          <t>1x I-350 ยาว 22 ม.</t>
        </is>
      </c>
      <c r="O63" s="8">
        <f>F63*G63*H63</f>
        <v/>
      </c>
      <c r="P63" s="8">
        <f>2*(F63+G63)*H63</f>
        <v/>
      </c>
      <c r="Q63" s="8">
        <f>IF(L63&gt;0,(F63+2*0.1)*(G63+2*0.1)*L63,0)</f>
        <v/>
      </c>
      <c r="R63" s="8">
        <f>(F63+0.2)*(G63+0.2)*0.1</f>
        <v/>
      </c>
      <c r="S63" s="8">
        <f>(F63+0.2)*(G63+0.2)*0.05</f>
        <v/>
      </c>
      <c r="T63" s="8">
        <f>INDEX('2-ฐานราก เหล็กเสริม'!$S:$S,MATCH(B63,'2-ฐานราก เหล็กเสริม'!$A:$A,0))</f>
        <v/>
      </c>
      <c r="U63" s="8" t="inlineStr">
        <is>
          <t>M24</t>
        </is>
      </c>
      <c r="V63" s="10" t="inlineStr">
        <is>
          <t>แบบ S201 (ตำแหน่ง) / ระดับรอยืนยัน</t>
        </is>
      </c>
    </row>
    <row r="64">
      <c r="A64" s="8" t="inlineStr">
        <is>
          <t>F1P-015</t>
        </is>
      </c>
      <c r="B64" s="8" t="inlineStr">
        <is>
          <t>F1P</t>
        </is>
      </c>
      <c r="C64" s="8" t="inlineStr">
        <is>
          <t>8+1.49/A+1.51</t>
        </is>
      </c>
      <c r="D64" s="9" t="n">
        <v>43.49</v>
      </c>
      <c r="E64" s="9" t="n">
        <v>1.511</v>
      </c>
      <c r="F64" s="9" t="n">
        <v>1</v>
      </c>
      <c r="G64" s="9" t="n">
        <v>1</v>
      </c>
      <c r="H64" s="9" t="n">
        <v>0.2</v>
      </c>
      <c r="I64" s="9" t="n">
        <v>0.3</v>
      </c>
      <c r="J64" s="9" t="n">
        <v>0.1</v>
      </c>
      <c r="K64" s="9" t="n">
        <v>-0.05</v>
      </c>
      <c r="L64" s="9" t="n">
        <v>0.05</v>
      </c>
      <c r="M64" s="8" t="n">
        <v>1</v>
      </c>
      <c r="N64" s="8" t="inlineStr">
        <is>
          <t>1x I-350 ยาว 22 ม.</t>
        </is>
      </c>
      <c r="O64" s="8">
        <f>F64*G64*H64</f>
        <v/>
      </c>
      <c r="P64" s="8">
        <f>2*(F64+G64)*H64</f>
        <v/>
      </c>
      <c r="Q64" s="8">
        <f>IF(L64&gt;0,(F64+2*0.1)*(G64+2*0.1)*L64,0)</f>
        <v/>
      </c>
      <c r="R64" s="8">
        <f>(F64+0.2)*(G64+0.2)*0.1</f>
        <v/>
      </c>
      <c r="S64" s="8">
        <f>(F64+0.2)*(G64+0.2)*0.05</f>
        <v/>
      </c>
      <c r="T64" s="8">
        <f>INDEX('2-ฐานราก เหล็กเสริม'!$S:$S,MATCH(B64,'2-ฐานราก เหล็กเสริม'!$A:$A,0))</f>
        <v/>
      </c>
      <c r="U64" s="8" t="inlineStr">
        <is>
          <t>M24</t>
        </is>
      </c>
      <c r="V64" s="10" t="inlineStr">
        <is>
          <t>แบบ S201 (ตำแหน่ง) / ระดับรอยืนยัน</t>
        </is>
      </c>
    </row>
    <row r="65">
      <c r="A65" s="8" t="inlineStr">
        <is>
          <t>F1P-016</t>
        </is>
      </c>
      <c r="B65" s="8" t="inlineStr">
        <is>
          <t>F1P</t>
        </is>
      </c>
      <c r="C65" s="8" t="inlineStr">
        <is>
          <t>9-1.51/A+1.51</t>
        </is>
      </c>
      <c r="D65" s="9" t="n">
        <v>46.495</v>
      </c>
      <c r="E65" s="9" t="n">
        <v>1.511</v>
      </c>
      <c r="F65" s="9" t="n">
        <v>1</v>
      </c>
      <c r="G65" s="9" t="n">
        <v>1</v>
      </c>
      <c r="H65" s="9" t="n">
        <v>0.2</v>
      </c>
      <c r="I65" s="9" t="n">
        <v>0.3</v>
      </c>
      <c r="J65" s="9" t="n">
        <v>0.1</v>
      </c>
      <c r="K65" s="9" t="n">
        <v>-0.05</v>
      </c>
      <c r="L65" s="9" t="n">
        <v>0.05</v>
      </c>
      <c r="M65" s="8" t="n">
        <v>1</v>
      </c>
      <c r="N65" s="8" t="inlineStr">
        <is>
          <t>1x I-350 ยาว 22 ม.</t>
        </is>
      </c>
      <c r="O65" s="8">
        <f>F65*G65*H65</f>
        <v/>
      </c>
      <c r="P65" s="8">
        <f>2*(F65+G65)*H65</f>
        <v/>
      </c>
      <c r="Q65" s="8">
        <f>IF(L65&gt;0,(F65+2*0.1)*(G65+2*0.1)*L65,0)</f>
        <v/>
      </c>
      <c r="R65" s="8">
        <f>(F65+0.2)*(G65+0.2)*0.1</f>
        <v/>
      </c>
      <c r="S65" s="8">
        <f>(F65+0.2)*(G65+0.2)*0.05</f>
        <v/>
      </c>
      <c r="T65" s="8">
        <f>INDEX('2-ฐานราก เหล็กเสริม'!$S:$S,MATCH(B65,'2-ฐานราก เหล็กเสริม'!$A:$A,0))</f>
        <v/>
      </c>
      <c r="U65" s="8" t="inlineStr">
        <is>
          <t>M24</t>
        </is>
      </c>
      <c r="V65" s="10" t="inlineStr">
        <is>
          <t>แบบ S201 (ตำแหน่ง) / ระดับรอยืนยัน</t>
        </is>
      </c>
    </row>
    <row r="66">
      <c r="A66" s="8" t="inlineStr">
        <is>
          <t>F1P-017</t>
        </is>
      </c>
      <c r="B66" s="8" t="inlineStr">
        <is>
          <t>F1P</t>
        </is>
      </c>
      <c r="C66" s="8" t="inlineStr">
        <is>
          <t>9+1.49/A+1.51</t>
        </is>
      </c>
      <c r="D66" s="9" t="n">
        <v>49.494</v>
      </c>
      <c r="E66" s="9" t="n">
        <v>1.511</v>
      </c>
      <c r="F66" s="9" t="n">
        <v>1</v>
      </c>
      <c r="G66" s="9" t="n">
        <v>1</v>
      </c>
      <c r="H66" s="9" t="n">
        <v>0.2</v>
      </c>
      <c r="I66" s="9" t="n">
        <v>0.3</v>
      </c>
      <c r="J66" s="9" t="n">
        <v>0.1</v>
      </c>
      <c r="K66" s="9" t="n">
        <v>-0.05</v>
      </c>
      <c r="L66" s="9" t="n">
        <v>0.05</v>
      </c>
      <c r="M66" s="8" t="n">
        <v>1</v>
      </c>
      <c r="N66" s="8" t="inlineStr">
        <is>
          <t>1x I-350 ยาว 22 ม.</t>
        </is>
      </c>
      <c r="O66" s="8">
        <f>F66*G66*H66</f>
        <v/>
      </c>
      <c r="P66" s="8">
        <f>2*(F66+G66)*H66</f>
        <v/>
      </c>
      <c r="Q66" s="8">
        <f>IF(L66&gt;0,(F66+2*0.1)*(G66+2*0.1)*L66,0)</f>
        <v/>
      </c>
      <c r="R66" s="8">
        <f>(F66+0.2)*(G66+0.2)*0.1</f>
        <v/>
      </c>
      <c r="S66" s="8">
        <f>(F66+0.2)*(G66+0.2)*0.05</f>
        <v/>
      </c>
      <c r="T66" s="8">
        <f>INDEX('2-ฐานราก เหล็กเสริม'!$S:$S,MATCH(B66,'2-ฐานราก เหล็กเสริม'!$A:$A,0))</f>
        <v/>
      </c>
      <c r="U66" s="8" t="inlineStr">
        <is>
          <t>M24</t>
        </is>
      </c>
      <c r="V66" s="10" t="inlineStr">
        <is>
          <t>แบบ S201 (ตำแหน่ง) / ระดับรอยืนยัน</t>
        </is>
      </c>
    </row>
    <row r="67">
      <c r="A67" s="8" t="inlineStr">
        <is>
          <t>F1P-018</t>
        </is>
      </c>
      <c r="B67" s="8" t="inlineStr">
        <is>
          <t>F1P</t>
        </is>
      </c>
      <c r="C67" s="8" t="inlineStr">
        <is>
          <t>10-1.51/A+1.51</t>
        </is>
      </c>
      <c r="D67" s="9" t="n">
        <v>52.493</v>
      </c>
      <c r="E67" s="9" t="n">
        <v>1.511</v>
      </c>
      <c r="F67" s="9" t="n">
        <v>1</v>
      </c>
      <c r="G67" s="9" t="n">
        <v>1</v>
      </c>
      <c r="H67" s="9" t="n">
        <v>0.2</v>
      </c>
      <c r="I67" s="9" t="n">
        <v>0.3</v>
      </c>
      <c r="J67" s="9" t="n">
        <v>0.1</v>
      </c>
      <c r="K67" s="9" t="n">
        <v>-0.05</v>
      </c>
      <c r="L67" s="9" t="n">
        <v>0.05</v>
      </c>
      <c r="M67" s="8" t="n">
        <v>1</v>
      </c>
      <c r="N67" s="8" t="inlineStr">
        <is>
          <t>1x I-350 ยาว 22 ม.</t>
        </is>
      </c>
      <c r="O67" s="8">
        <f>F67*G67*H67</f>
        <v/>
      </c>
      <c r="P67" s="8">
        <f>2*(F67+G67)*H67</f>
        <v/>
      </c>
      <c r="Q67" s="8">
        <f>IF(L67&gt;0,(F67+2*0.1)*(G67+2*0.1)*L67,0)</f>
        <v/>
      </c>
      <c r="R67" s="8">
        <f>(F67+0.2)*(G67+0.2)*0.1</f>
        <v/>
      </c>
      <c r="S67" s="8">
        <f>(F67+0.2)*(G67+0.2)*0.05</f>
        <v/>
      </c>
      <c r="T67" s="8">
        <f>INDEX('2-ฐานราก เหล็กเสริม'!$S:$S,MATCH(B67,'2-ฐานราก เหล็กเสริม'!$A:$A,0))</f>
        <v/>
      </c>
      <c r="U67" s="8" t="inlineStr">
        <is>
          <t>M24</t>
        </is>
      </c>
      <c r="V67" s="10" t="inlineStr">
        <is>
          <t>แบบ S201 (ตำแหน่ง) / ระดับรอยืนยัน</t>
        </is>
      </c>
    </row>
    <row r="68">
      <c r="A68" s="8" t="inlineStr">
        <is>
          <t>F1P-019</t>
        </is>
      </c>
      <c r="B68" s="8" t="inlineStr">
        <is>
          <t>F1P</t>
        </is>
      </c>
      <c r="C68" s="8" t="inlineStr">
        <is>
          <t>10+1.49/A+1.51</t>
        </is>
      </c>
      <c r="D68" s="9" t="n">
        <v>55.492</v>
      </c>
      <c r="E68" s="9" t="n">
        <v>1.511</v>
      </c>
      <c r="F68" s="9" t="n">
        <v>1</v>
      </c>
      <c r="G68" s="9" t="n">
        <v>1</v>
      </c>
      <c r="H68" s="9" t="n">
        <v>0.2</v>
      </c>
      <c r="I68" s="9" t="n">
        <v>0.3</v>
      </c>
      <c r="J68" s="9" t="n">
        <v>0.1</v>
      </c>
      <c r="K68" s="9" t="n">
        <v>-0.05</v>
      </c>
      <c r="L68" s="9" t="n">
        <v>0.05</v>
      </c>
      <c r="M68" s="8" t="n">
        <v>1</v>
      </c>
      <c r="N68" s="8" t="inlineStr">
        <is>
          <t>1x I-350 ยาว 22 ม.</t>
        </is>
      </c>
      <c r="O68" s="8">
        <f>F68*G68*H68</f>
        <v/>
      </c>
      <c r="P68" s="8">
        <f>2*(F68+G68)*H68</f>
        <v/>
      </c>
      <c r="Q68" s="8">
        <f>IF(L68&gt;0,(F68+2*0.1)*(G68+2*0.1)*L68,0)</f>
        <v/>
      </c>
      <c r="R68" s="8">
        <f>(F68+0.2)*(G68+0.2)*0.1</f>
        <v/>
      </c>
      <c r="S68" s="8">
        <f>(F68+0.2)*(G68+0.2)*0.05</f>
        <v/>
      </c>
      <c r="T68" s="8">
        <f>INDEX('2-ฐานราก เหล็กเสริม'!$S:$S,MATCH(B68,'2-ฐานราก เหล็กเสริม'!$A:$A,0))</f>
        <v/>
      </c>
      <c r="U68" s="8" t="inlineStr">
        <is>
          <t>M24</t>
        </is>
      </c>
      <c r="V68" s="10" t="inlineStr">
        <is>
          <t>แบบ S201 (ตำแหน่ง) / ระดับรอยืนยัน</t>
        </is>
      </c>
    </row>
    <row r="69">
      <c r="A69" s="8" t="inlineStr">
        <is>
          <t>F1P-020</t>
        </is>
      </c>
      <c r="B69" s="8" t="inlineStr">
        <is>
          <t>F1P</t>
        </is>
      </c>
      <c r="C69" s="8" t="inlineStr">
        <is>
          <t>11-1.51/A+1.51</t>
        </is>
      </c>
      <c r="D69" s="9" t="n">
        <v>58.49</v>
      </c>
      <c r="E69" s="9" t="n">
        <v>1.511</v>
      </c>
      <c r="F69" s="9" t="n">
        <v>1</v>
      </c>
      <c r="G69" s="9" t="n">
        <v>1</v>
      </c>
      <c r="H69" s="9" t="n">
        <v>0.2</v>
      </c>
      <c r="I69" s="9" t="n">
        <v>0.3</v>
      </c>
      <c r="J69" s="9" t="n">
        <v>0.1</v>
      </c>
      <c r="K69" s="9" t="n">
        <v>-0.05</v>
      </c>
      <c r="L69" s="9" t="n">
        <v>0.05</v>
      </c>
      <c r="M69" s="8" t="n">
        <v>1</v>
      </c>
      <c r="N69" s="8" t="inlineStr">
        <is>
          <t>1x I-350 ยาว 22 ม.</t>
        </is>
      </c>
      <c r="O69" s="8">
        <f>F69*G69*H69</f>
        <v/>
      </c>
      <c r="P69" s="8">
        <f>2*(F69+G69)*H69</f>
        <v/>
      </c>
      <c r="Q69" s="8">
        <f>IF(L69&gt;0,(F69+2*0.1)*(G69+2*0.1)*L69,0)</f>
        <v/>
      </c>
      <c r="R69" s="8">
        <f>(F69+0.2)*(G69+0.2)*0.1</f>
        <v/>
      </c>
      <c r="S69" s="8">
        <f>(F69+0.2)*(G69+0.2)*0.05</f>
        <v/>
      </c>
      <c r="T69" s="8">
        <f>INDEX('2-ฐานราก เหล็กเสริม'!$S:$S,MATCH(B69,'2-ฐานราก เหล็กเสริม'!$A:$A,0))</f>
        <v/>
      </c>
      <c r="U69" s="8" t="inlineStr">
        <is>
          <t>M24</t>
        </is>
      </c>
      <c r="V69" s="10" t="inlineStr">
        <is>
          <t>แบบ S201 (ตำแหน่ง) / ระดับรอยืนยัน</t>
        </is>
      </c>
    </row>
    <row r="70">
      <c r="A70" s="8" t="inlineStr">
        <is>
          <t>F1P-021</t>
        </is>
      </c>
      <c r="B70" s="8" t="inlineStr">
        <is>
          <t>F1P</t>
        </is>
      </c>
      <c r="C70" s="8" t="inlineStr">
        <is>
          <t>1+1.49/B-1.49</t>
        </is>
      </c>
      <c r="D70" s="9" t="n">
        <v>1.487</v>
      </c>
      <c r="E70" s="9" t="n">
        <v>4.509</v>
      </c>
      <c r="F70" s="9" t="n">
        <v>1</v>
      </c>
      <c r="G70" s="9" t="n">
        <v>1</v>
      </c>
      <c r="H70" s="9" t="n">
        <v>0.2</v>
      </c>
      <c r="I70" s="9" t="n">
        <v>0.3</v>
      </c>
      <c r="J70" s="9" t="n">
        <v>0.1</v>
      </c>
      <c r="K70" s="9" t="n">
        <v>-0.05</v>
      </c>
      <c r="L70" s="9" t="n">
        <v>0.05</v>
      </c>
      <c r="M70" s="8" t="n">
        <v>1</v>
      </c>
      <c r="N70" s="8" t="inlineStr">
        <is>
          <t>1x I-350 ยาว 22 ม.</t>
        </is>
      </c>
      <c r="O70" s="8">
        <f>F70*G70*H70</f>
        <v/>
      </c>
      <c r="P70" s="8">
        <f>2*(F70+G70)*H70</f>
        <v/>
      </c>
      <c r="Q70" s="8">
        <f>IF(L70&gt;0,(F70+2*0.1)*(G70+2*0.1)*L70,0)</f>
        <v/>
      </c>
      <c r="R70" s="8">
        <f>(F70+0.2)*(G70+0.2)*0.1</f>
        <v/>
      </c>
      <c r="S70" s="8">
        <f>(F70+0.2)*(G70+0.2)*0.05</f>
        <v/>
      </c>
      <c r="T70" s="8">
        <f>INDEX('2-ฐานราก เหล็กเสริม'!$S:$S,MATCH(B70,'2-ฐานราก เหล็กเสริม'!$A:$A,0))</f>
        <v/>
      </c>
      <c r="U70" s="8" t="inlineStr">
        <is>
          <t>M24</t>
        </is>
      </c>
      <c r="V70" s="10" t="inlineStr">
        <is>
          <t>แบบ S201 (ตำแหน่ง) / ระดับรอยืนยัน</t>
        </is>
      </c>
    </row>
    <row r="71">
      <c r="A71" s="8" t="inlineStr">
        <is>
          <t>F1P-022</t>
        </is>
      </c>
      <c r="B71" s="8" t="inlineStr">
        <is>
          <t>F1P</t>
        </is>
      </c>
      <c r="C71" s="8" t="inlineStr">
        <is>
          <t>2-1.51/B-1.49</t>
        </is>
      </c>
      <c r="D71" s="9" t="n">
        <v>4.485</v>
      </c>
      <c r="E71" s="9" t="n">
        <v>4.509</v>
      </c>
      <c r="F71" s="9" t="n">
        <v>1</v>
      </c>
      <c r="G71" s="9" t="n">
        <v>1</v>
      </c>
      <c r="H71" s="9" t="n">
        <v>0.2</v>
      </c>
      <c r="I71" s="9" t="n">
        <v>0.3</v>
      </c>
      <c r="J71" s="9" t="n">
        <v>0.1</v>
      </c>
      <c r="K71" s="9" t="n">
        <v>-0.05</v>
      </c>
      <c r="L71" s="9" t="n">
        <v>0.05</v>
      </c>
      <c r="M71" s="8" t="n">
        <v>1</v>
      </c>
      <c r="N71" s="8" t="inlineStr">
        <is>
          <t>1x I-350 ยาว 22 ม.</t>
        </is>
      </c>
      <c r="O71" s="8">
        <f>F71*G71*H71</f>
        <v/>
      </c>
      <c r="P71" s="8">
        <f>2*(F71+G71)*H71</f>
        <v/>
      </c>
      <c r="Q71" s="8">
        <f>IF(L71&gt;0,(F71+2*0.1)*(G71+2*0.1)*L71,0)</f>
        <v/>
      </c>
      <c r="R71" s="8">
        <f>(F71+0.2)*(G71+0.2)*0.1</f>
        <v/>
      </c>
      <c r="S71" s="8">
        <f>(F71+0.2)*(G71+0.2)*0.05</f>
        <v/>
      </c>
      <c r="T71" s="8">
        <f>INDEX('2-ฐานราก เหล็กเสริม'!$S:$S,MATCH(B71,'2-ฐานราก เหล็กเสริม'!$A:$A,0))</f>
        <v/>
      </c>
      <c r="U71" s="8" t="inlineStr">
        <is>
          <t>M24</t>
        </is>
      </c>
      <c r="V71" s="10" t="inlineStr">
        <is>
          <t>แบบ S201 (ตำแหน่ง) / ระดับรอยืนยัน</t>
        </is>
      </c>
    </row>
    <row r="72">
      <c r="A72" s="8" t="inlineStr">
        <is>
          <t>F1P-023</t>
        </is>
      </c>
      <c r="B72" s="8" t="inlineStr">
        <is>
          <t>F1P</t>
        </is>
      </c>
      <c r="C72" s="8" t="inlineStr">
        <is>
          <t>2+1.49/B-1.49</t>
        </is>
      </c>
      <c r="D72" s="9" t="n">
        <v>7.491</v>
      </c>
      <c r="E72" s="9" t="n">
        <v>4.509</v>
      </c>
      <c r="F72" s="9" t="n">
        <v>1</v>
      </c>
      <c r="G72" s="9" t="n">
        <v>1</v>
      </c>
      <c r="H72" s="9" t="n">
        <v>0.2</v>
      </c>
      <c r="I72" s="9" t="n">
        <v>0.3</v>
      </c>
      <c r="J72" s="9" t="n">
        <v>0.1</v>
      </c>
      <c r="K72" s="9" t="n">
        <v>-0.05</v>
      </c>
      <c r="L72" s="9" t="n">
        <v>0.05</v>
      </c>
      <c r="M72" s="8" t="n">
        <v>1</v>
      </c>
      <c r="N72" s="8" t="inlineStr">
        <is>
          <t>1x I-350 ยาว 22 ม.</t>
        </is>
      </c>
      <c r="O72" s="8">
        <f>F72*G72*H72</f>
        <v/>
      </c>
      <c r="P72" s="8">
        <f>2*(F72+G72)*H72</f>
        <v/>
      </c>
      <c r="Q72" s="8">
        <f>IF(L72&gt;0,(F72+2*0.1)*(G72+2*0.1)*L72,0)</f>
        <v/>
      </c>
      <c r="R72" s="8">
        <f>(F72+0.2)*(G72+0.2)*0.1</f>
        <v/>
      </c>
      <c r="S72" s="8">
        <f>(F72+0.2)*(G72+0.2)*0.05</f>
        <v/>
      </c>
      <c r="T72" s="8">
        <f>INDEX('2-ฐานราก เหล็กเสริม'!$S:$S,MATCH(B72,'2-ฐานราก เหล็กเสริม'!$A:$A,0))</f>
        <v/>
      </c>
      <c r="U72" s="8" t="inlineStr">
        <is>
          <t>M24</t>
        </is>
      </c>
      <c r="V72" s="10" t="inlineStr">
        <is>
          <t>แบบ S201 (ตำแหน่ง) / ระดับรอยืนยัน</t>
        </is>
      </c>
    </row>
    <row r="73">
      <c r="A73" s="8" t="inlineStr">
        <is>
          <t>F1P-024</t>
        </is>
      </c>
      <c r="B73" s="8" t="inlineStr">
        <is>
          <t>F1P</t>
        </is>
      </c>
      <c r="C73" s="8" t="inlineStr">
        <is>
          <t>3-1.51/B-1.49</t>
        </is>
      </c>
      <c r="D73" s="9" t="n">
        <v>10.49</v>
      </c>
      <c r="E73" s="9" t="n">
        <v>4.509</v>
      </c>
      <c r="F73" s="9" t="n">
        <v>1</v>
      </c>
      <c r="G73" s="9" t="n">
        <v>1</v>
      </c>
      <c r="H73" s="9" t="n">
        <v>0.2</v>
      </c>
      <c r="I73" s="9" t="n">
        <v>0.3</v>
      </c>
      <c r="J73" s="9" t="n">
        <v>0.1</v>
      </c>
      <c r="K73" s="9" t="n">
        <v>-0.05</v>
      </c>
      <c r="L73" s="9" t="n">
        <v>0.05</v>
      </c>
      <c r="M73" s="8" t="n">
        <v>1</v>
      </c>
      <c r="N73" s="8" t="inlineStr">
        <is>
          <t>1x I-350 ยาว 22 ม.</t>
        </is>
      </c>
      <c r="O73" s="8">
        <f>F73*G73*H73</f>
        <v/>
      </c>
      <c r="P73" s="8">
        <f>2*(F73+G73)*H73</f>
        <v/>
      </c>
      <c r="Q73" s="8">
        <f>IF(L73&gt;0,(F73+2*0.1)*(G73+2*0.1)*L73,0)</f>
        <v/>
      </c>
      <c r="R73" s="8">
        <f>(F73+0.2)*(G73+0.2)*0.1</f>
        <v/>
      </c>
      <c r="S73" s="8">
        <f>(F73+0.2)*(G73+0.2)*0.05</f>
        <v/>
      </c>
      <c r="T73" s="8">
        <f>INDEX('2-ฐานราก เหล็กเสริม'!$S:$S,MATCH(B73,'2-ฐานราก เหล็กเสริม'!$A:$A,0))</f>
        <v/>
      </c>
      <c r="U73" s="8" t="inlineStr">
        <is>
          <t>M24</t>
        </is>
      </c>
      <c r="V73" s="10" t="inlineStr">
        <is>
          <t>แบบ S201 (ตำแหน่ง) / ระดับรอยืนยัน</t>
        </is>
      </c>
    </row>
    <row r="74">
      <c r="A74" s="8" t="inlineStr">
        <is>
          <t>F1P-025</t>
        </is>
      </c>
      <c r="B74" s="8" t="inlineStr">
        <is>
          <t>F1P</t>
        </is>
      </c>
      <c r="C74" s="8" t="inlineStr">
        <is>
          <t>3+1.49/B-1.49</t>
        </is>
      </c>
      <c r="D74" s="9" t="n">
        <v>13.488</v>
      </c>
      <c r="E74" s="9" t="n">
        <v>4.509</v>
      </c>
      <c r="F74" s="9" t="n">
        <v>1</v>
      </c>
      <c r="G74" s="9" t="n">
        <v>1</v>
      </c>
      <c r="H74" s="9" t="n">
        <v>0.2</v>
      </c>
      <c r="I74" s="9" t="n">
        <v>0.3</v>
      </c>
      <c r="J74" s="9" t="n">
        <v>0.1</v>
      </c>
      <c r="K74" s="9" t="n">
        <v>-0.05</v>
      </c>
      <c r="L74" s="9" t="n">
        <v>0.05</v>
      </c>
      <c r="M74" s="8" t="n">
        <v>1</v>
      </c>
      <c r="N74" s="8" t="inlineStr">
        <is>
          <t>1x I-350 ยาว 22 ม.</t>
        </is>
      </c>
      <c r="O74" s="8">
        <f>F74*G74*H74</f>
        <v/>
      </c>
      <c r="P74" s="8">
        <f>2*(F74+G74)*H74</f>
        <v/>
      </c>
      <c r="Q74" s="8">
        <f>IF(L74&gt;0,(F74+2*0.1)*(G74+2*0.1)*L74,0)</f>
        <v/>
      </c>
      <c r="R74" s="8">
        <f>(F74+0.2)*(G74+0.2)*0.1</f>
        <v/>
      </c>
      <c r="S74" s="8">
        <f>(F74+0.2)*(G74+0.2)*0.05</f>
        <v/>
      </c>
      <c r="T74" s="8">
        <f>INDEX('2-ฐานราก เหล็กเสริม'!$S:$S,MATCH(B74,'2-ฐานราก เหล็กเสริม'!$A:$A,0))</f>
        <v/>
      </c>
      <c r="U74" s="8" t="inlineStr">
        <is>
          <t>M24</t>
        </is>
      </c>
      <c r="V74" s="10" t="inlineStr">
        <is>
          <t>แบบ S201 (ตำแหน่ง) / ระดับรอยืนยัน</t>
        </is>
      </c>
    </row>
    <row r="75">
      <c r="A75" s="8" t="inlineStr">
        <is>
          <t>F1P-026</t>
        </is>
      </c>
      <c r="B75" s="8" t="inlineStr">
        <is>
          <t>F1P</t>
        </is>
      </c>
      <c r="C75" s="8" t="inlineStr">
        <is>
          <t>4-1.51/B-1.49</t>
        </is>
      </c>
      <c r="D75" s="9" t="n">
        <v>16.487</v>
      </c>
      <c r="E75" s="9" t="n">
        <v>4.509</v>
      </c>
      <c r="F75" s="9" t="n">
        <v>1</v>
      </c>
      <c r="G75" s="9" t="n">
        <v>1</v>
      </c>
      <c r="H75" s="9" t="n">
        <v>0.2</v>
      </c>
      <c r="I75" s="9" t="n">
        <v>0.3</v>
      </c>
      <c r="J75" s="9" t="n">
        <v>0.1</v>
      </c>
      <c r="K75" s="9" t="n">
        <v>-0.05</v>
      </c>
      <c r="L75" s="9" t="n">
        <v>0.05</v>
      </c>
      <c r="M75" s="8" t="n">
        <v>1</v>
      </c>
      <c r="N75" s="8" t="inlineStr">
        <is>
          <t>1x I-350 ยาว 22 ม.</t>
        </is>
      </c>
      <c r="O75" s="8">
        <f>F75*G75*H75</f>
        <v/>
      </c>
      <c r="P75" s="8">
        <f>2*(F75+G75)*H75</f>
        <v/>
      </c>
      <c r="Q75" s="8">
        <f>IF(L75&gt;0,(F75+2*0.1)*(G75+2*0.1)*L75,0)</f>
        <v/>
      </c>
      <c r="R75" s="8">
        <f>(F75+0.2)*(G75+0.2)*0.1</f>
        <v/>
      </c>
      <c r="S75" s="8">
        <f>(F75+0.2)*(G75+0.2)*0.05</f>
        <v/>
      </c>
      <c r="T75" s="8">
        <f>INDEX('2-ฐานราก เหล็กเสริม'!$S:$S,MATCH(B75,'2-ฐานราก เหล็กเสริม'!$A:$A,0))</f>
        <v/>
      </c>
      <c r="U75" s="8" t="inlineStr">
        <is>
          <t>M24</t>
        </is>
      </c>
      <c r="V75" s="10" t="inlineStr">
        <is>
          <t>แบบ S201 (ตำแหน่ง) / ระดับรอยืนยัน</t>
        </is>
      </c>
    </row>
    <row r="76">
      <c r="A76" s="8" t="inlineStr">
        <is>
          <t>F1P-027</t>
        </is>
      </c>
      <c r="B76" s="8" t="inlineStr">
        <is>
          <t>F1P</t>
        </is>
      </c>
      <c r="C76" s="8" t="inlineStr">
        <is>
          <t>4+1.49/B-1.49</t>
        </is>
      </c>
      <c r="D76" s="9" t="n">
        <v>19.486</v>
      </c>
      <c r="E76" s="9" t="n">
        <v>4.509</v>
      </c>
      <c r="F76" s="9" t="n">
        <v>1</v>
      </c>
      <c r="G76" s="9" t="n">
        <v>1</v>
      </c>
      <c r="H76" s="9" t="n">
        <v>0.2</v>
      </c>
      <c r="I76" s="9" t="n">
        <v>0.3</v>
      </c>
      <c r="J76" s="9" t="n">
        <v>0.1</v>
      </c>
      <c r="K76" s="9" t="n">
        <v>-0.05</v>
      </c>
      <c r="L76" s="9" t="n">
        <v>0.05</v>
      </c>
      <c r="M76" s="8" t="n">
        <v>1</v>
      </c>
      <c r="N76" s="8" t="inlineStr">
        <is>
          <t>1x I-350 ยาว 22 ม.</t>
        </is>
      </c>
      <c r="O76" s="8">
        <f>F76*G76*H76</f>
        <v/>
      </c>
      <c r="P76" s="8">
        <f>2*(F76+G76)*H76</f>
        <v/>
      </c>
      <c r="Q76" s="8">
        <f>IF(L76&gt;0,(F76+2*0.1)*(G76+2*0.1)*L76,0)</f>
        <v/>
      </c>
      <c r="R76" s="8">
        <f>(F76+0.2)*(G76+0.2)*0.1</f>
        <v/>
      </c>
      <c r="S76" s="8">
        <f>(F76+0.2)*(G76+0.2)*0.05</f>
        <v/>
      </c>
      <c r="T76" s="8">
        <f>INDEX('2-ฐานราก เหล็กเสริม'!$S:$S,MATCH(B76,'2-ฐานราก เหล็กเสริม'!$A:$A,0))</f>
        <v/>
      </c>
      <c r="U76" s="8" t="inlineStr">
        <is>
          <t>M24</t>
        </is>
      </c>
      <c r="V76" s="10" t="inlineStr">
        <is>
          <t>แบบ S201 (ตำแหน่ง) / ระดับรอยืนยัน</t>
        </is>
      </c>
    </row>
    <row r="77">
      <c r="A77" s="8" t="inlineStr">
        <is>
          <t>F1P-028</t>
        </is>
      </c>
      <c r="B77" s="8" t="inlineStr">
        <is>
          <t>F1P</t>
        </is>
      </c>
      <c r="C77" s="8" t="inlineStr">
        <is>
          <t>5-1.51/B-1.49</t>
        </is>
      </c>
      <c r="D77" s="9" t="n">
        <v>22.491</v>
      </c>
      <c r="E77" s="9" t="n">
        <v>4.509</v>
      </c>
      <c r="F77" s="9" t="n">
        <v>1</v>
      </c>
      <c r="G77" s="9" t="n">
        <v>1</v>
      </c>
      <c r="H77" s="9" t="n">
        <v>0.2</v>
      </c>
      <c r="I77" s="9" t="n">
        <v>0.3</v>
      </c>
      <c r="J77" s="9" t="n">
        <v>0.1</v>
      </c>
      <c r="K77" s="9" t="n">
        <v>-0.05</v>
      </c>
      <c r="L77" s="9" t="n">
        <v>0.05</v>
      </c>
      <c r="M77" s="8" t="n">
        <v>1</v>
      </c>
      <c r="N77" s="8" t="inlineStr">
        <is>
          <t>1x I-350 ยาว 22 ม.</t>
        </is>
      </c>
      <c r="O77" s="8">
        <f>F77*G77*H77</f>
        <v/>
      </c>
      <c r="P77" s="8">
        <f>2*(F77+G77)*H77</f>
        <v/>
      </c>
      <c r="Q77" s="8">
        <f>IF(L77&gt;0,(F77+2*0.1)*(G77+2*0.1)*L77,0)</f>
        <v/>
      </c>
      <c r="R77" s="8">
        <f>(F77+0.2)*(G77+0.2)*0.1</f>
        <v/>
      </c>
      <c r="S77" s="8">
        <f>(F77+0.2)*(G77+0.2)*0.05</f>
        <v/>
      </c>
      <c r="T77" s="8">
        <f>INDEX('2-ฐานราก เหล็กเสริม'!$S:$S,MATCH(B77,'2-ฐานราก เหล็กเสริม'!$A:$A,0))</f>
        <v/>
      </c>
      <c r="U77" s="8" t="inlineStr">
        <is>
          <t>M24</t>
        </is>
      </c>
      <c r="V77" s="10" t="inlineStr">
        <is>
          <t>แบบ S201 (ตำแหน่ง) / ระดับรอยืนยัน</t>
        </is>
      </c>
    </row>
    <row r="78">
      <c r="A78" s="8" t="inlineStr">
        <is>
          <t>F1P-029</t>
        </is>
      </c>
      <c r="B78" s="8" t="inlineStr">
        <is>
          <t>F1P</t>
        </is>
      </c>
      <c r="C78" s="8" t="inlineStr">
        <is>
          <t>5+1.49/B-1.49</t>
        </is>
      </c>
      <c r="D78" s="9" t="n">
        <v>25.49</v>
      </c>
      <c r="E78" s="9" t="n">
        <v>4.509</v>
      </c>
      <c r="F78" s="9" t="n">
        <v>1</v>
      </c>
      <c r="G78" s="9" t="n">
        <v>1</v>
      </c>
      <c r="H78" s="9" t="n">
        <v>0.2</v>
      </c>
      <c r="I78" s="9" t="n">
        <v>0.3</v>
      </c>
      <c r="J78" s="9" t="n">
        <v>0.1</v>
      </c>
      <c r="K78" s="9" t="n">
        <v>-0.05</v>
      </c>
      <c r="L78" s="9" t="n">
        <v>0.05</v>
      </c>
      <c r="M78" s="8" t="n">
        <v>1</v>
      </c>
      <c r="N78" s="8" t="inlineStr">
        <is>
          <t>1x I-350 ยาว 22 ม.</t>
        </is>
      </c>
      <c r="O78" s="8">
        <f>F78*G78*H78</f>
        <v/>
      </c>
      <c r="P78" s="8">
        <f>2*(F78+G78)*H78</f>
        <v/>
      </c>
      <c r="Q78" s="8">
        <f>IF(L78&gt;0,(F78+2*0.1)*(G78+2*0.1)*L78,0)</f>
        <v/>
      </c>
      <c r="R78" s="8">
        <f>(F78+0.2)*(G78+0.2)*0.1</f>
        <v/>
      </c>
      <c r="S78" s="8">
        <f>(F78+0.2)*(G78+0.2)*0.05</f>
        <v/>
      </c>
      <c r="T78" s="8">
        <f>INDEX('2-ฐานราก เหล็กเสริม'!$S:$S,MATCH(B78,'2-ฐานราก เหล็กเสริม'!$A:$A,0))</f>
        <v/>
      </c>
      <c r="U78" s="8" t="inlineStr">
        <is>
          <t>M24</t>
        </is>
      </c>
      <c r="V78" s="10" t="inlineStr">
        <is>
          <t>แบบ S201 (ตำแหน่ง) / ระดับรอยืนยัน</t>
        </is>
      </c>
    </row>
    <row r="79">
      <c r="A79" s="8" t="inlineStr">
        <is>
          <t>F1P-030</t>
        </is>
      </c>
      <c r="B79" s="8" t="inlineStr">
        <is>
          <t>F1P</t>
        </is>
      </c>
      <c r="C79" s="8" t="inlineStr">
        <is>
          <t>6-1.51/B-1.49</t>
        </is>
      </c>
      <c r="D79" s="9" t="n">
        <v>28.489</v>
      </c>
      <c r="E79" s="9" t="n">
        <v>4.509</v>
      </c>
      <c r="F79" s="9" t="n">
        <v>1</v>
      </c>
      <c r="G79" s="9" t="n">
        <v>1</v>
      </c>
      <c r="H79" s="9" t="n">
        <v>0.2</v>
      </c>
      <c r="I79" s="9" t="n">
        <v>0.3</v>
      </c>
      <c r="J79" s="9" t="n">
        <v>0.1</v>
      </c>
      <c r="K79" s="9" t="n">
        <v>-0.05</v>
      </c>
      <c r="L79" s="9" t="n">
        <v>0.05</v>
      </c>
      <c r="M79" s="8" t="n">
        <v>1</v>
      </c>
      <c r="N79" s="8" t="inlineStr">
        <is>
          <t>1x I-350 ยาว 22 ม.</t>
        </is>
      </c>
      <c r="O79" s="8">
        <f>F79*G79*H79</f>
        <v/>
      </c>
      <c r="P79" s="8">
        <f>2*(F79+G79)*H79</f>
        <v/>
      </c>
      <c r="Q79" s="8">
        <f>IF(L79&gt;0,(F79+2*0.1)*(G79+2*0.1)*L79,0)</f>
        <v/>
      </c>
      <c r="R79" s="8">
        <f>(F79+0.2)*(G79+0.2)*0.1</f>
        <v/>
      </c>
      <c r="S79" s="8">
        <f>(F79+0.2)*(G79+0.2)*0.05</f>
        <v/>
      </c>
      <c r="T79" s="8">
        <f>INDEX('2-ฐานราก เหล็กเสริม'!$S:$S,MATCH(B79,'2-ฐานราก เหล็กเสริม'!$A:$A,0))</f>
        <v/>
      </c>
      <c r="U79" s="8" t="inlineStr">
        <is>
          <t>M24</t>
        </is>
      </c>
      <c r="V79" s="10" t="inlineStr">
        <is>
          <t>แบบ S201 (ตำแหน่ง) / ระดับรอยืนยัน</t>
        </is>
      </c>
    </row>
    <row r="80">
      <c r="A80" s="8" t="inlineStr">
        <is>
          <t>F1P-031</t>
        </is>
      </c>
      <c r="B80" s="8" t="inlineStr">
        <is>
          <t>F1P</t>
        </is>
      </c>
      <c r="C80" s="8" t="inlineStr">
        <is>
          <t>6+1.49/B-1.49</t>
        </is>
      </c>
      <c r="D80" s="9" t="n">
        <v>31.488</v>
      </c>
      <c r="E80" s="9" t="n">
        <v>4.509</v>
      </c>
      <c r="F80" s="9" t="n">
        <v>1</v>
      </c>
      <c r="G80" s="9" t="n">
        <v>1</v>
      </c>
      <c r="H80" s="9" t="n">
        <v>0.2</v>
      </c>
      <c r="I80" s="9" t="n">
        <v>0.3</v>
      </c>
      <c r="J80" s="9" t="n">
        <v>0.1</v>
      </c>
      <c r="K80" s="9" t="n">
        <v>-0.05</v>
      </c>
      <c r="L80" s="9" t="n">
        <v>0.05</v>
      </c>
      <c r="M80" s="8" t="n">
        <v>1</v>
      </c>
      <c r="N80" s="8" t="inlineStr">
        <is>
          <t>1x I-350 ยาว 22 ม.</t>
        </is>
      </c>
      <c r="O80" s="8">
        <f>F80*G80*H80</f>
        <v/>
      </c>
      <c r="P80" s="8">
        <f>2*(F80+G80)*H80</f>
        <v/>
      </c>
      <c r="Q80" s="8">
        <f>IF(L80&gt;0,(F80+2*0.1)*(G80+2*0.1)*L80,0)</f>
        <v/>
      </c>
      <c r="R80" s="8">
        <f>(F80+0.2)*(G80+0.2)*0.1</f>
        <v/>
      </c>
      <c r="S80" s="8">
        <f>(F80+0.2)*(G80+0.2)*0.05</f>
        <v/>
      </c>
      <c r="T80" s="8">
        <f>INDEX('2-ฐานราก เหล็กเสริม'!$S:$S,MATCH(B80,'2-ฐานราก เหล็กเสริม'!$A:$A,0))</f>
        <v/>
      </c>
      <c r="U80" s="8" t="inlineStr">
        <is>
          <t>M24</t>
        </is>
      </c>
      <c r="V80" s="10" t="inlineStr">
        <is>
          <t>แบบ S201 (ตำแหน่ง) / ระดับรอยืนยัน</t>
        </is>
      </c>
    </row>
    <row r="81">
      <c r="A81" s="8" t="inlineStr">
        <is>
          <t>F1P-032</t>
        </is>
      </c>
      <c r="B81" s="8" t="inlineStr">
        <is>
          <t>F1P</t>
        </is>
      </c>
      <c r="C81" s="8" t="inlineStr">
        <is>
          <t>7-1.51/B-1.49</t>
        </is>
      </c>
      <c r="D81" s="9" t="n">
        <v>34.493</v>
      </c>
      <c r="E81" s="9" t="n">
        <v>4.509</v>
      </c>
      <c r="F81" s="9" t="n">
        <v>1</v>
      </c>
      <c r="G81" s="9" t="n">
        <v>1</v>
      </c>
      <c r="H81" s="9" t="n">
        <v>0.2</v>
      </c>
      <c r="I81" s="9" t="n">
        <v>0.3</v>
      </c>
      <c r="J81" s="9" t="n">
        <v>0.1</v>
      </c>
      <c r="K81" s="9" t="n">
        <v>-0.05</v>
      </c>
      <c r="L81" s="9" t="n">
        <v>0.05</v>
      </c>
      <c r="M81" s="8" t="n">
        <v>1</v>
      </c>
      <c r="N81" s="8" t="inlineStr">
        <is>
          <t>1x I-350 ยาว 22 ม.</t>
        </is>
      </c>
      <c r="O81" s="8">
        <f>F81*G81*H81</f>
        <v/>
      </c>
      <c r="P81" s="8">
        <f>2*(F81+G81)*H81</f>
        <v/>
      </c>
      <c r="Q81" s="8">
        <f>IF(L81&gt;0,(F81+2*0.1)*(G81+2*0.1)*L81,0)</f>
        <v/>
      </c>
      <c r="R81" s="8">
        <f>(F81+0.2)*(G81+0.2)*0.1</f>
        <v/>
      </c>
      <c r="S81" s="8">
        <f>(F81+0.2)*(G81+0.2)*0.05</f>
        <v/>
      </c>
      <c r="T81" s="8">
        <f>INDEX('2-ฐานราก เหล็กเสริม'!$S:$S,MATCH(B81,'2-ฐานราก เหล็กเสริม'!$A:$A,0))</f>
        <v/>
      </c>
      <c r="U81" s="8" t="inlineStr">
        <is>
          <t>M24</t>
        </is>
      </c>
      <c r="V81" s="10" t="inlineStr">
        <is>
          <t>แบบ S201 (ตำแหน่ง) / ระดับรอยืนยัน</t>
        </is>
      </c>
    </row>
    <row r="82">
      <c r="A82" s="8" t="inlineStr">
        <is>
          <t>F1P-033</t>
        </is>
      </c>
      <c r="B82" s="8" t="inlineStr">
        <is>
          <t>F1P</t>
        </is>
      </c>
      <c r="C82" s="8" t="inlineStr">
        <is>
          <t>7+1.49/B-1.49</t>
        </is>
      </c>
      <c r="D82" s="9" t="n">
        <v>37.492</v>
      </c>
      <c r="E82" s="9" t="n">
        <v>4.509</v>
      </c>
      <c r="F82" s="9" t="n">
        <v>1</v>
      </c>
      <c r="G82" s="9" t="n">
        <v>1</v>
      </c>
      <c r="H82" s="9" t="n">
        <v>0.2</v>
      </c>
      <c r="I82" s="9" t="n">
        <v>0.3</v>
      </c>
      <c r="J82" s="9" t="n">
        <v>0.1</v>
      </c>
      <c r="K82" s="9" t="n">
        <v>-0.05</v>
      </c>
      <c r="L82" s="9" t="n">
        <v>0.05</v>
      </c>
      <c r="M82" s="8" t="n">
        <v>1</v>
      </c>
      <c r="N82" s="8" t="inlineStr">
        <is>
          <t>1x I-350 ยาว 22 ม.</t>
        </is>
      </c>
      <c r="O82" s="8">
        <f>F82*G82*H82</f>
        <v/>
      </c>
      <c r="P82" s="8">
        <f>2*(F82+G82)*H82</f>
        <v/>
      </c>
      <c r="Q82" s="8">
        <f>IF(L82&gt;0,(F82+2*0.1)*(G82+2*0.1)*L82,0)</f>
        <v/>
      </c>
      <c r="R82" s="8">
        <f>(F82+0.2)*(G82+0.2)*0.1</f>
        <v/>
      </c>
      <c r="S82" s="8">
        <f>(F82+0.2)*(G82+0.2)*0.05</f>
        <v/>
      </c>
      <c r="T82" s="8">
        <f>INDEX('2-ฐานราก เหล็กเสริม'!$S:$S,MATCH(B82,'2-ฐานราก เหล็กเสริม'!$A:$A,0))</f>
        <v/>
      </c>
      <c r="U82" s="8" t="inlineStr">
        <is>
          <t>M24</t>
        </is>
      </c>
      <c r="V82" s="10" t="inlineStr">
        <is>
          <t>แบบ S201 (ตำแหน่ง) / ระดับรอยืนยัน</t>
        </is>
      </c>
    </row>
    <row r="83">
      <c r="A83" s="8" t="inlineStr">
        <is>
          <t>F1P-034</t>
        </is>
      </c>
      <c r="B83" s="8" t="inlineStr">
        <is>
          <t>F1P</t>
        </is>
      </c>
      <c r="C83" s="8" t="inlineStr">
        <is>
          <t>8-1.51/B-1.49</t>
        </is>
      </c>
      <c r="D83" s="9" t="n">
        <v>40.491</v>
      </c>
      <c r="E83" s="9" t="n">
        <v>4.509</v>
      </c>
      <c r="F83" s="9" t="n">
        <v>1</v>
      </c>
      <c r="G83" s="9" t="n">
        <v>1</v>
      </c>
      <c r="H83" s="9" t="n">
        <v>0.2</v>
      </c>
      <c r="I83" s="9" t="n">
        <v>0.3</v>
      </c>
      <c r="J83" s="9" t="n">
        <v>0.1</v>
      </c>
      <c r="K83" s="9" t="n">
        <v>-0.05</v>
      </c>
      <c r="L83" s="9" t="n">
        <v>0.05</v>
      </c>
      <c r="M83" s="8" t="n">
        <v>1</v>
      </c>
      <c r="N83" s="8" t="inlineStr">
        <is>
          <t>1x I-350 ยาว 22 ม.</t>
        </is>
      </c>
      <c r="O83" s="8">
        <f>F83*G83*H83</f>
        <v/>
      </c>
      <c r="P83" s="8">
        <f>2*(F83+G83)*H83</f>
        <v/>
      </c>
      <c r="Q83" s="8">
        <f>IF(L83&gt;0,(F83+2*0.1)*(G83+2*0.1)*L83,0)</f>
        <v/>
      </c>
      <c r="R83" s="8">
        <f>(F83+0.2)*(G83+0.2)*0.1</f>
        <v/>
      </c>
      <c r="S83" s="8">
        <f>(F83+0.2)*(G83+0.2)*0.05</f>
        <v/>
      </c>
      <c r="T83" s="8">
        <f>INDEX('2-ฐานราก เหล็กเสริม'!$S:$S,MATCH(B83,'2-ฐานราก เหล็กเสริม'!$A:$A,0))</f>
        <v/>
      </c>
      <c r="U83" s="8" t="inlineStr">
        <is>
          <t>M24</t>
        </is>
      </c>
      <c r="V83" s="10" t="inlineStr">
        <is>
          <t>แบบ S201 (ตำแหน่ง) / ระดับรอยืนยัน</t>
        </is>
      </c>
    </row>
    <row r="84">
      <c r="A84" s="8" t="inlineStr">
        <is>
          <t>F1P-035</t>
        </is>
      </c>
      <c r="B84" s="8" t="inlineStr">
        <is>
          <t>F1P</t>
        </is>
      </c>
      <c r="C84" s="8" t="inlineStr">
        <is>
          <t>8+1.49/B-1.49</t>
        </is>
      </c>
      <c r="D84" s="9" t="n">
        <v>43.49</v>
      </c>
      <c r="E84" s="9" t="n">
        <v>4.509</v>
      </c>
      <c r="F84" s="9" t="n">
        <v>1</v>
      </c>
      <c r="G84" s="9" t="n">
        <v>1</v>
      </c>
      <c r="H84" s="9" t="n">
        <v>0.2</v>
      </c>
      <c r="I84" s="9" t="n">
        <v>0.3</v>
      </c>
      <c r="J84" s="9" t="n">
        <v>0.1</v>
      </c>
      <c r="K84" s="9" t="n">
        <v>-0.05</v>
      </c>
      <c r="L84" s="9" t="n">
        <v>0.05</v>
      </c>
      <c r="M84" s="8" t="n">
        <v>1</v>
      </c>
      <c r="N84" s="8" t="inlineStr">
        <is>
          <t>1x I-350 ยาว 22 ม.</t>
        </is>
      </c>
      <c r="O84" s="8">
        <f>F84*G84*H84</f>
        <v/>
      </c>
      <c r="P84" s="8">
        <f>2*(F84+G84)*H84</f>
        <v/>
      </c>
      <c r="Q84" s="8">
        <f>IF(L84&gt;0,(F84+2*0.1)*(G84+2*0.1)*L84,0)</f>
        <v/>
      </c>
      <c r="R84" s="8">
        <f>(F84+0.2)*(G84+0.2)*0.1</f>
        <v/>
      </c>
      <c r="S84" s="8">
        <f>(F84+0.2)*(G84+0.2)*0.05</f>
        <v/>
      </c>
      <c r="T84" s="8">
        <f>INDEX('2-ฐานราก เหล็กเสริม'!$S:$S,MATCH(B84,'2-ฐานราก เหล็กเสริม'!$A:$A,0))</f>
        <v/>
      </c>
      <c r="U84" s="8" t="inlineStr">
        <is>
          <t>M24</t>
        </is>
      </c>
      <c r="V84" s="10" t="inlineStr">
        <is>
          <t>แบบ S201 (ตำแหน่ง) / ระดับรอยืนยัน</t>
        </is>
      </c>
    </row>
    <row r="85">
      <c r="A85" s="8" t="inlineStr">
        <is>
          <t>F1P-036</t>
        </is>
      </c>
      <c r="B85" s="8" t="inlineStr">
        <is>
          <t>F1P</t>
        </is>
      </c>
      <c r="C85" s="8" t="inlineStr">
        <is>
          <t>9-1.51/B-1.49</t>
        </is>
      </c>
      <c r="D85" s="9" t="n">
        <v>46.495</v>
      </c>
      <c r="E85" s="9" t="n">
        <v>4.509</v>
      </c>
      <c r="F85" s="9" t="n">
        <v>1</v>
      </c>
      <c r="G85" s="9" t="n">
        <v>1</v>
      </c>
      <c r="H85" s="9" t="n">
        <v>0.2</v>
      </c>
      <c r="I85" s="9" t="n">
        <v>0.3</v>
      </c>
      <c r="J85" s="9" t="n">
        <v>0.1</v>
      </c>
      <c r="K85" s="9" t="n">
        <v>-0.05</v>
      </c>
      <c r="L85" s="9" t="n">
        <v>0.05</v>
      </c>
      <c r="M85" s="8" t="n">
        <v>1</v>
      </c>
      <c r="N85" s="8" t="inlineStr">
        <is>
          <t>1x I-350 ยาว 22 ม.</t>
        </is>
      </c>
      <c r="O85" s="8">
        <f>F85*G85*H85</f>
        <v/>
      </c>
      <c r="P85" s="8">
        <f>2*(F85+G85)*H85</f>
        <v/>
      </c>
      <c r="Q85" s="8">
        <f>IF(L85&gt;0,(F85+2*0.1)*(G85+2*0.1)*L85,0)</f>
        <v/>
      </c>
      <c r="R85" s="8">
        <f>(F85+0.2)*(G85+0.2)*0.1</f>
        <v/>
      </c>
      <c r="S85" s="8">
        <f>(F85+0.2)*(G85+0.2)*0.05</f>
        <v/>
      </c>
      <c r="T85" s="8">
        <f>INDEX('2-ฐานราก เหล็กเสริม'!$S:$S,MATCH(B85,'2-ฐานราก เหล็กเสริม'!$A:$A,0))</f>
        <v/>
      </c>
      <c r="U85" s="8" t="inlineStr">
        <is>
          <t>M24</t>
        </is>
      </c>
      <c r="V85" s="10" t="inlineStr">
        <is>
          <t>แบบ S201 (ตำแหน่ง) / ระดับรอยืนยัน</t>
        </is>
      </c>
    </row>
    <row r="86">
      <c r="A86" s="8" t="inlineStr">
        <is>
          <t>F1P-037</t>
        </is>
      </c>
      <c r="B86" s="8" t="inlineStr">
        <is>
          <t>F1P</t>
        </is>
      </c>
      <c r="C86" s="8" t="inlineStr">
        <is>
          <t>9+1.49/B-1.49</t>
        </is>
      </c>
      <c r="D86" s="9" t="n">
        <v>49.494</v>
      </c>
      <c r="E86" s="9" t="n">
        <v>4.509</v>
      </c>
      <c r="F86" s="9" t="n">
        <v>1</v>
      </c>
      <c r="G86" s="9" t="n">
        <v>1</v>
      </c>
      <c r="H86" s="9" t="n">
        <v>0.2</v>
      </c>
      <c r="I86" s="9" t="n">
        <v>0.3</v>
      </c>
      <c r="J86" s="9" t="n">
        <v>0.1</v>
      </c>
      <c r="K86" s="9" t="n">
        <v>-0.05</v>
      </c>
      <c r="L86" s="9" t="n">
        <v>0.05</v>
      </c>
      <c r="M86" s="8" t="n">
        <v>1</v>
      </c>
      <c r="N86" s="8" t="inlineStr">
        <is>
          <t>1x I-350 ยาว 22 ม.</t>
        </is>
      </c>
      <c r="O86" s="8">
        <f>F86*G86*H86</f>
        <v/>
      </c>
      <c r="P86" s="8">
        <f>2*(F86+G86)*H86</f>
        <v/>
      </c>
      <c r="Q86" s="8">
        <f>IF(L86&gt;0,(F86+2*0.1)*(G86+2*0.1)*L86,0)</f>
        <v/>
      </c>
      <c r="R86" s="8">
        <f>(F86+0.2)*(G86+0.2)*0.1</f>
        <v/>
      </c>
      <c r="S86" s="8">
        <f>(F86+0.2)*(G86+0.2)*0.05</f>
        <v/>
      </c>
      <c r="T86" s="8">
        <f>INDEX('2-ฐานราก เหล็กเสริม'!$S:$S,MATCH(B86,'2-ฐานราก เหล็กเสริม'!$A:$A,0))</f>
        <v/>
      </c>
      <c r="U86" s="8" t="inlineStr">
        <is>
          <t>M24</t>
        </is>
      </c>
      <c r="V86" s="10" t="inlineStr">
        <is>
          <t>แบบ S201 (ตำแหน่ง) / ระดับรอยืนยัน</t>
        </is>
      </c>
    </row>
    <row r="87">
      <c r="A87" s="8" t="inlineStr">
        <is>
          <t>F1P-038</t>
        </is>
      </c>
      <c r="B87" s="8" t="inlineStr">
        <is>
          <t>F1P</t>
        </is>
      </c>
      <c r="C87" s="8" t="inlineStr">
        <is>
          <t>10-1.51/B-1.49</t>
        </is>
      </c>
      <c r="D87" s="9" t="n">
        <v>52.493</v>
      </c>
      <c r="E87" s="9" t="n">
        <v>4.509</v>
      </c>
      <c r="F87" s="9" t="n">
        <v>1</v>
      </c>
      <c r="G87" s="9" t="n">
        <v>1</v>
      </c>
      <c r="H87" s="9" t="n">
        <v>0.2</v>
      </c>
      <c r="I87" s="9" t="n">
        <v>0.3</v>
      </c>
      <c r="J87" s="9" t="n">
        <v>0.1</v>
      </c>
      <c r="K87" s="9" t="n">
        <v>-0.05</v>
      </c>
      <c r="L87" s="9" t="n">
        <v>0.05</v>
      </c>
      <c r="M87" s="8" t="n">
        <v>1</v>
      </c>
      <c r="N87" s="8" t="inlineStr">
        <is>
          <t>1x I-350 ยาว 22 ม.</t>
        </is>
      </c>
      <c r="O87" s="8">
        <f>F87*G87*H87</f>
        <v/>
      </c>
      <c r="P87" s="8">
        <f>2*(F87+G87)*H87</f>
        <v/>
      </c>
      <c r="Q87" s="8">
        <f>IF(L87&gt;0,(F87+2*0.1)*(G87+2*0.1)*L87,0)</f>
        <v/>
      </c>
      <c r="R87" s="8">
        <f>(F87+0.2)*(G87+0.2)*0.1</f>
        <v/>
      </c>
      <c r="S87" s="8">
        <f>(F87+0.2)*(G87+0.2)*0.05</f>
        <v/>
      </c>
      <c r="T87" s="8">
        <f>INDEX('2-ฐานราก เหล็กเสริม'!$S:$S,MATCH(B87,'2-ฐานราก เหล็กเสริม'!$A:$A,0))</f>
        <v/>
      </c>
      <c r="U87" s="8" t="inlineStr">
        <is>
          <t>M24</t>
        </is>
      </c>
      <c r="V87" s="10" t="inlineStr">
        <is>
          <t>แบบ S201 (ตำแหน่ง) / ระดับรอยืนยัน</t>
        </is>
      </c>
    </row>
    <row r="88">
      <c r="A88" s="8" t="inlineStr">
        <is>
          <t>F1P-039</t>
        </is>
      </c>
      <c r="B88" s="8" t="inlineStr">
        <is>
          <t>F1P</t>
        </is>
      </c>
      <c r="C88" s="8" t="inlineStr">
        <is>
          <t>10+1.49/B-1.49</t>
        </is>
      </c>
      <c r="D88" s="9" t="n">
        <v>55.492</v>
      </c>
      <c r="E88" s="9" t="n">
        <v>4.509</v>
      </c>
      <c r="F88" s="9" t="n">
        <v>1</v>
      </c>
      <c r="G88" s="9" t="n">
        <v>1</v>
      </c>
      <c r="H88" s="9" t="n">
        <v>0.2</v>
      </c>
      <c r="I88" s="9" t="n">
        <v>0.3</v>
      </c>
      <c r="J88" s="9" t="n">
        <v>0.1</v>
      </c>
      <c r="K88" s="9" t="n">
        <v>-0.05</v>
      </c>
      <c r="L88" s="9" t="n">
        <v>0.05</v>
      </c>
      <c r="M88" s="8" t="n">
        <v>1</v>
      </c>
      <c r="N88" s="8" t="inlineStr">
        <is>
          <t>1x I-350 ยาว 22 ม.</t>
        </is>
      </c>
      <c r="O88" s="8">
        <f>F88*G88*H88</f>
        <v/>
      </c>
      <c r="P88" s="8">
        <f>2*(F88+G88)*H88</f>
        <v/>
      </c>
      <c r="Q88" s="8">
        <f>IF(L88&gt;0,(F88+2*0.1)*(G88+2*0.1)*L88,0)</f>
        <v/>
      </c>
      <c r="R88" s="8">
        <f>(F88+0.2)*(G88+0.2)*0.1</f>
        <v/>
      </c>
      <c r="S88" s="8">
        <f>(F88+0.2)*(G88+0.2)*0.05</f>
        <v/>
      </c>
      <c r="T88" s="8">
        <f>INDEX('2-ฐานราก เหล็กเสริม'!$S:$S,MATCH(B88,'2-ฐานราก เหล็กเสริม'!$A:$A,0))</f>
        <v/>
      </c>
      <c r="U88" s="8" t="inlineStr">
        <is>
          <t>M24</t>
        </is>
      </c>
      <c r="V88" s="10" t="inlineStr">
        <is>
          <t>แบบ S201 (ตำแหน่ง) / ระดับรอยืนยัน</t>
        </is>
      </c>
    </row>
    <row r="89">
      <c r="A89" s="8" t="inlineStr">
        <is>
          <t>F1P-040</t>
        </is>
      </c>
      <c r="B89" s="8" t="inlineStr">
        <is>
          <t>F1P</t>
        </is>
      </c>
      <c r="C89" s="8" t="inlineStr">
        <is>
          <t>11-1.51/B-1.49</t>
        </is>
      </c>
      <c r="D89" s="9" t="n">
        <v>58.49</v>
      </c>
      <c r="E89" s="9" t="n">
        <v>4.509</v>
      </c>
      <c r="F89" s="9" t="n">
        <v>1</v>
      </c>
      <c r="G89" s="9" t="n">
        <v>1</v>
      </c>
      <c r="H89" s="9" t="n">
        <v>0.2</v>
      </c>
      <c r="I89" s="9" t="n">
        <v>0.3</v>
      </c>
      <c r="J89" s="9" t="n">
        <v>0.1</v>
      </c>
      <c r="K89" s="9" t="n">
        <v>-0.05</v>
      </c>
      <c r="L89" s="9" t="n">
        <v>0.05</v>
      </c>
      <c r="M89" s="8" t="n">
        <v>1</v>
      </c>
      <c r="N89" s="8" t="inlineStr">
        <is>
          <t>1x I-350 ยาว 22 ม.</t>
        </is>
      </c>
      <c r="O89" s="8">
        <f>F89*G89*H89</f>
        <v/>
      </c>
      <c r="P89" s="8">
        <f>2*(F89+G89)*H89</f>
        <v/>
      </c>
      <c r="Q89" s="8">
        <f>IF(L89&gt;0,(F89+2*0.1)*(G89+2*0.1)*L89,0)</f>
        <v/>
      </c>
      <c r="R89" s="8">
        <f>(F89+0.2)*(G89+0.2)*0.1</f>
        <v/>
      </c>
      <c r="S89" s="8">
        <f>(F89+0.2)*(G89+0.2)*0.05</f>
        <v/>
      </c>
      <c r="T89" s="8">
        <f>INDEX('2-ฐานราก เหล็กเสริม'!$S:$S,MATCH(B89,'2-ฐานราก เหล็กเสริม'!$A:$A,0))</f>
        <v/>
      </c>
      <c r="U89" s="8" t="inlineStr">
        <is>
          <t>M24</t>
        </is>
      </c>
      <c r="V89" s="10" t="inlineStr">
        <is>
          <t>แบบ S201 (ตำแหน่ง) / ระดับรอยืนยัน</t>
        </is>
      </c>
    </row>
    <row r="90">
      <c r="A90" s="8" t="inlineStr">
        <is>
          <t>F1P-041</t>
        </is>
      </c>
      <c r="B90" s="8" t="inlineStr">
        <is>
          <t>F1P</t>
        </is>
      </c>
      <c r="C90" s="8" t="inlineStr">
        <is>
          <t>1+1.49/B+1.51</t>
        </is>
      </c>
      <c r="D90" s="9" t="n">
        <v>1.487</v>
      </c>
      <c r="E90" s="9" t="n">
        <v>7.508</v>
      </c>
      <c r="F90" s="9" t="n">
        <v>1</v>
      </c>
      <c r="G90" s="9" t="n">
        <v>1</v>
      </c>
      <c r="H90" s="9" t="n">
        <v>0.2</v>
      </c>
      <c r="I90" s="9" t="n">
        <v>0.3</v>
      </c>
      <c r="J90" s="9" t="n">
        <v>0.1</v>
      </c>
      <c r="K90" s="9" t="n">
        <v>-0.05</v>
      </c>
      <c r="L90" s="9" t="n">
        <v>0.05</v>
      </c>
      <c r="M90" s="8" t="n">
        <v>1</v>
      </c>
      <c r="N90" s="8" t="inlineStr">
        <is>
          <t>1x I-350 ยาว 22 ม.</t>
        </is>
      </c>
      <c r="O90" s="8">
        <f>F90*G90*H90</f>
        <v/>
      </c>
      <c r="P90" s="8">
        <f>2*(F90+G90)*H90</f>
        <v/>
      </c>
      <c r="Q90" s="8">
        <f>IF(L90&gt;0,(F90+2*0.1)*(G90+2*0.1)*L90,0)</f>
        <v/>
      </c>
      <c r="R90" s="8">
        <f>(F90+0.2)*(G90+0.2)*0.1</f>
        <v/>
      </c>
      <c r="S90" s="8">
        <f>(F90+0.2)*(G90+0.2)*0.05</f>
        <v/>
      </c>
      <c r="T90" s="8">
        <f>INDEX('2-ฐานราก เหล็กเสริม'!$S:$S,MATCH(B90,'2-ฐานราก เหล็กเสริม'!$A:$A,0))</f>
        <v/>
      </c>
      <c r="U90" s="8" t="inlineStr">
        <is>
          <t>M24</t>
        </is>
      </c>
      <c r="V90" s="10" t="inlineStr">
        <is>
          <t>แบบ S201 (ตำแหน่ง) / ระดับรอยืนยัน</t>
        </is>
      </c>
    </row>
    <row r="91">
      <c r="A91" s="8" t="inlineStr">
        <is>
          <t>F1P-042</t>
        </is>
      </c>
      <c r="B91" s="8" t="inlineStr">
        <is>
          <t>F1P</t>
        </is>
      </c>
      <c r="C91" s="8" t="inlineStr">
        <is>
          <t>2-1.51/B+1.51</t>
        </is>
      </c>
      <c r="D91" s="9" t="n">
        <v>4.485</v>
      </c>
      <c r="E91" s="9" t="n">
        <v>7.508</v>
      </c>
      <c r="F91" s="9" t="n">
        <v>1</v>
      </c>
      <c r="G91" s="9" t="n">
        <v>1</v>
      </c>
      <c r="H91" s="9" t="n">
        <v>0.2</v>
      </c>
      <c r="I91" s="9" t="n">
        <v>0.3</v>
      </c>
      <c r="J91" s="9" t="n">
        <v>0.1</v>
      </c>
      <c r="K91" s="9" t="n">
        <v>-0.05</v>
      </c>
      <c r="L91" s="9" t="n">
        <v>0.05</v>
      </c>
      <c r="M91" s="8" t="n">
        <v>1</v>
      </c>
      <c r="N91" s="8" t="inlineStr">
        <is>
          <t>1x I-350 ยาว 22 ม.</t>
        </is>
      </c>
      <c r="O91" s="8">
        <f>F91*G91*H91</f>
        <v/>
      </c>
      <c r="P91" s="8">
        <f>2*(F91+G91)*H91</f>
        <v/>
      </c>
      <c r="Q91" s="8">
        <f>IF(L91&gt;0,(F91+2*0.1)*(G91+2*0.1)*L91,0)</f>
        <v/>
      </c>
      <c r="R91" s="8">
        <f>(F91+0.2)*(G91+0.2)*0.1</f>
        <v/>
      </c>
      <c r="S91" s="8">
        <f>(F91+0.2)*(G91+0.2)*0.05</f>
        <v/>
      </c>
      <c r="T91" s="8">
        <f>INDEX('2-ฐานราก เหล็กเสริม'!$S:$S,MATCH(B91,'2-ฐานราก เหล็กเสริม'!$A:$A,0))</f>
        <v/>
      </c>
      <c r="U91" s="8" t="inlineStr">
        <is>
          <t>M24</t>
        </is>
      </c>
      <c r="V91" s="10" t="inlineStr">
        <is>
          <t>แบบ S201 (ตำแหน่ง) / ระดับรอยืนยัน</t>
        </is>
      </c>
    </row>
    <row r="92">
      <c r="A92" s="8" t="inlineStr">
        <is>
          <t>F1P-043</t>
        </is>
      </c>
      <c r="B92" s="8" t="inlineStr">
        <is>
          <t>F1P</t>
        </is>
      </c>
      <c r="C92" s="8" t="inlineStr">
        <is>
          <t>2+1.49/B+1.51</t>
        </is>
      </c>
      <c r="D92" s="9" t="n">
        <v>7.491</v>
      </c>
      <c r="E92" s="9" t="n">
        <v>7.508</v>
      </c>
      <c r="F92" s="9" t="n">
        <v>1</v>
      </c>
      <c r="G92" s="9" t="n">
        <v>1</v>
      </c>
      <c r="H92" s="9" t="n">
        <v>0.2</v>
      </c>
      <c r="I92" s="9" t="n">
        <v>0.3</v>
      </c>
      <c r="J92" s="9" t="n">
        <v>0.1</v>
      </c>
      <c r="K92" s="9" t="n">
        <v>-0.05</v>
      </c>
      <c r="L92" s="9" t="n">
        <v>0.05</v>
      </c>
      <c r="M92" s="8" t="n">
        <v>1</v>
      </c>
      <c r="N92" s="8" t="inlineStr">
        <is>
          <t>1x I-350 ยาว 22 ม.</t>
        </is>
      </c>
      <c r="O92" s="8">
        <f>F92*G92*H92</f>
        <v/>
      </c>
      <c r="P92" s="8">
        <f>2*(F92+G92)*H92</f>
        <v/>
      </c>
      <c r="Q92" s="8">
        <f>IF(L92&gt;0,(F92+2*0.1)*(G92+2*0.1)*L92,0)</f>
        <v/>
      </c>
      <c r="R92" s="8">
        <f>(F92+0.2)*(G92+0.2)*0.1</f>
        <v/>
      </c>
      <c r="S92" s="8">
        <f>(F92+0.2)*(G92+0.2)*0.05</f>
        <v/>
      </c>
      <c r="T92" s="8">
        <f>INDEX('2-ฐานราก เหล็กเสริม'!$S:$S,MATCH(B92,'2-ฐานราก เหล็กเสริม'!$A:$A,0))</f>
        <v/>
      </c>
      <c r="U92" s="8" t="inlineStr">
        <is>
          <t>M24</t>
        </is>
      </c>
      <c r="V92" s="10" t="inlineStr">
        <is>
          <t>แบบ S201 (ตำแหน่ง) / ระดับรอยืนยัน</t>
        </is>
      </c>
    </row>
    <row r="93">
      <c r="A93" s="8" t="inlineStr">
        <is>
          <t>F1P-044</t>
        </is>
      </c>
      <c r="B93" s="8" t="inlineStr">
        <is>
          <t>F1P</t>
        </is>
      </c>
      <c r="C93" s="8" t="inlineStr">
        <is>
          <t>3-1.51/B+1.51</t>
        </is>
      </c>
      <c r="D93" s="9" t="n">
        <v>10.49</v>
      </c>
      <c r="E93" s="9" t="n">
        <v>7.508</v>
      </c>
      <c r="F93" s="9" t="n">
        <v>1</v>
      </c>
      <c r="G93" s="9" t="n">
        <v>1</v>
      </c>
      <c r="H93" s="9" t="n">
        <v>0.2</v>
      </c>
      <c r="I93" s="9" t="n">
        <v>0.3</v>
      </c>
      <c r="J93" s="9" t="n">
        <v>0.1</v>
      </c>
      <c r="K93" s="9" t="n">
        <v>-0.05</v>
      </c>
      <c r="L93" s="9" t="n">
        <v>0.05</v>
      </c>
      <c r="M93" s="8" t="n">
        <v>1</v>
      </c>
      <c r="N93" s="8" t="inlineStr">
        <is>
          <t>1x I-350 ยาว 22 ม.</t>
        </is>
      </c>
      <c r="O93" s="8">
        <f>F93*G93*H93</f>
        <v/>
      </c>
      <c r="P93" s="8">
        <f>2*(F93+G93)*H93</f>
        <v/>
      </c>
      <c r="Q93" s="8">
        <f>IF(L93&gt;0,(F93+2*0.1)*(G93+2*0.1)*L93,0)</f>
        <v/>
      </c>
      <c r="R93" s="8">
        <f>(F93+0.2)*(G93+0.2)*0.1</f>
        <v/>
      </c>
      <c r="S93" s="8">
        <f>(F93+0.2)*(G93+0.2)*0.05</f>
        <v/>
      </c>
      <c r="T93" s="8">
        <f>INDEX('2-ฐานราก เหล็กเสริม'!$S:$S,MATCH(B93,'2-ฐานราก เหล็กเสริม'!$A:$A,0))</f>
        <v/>
      </c>
      <c r="U93" s="8" t="inlineStr">
        <is>
          <t>M24</t>
        </is>
      </c>
      <c r="V93" s="10" t="inlineStr">
        <is>
          <t>แบบ S201 (ตำแหน่ง) / ระดับรอยืนยัน</t>
        </is>
      </c>
    </row>
    <row r="94">
      <c r="A94" s="8" t="inlineStr">
        <is>
          <t>F1P-045</t>
        </is>
      </c>
      <c r="B94" s="8" t="inlineStr">
        <is>
          <t>F1P</t>
        </is>
      </c>
      <c r="C94" s="8" t="inlineStr">
        <is>
          <t>3+1.49/B+1.51</t>
        </is>
      </c>
      <c r="D94" s="9" t="n">
        <v>13.488</v>
      </c>
      <c r="E94" s="9" t="n">
        <v>7.508</v>
      </c>
      <c r="F94" s="9" t="n">
        <v>1</v>
      </c>
      <c r="G94" s="9" t="n">
        <v>1</v>
      </c>
      <c r="H94" s="9" t="n">
        <v>0.2</v>
      </c>
      <c r="I94" s="9" t="n">
        <v>0.3</v>
      </c>
      <c r="J94" s="9" t="n">
        <v>0.1</v>
      </c>
      <c r="K94" s="9" t="n">
        <v>-0.05</v>
      </c>
      <c r="L94" s="9" t="n">
        <v>0.05</v>
      </c>
      <c r="M94" s="8" t="n">
        <v>1</v>
      </c>
      <c r="N94" s="8" t="inlineStr">
        <is>
          <t>1x I-350 ยาว 22 ม.</t>
        </is>
      </c>
      <c r="O94" s="8">
        <f>F94*G94*H94</f>
        <v/>
      </c>
      <c r="P94" s="8">
        <f>2*(F94+G94)*H94</f>
        <v/>
      </c>
      <c r="Q94" s="8">
        <f>IF(L94&gt;0,(F94+2*0.1)*(G94+2*0.1)*L94,0)</f>
        <v/>
      </c>
      <c r="R94" s="8">
        <f>(F94+0.2)*(G94+0.2)*0.1</f>
        <v/>
      </c>
      <c r="S94" s="8">
        <f>(F94+0.2)*(G94+0.2)*0.05</f>
        <v/>
      </c>
      <c r="T94" s="8">
        <f>INDEX('2-ฐานราก เหล็กเสริม'!$S:$S,MATCH(B94,'2-ฐานราก เหล็กเสริม'!$A:$A,0))</f>
        <v/>
      </c>
      <c r="U94" s="8" t="inlineStr">
        <is>
          <t>M24</t>
        </is>
      </c>
      <c r="V94" s="10" t="inlineStr">
        <is>
          <t>แบบ S201 (ตำแหน่ง) / ระดับรอยืนยัน</t>
        </is>
      </c>
    </row>
    <row r="95">
      <c r="A95" s="8" t="inlineStr">
        <is>
          <t>F1P-046</t>
        </is>
      </c>
      <c r="B95" s="8" t="inlineStr">
        <is>
          <t>F1P</t>
        </is>
      </c>
      <c r="C95" s="8" t="inlineStr">
        <is>
          <t>4-1.51/B+1.51</t>
        </is>
      </c>
      <c r="D95" s="9" t="n">
        <v>16.487</v>
      </c>
      <c r="E95" s="9" t="n">
        <v>7.508</v>
      </c>
      <c r="F95" s="9" t="n">
        <v>1</v>
      </c>
      <c r="G95" s="9" t="n">
        <v>1</v>
      </c>
      <c r="H95" s="9" t="n">
        <v>0.2</v>
      </c>
      <c r="I95" s="9" t="n">
        <v>0.3</v>
      </c>
      <c r="J95" s="9" t="n">
        <v>0.1</v>
      </c>
      <c r="K95" s="9" t="n">
        <v>-0.05</v>
      </c>
      <c r="L95" s="9" t="n">
        <v>0.05</v>
      </c>
      <c r="M95" s="8" t="n">
        <v>1</v>
      </c>
      <c r="N95" s="8" t="inlineStr">
        <is>
          <t>1x I-350 ยาว 22 ม.</t>
        </is>
      </c>
      <c r="O95" s="8">
        <f>F95*G95*H95</f>
        <v/>
      </c>
      <c r="P95" s="8">
        <f>2*(F95+G95)*H95</f>
        <v/>
      </c>
      <c r="Q95" s="8">
        <f>IF(L95&gt;0,(F95+2*0.1)*(G95+2*0.1)*L95,0)</f>
        <v/>
      </c>
      <c r="R95" s="8">
        <f>(F95+0.2)*(G95+0.2)*0.1</f>
        <v/>
      </c>
      <c r="S95" s="8">
        <f>(F95+0.2)*(G95+0.2)*0.05</f>
        <v/>
      </c>
      <c r="T95" s="8">
        <f>INDEX('2-ฐานราก เหล็กเสริม'!$S:$S,MATCH(B95,'2-ฐานราก เหล็กเสริม'!$A:$A,0))</f>
        <v/>
      </c>
      <c r="U95" s="8" t="inlineStr">
        <is>
          <t>M24</t>
        </is>
      </c>
      <c r="V95" s="10" t="inlineStr">
        <is>
          <t>แบบ S201 (ตำแหน่ง) / ระดับรอยืนยัน</t>
        </is>
      </c>
    </row>
    <row r="96">
      <c r="A96" s="8" t="inlineStr">
        <is>
          <t>F1P-047</t>
        </is>
      </c>
      <c r="B96" s="8" t="inlineStr">
        <is>
          <t>F1P</t>
        </is>
      </c>
      <c r="C96" s="8" t="inlineStr">
        <is>
          <t>4+1.49/B+1.51</t>
        </is>
      </c>
      <c r="D96" s="9" t="n">
        <v>19.486</v>
      </c>
      <c r="E96" s="9" t="n">
        <v>7.508</v>
      </c>
      <c r="F96" s="9" t="n">
        <v>1</v>
      </c>
      <c r="G96" s="9" t="n">
        <v>1</v>
      </c>
      <c r="H96" s="9" t="n">
        <v>0.2</v>
      </c>
      <c r="I96" s="9" t="n">
        <v>0.3</v>
      </c>
      <c r="J96" s="9" t="n">
        <v>0.1</v>
      </c>
      <c r="K96" s="9" t="n">
        <v>-0.05</v>
      </c>
      <c r="L96" s="9" t="n">
        <v>0.05</v>
      </c>
      <c r="M96" s="8" t="n">
        <v>1</v>
      </c>
      <c r="N96" s="8" t="inlineStr">
        <is>
          <t>1x I-350 ยาว 22 ม.</t>
        </is>
      </c>
      <c r="O96" s="8">
        <f>F96*G96*H96</f>
        <v/>
      </c>
      <c r="P96" s="8">
        <f>2*(F96+G96)*H96</f>
        <v/>
      </c>
      <c r="Q96" s="8">
        <f>IF(L96&gt;0,(F96+2*0.1)*(G96+2*0.1)*L96,0)</f>
        <v/>
      </c>
      <c r="R96" s="8">
        <f>(F96+0.2)*(G96+0.2)*0.1</f>
        <v/>
      </c>
      <c r="S96" s="8">
        <f>(F96+0.2)*(G96+0.2)*0.05</f>
        <v/>
      </c>
      <c r="T96" s="8">
        <f>INDEX('2-ฐานราก เหล็กเสริม'!$S:$S,MATCH(B96,'2-ฐานราก เหล็กเสริม'!$A:$A,0))</f>
        <v/>
      </c>
      <c r="U96" s="8" t="inlineStr">
        <is>
          <t>M24</t>
        </is>
      </c>
      <c r="V96" s="10" t="inlineStr">
        <is>
          <t>แบบ S201 (ตำแหน่ง) / ระดับรอยืนยัน</t>
        </is>
      </c>
    </row>
    <row r="97">
      <c r="A97" s="8" t="inlineStr">
        <is>
          <t>F1P-048</t>
        </is>
      </c>
      <c r="B97" s="8" t="inlineStr">
        <is>
          <t>F1P</t>
        </is>
      </c>
      <c r="C97" s="8" t="inlineStr">
        <is>
          <t>5-1.51/B+1.51</t>
        </is>
      </c>
      <c r="D97" s="9" t="n">
        <v>22.491</v>
      </c>
      <c r="E97" s="9" t="n">
        <v>7.508</v>
      </c>
      <c r="F97" s="9" t="n">
        <v>1</v>
      </c>
      <c r="G97" s="9" t="n">
        <v>1</v>
      </c>
      <c r="H97" s="9" t="n">
        <v>0.2</v>
      </c>
      <c r="I97" s="9" t="n">
        <v>0.3</v>
      </c>
      <c r="J97" s="9" t="n">
        <v>0.1</v>
      </c>
      <c r="K97" s="9" t="n">
        <v>-0.05</v>
      </c>
      <c r="L97" s="9" t="n">
        <v>0.05</v>
      </c>
      <c r="M97" s="8" t="n">
        <v>1</v>
      </c>
      <c r="N97" s="8" t="inlineStr">
        <is>
          <t>1x I-350 ยาว 22 ม.</t>
        </is>
      </c>
      <c r="O97" s="8">
        <f>F97*G97*H97</f>
        <v/>
      </c>
      <c r="P97" s="8">
        <f>2*(F97+G97)*H97</f>
        <v/>
      </c>
      <c r="Q97" s="8">
        <f>IF(L97&gt;0,(F97+2*0.1)*(G97+2*0.1)*L97,0)</f>
        <v/>
      </c>
      <c r="R97" s="8">
        <f>(F97+0.2)*(G97+0.2)*0.1</f>
        <v/>
      </c>
      <c r="S97" s="8">
        <f>(F97+0.2)*(G97+0.2)*0.05</f>
        <v/>
      </c>
      <c r="T97" s="8">
        <f>INDEX('2-ฐานราก เหล็กเสริม'!$S:$S,MATCH(B97,'2-ฐานราก เหล็กเสริม'!$A:$A,0))</f>
        <v/>
      </c>
      <c r="U97" s="8" t="inlineStr">
        <is>
          <t>M24</t>
        </is>
      </c>
      <c r="V97" s="10" t="inlineStr">
        <is>
          <t>แบบ S201 (ตำแหน่ง) / ระดับรอยืนยัน</t>
        </is>
      </c>
    </row>
    <row r="98">
      <c r="A98" s="8" t="inlineStr">
        <is>
          <t>F1P-049</t>
        </is>
      </c>
      <c r="B98" s="8" t="inlineStr">
        <is>
          <t>F1P</t>
        </is>
      </c>
      <c r="C98" s="8" t="inlineStr">
        <is>
          <t>5+1.49/B+1.51</t>
        </is>
      </c>
      <c r="D98" s="9" t="n">
        <v>25.49</v>
      </c>
      <c r="E98" s="9" t="n">
        <v>7.508</v>
      </c>
      <c r="F98" s="9" t="n">
        <v>1</v>
      </c>
      <c r="G98" s="9" t="n">
        <v>1</v>
      </c>
      <c r="H98" s="9" t="n">
        <v>0.2</v>
      </c>
      <c r="I98" s="9" t="n">
        <v>0.3</v>
      </c>
      <c r="J98" s="9" t="n">
        <v>0.1</v>
      </c>
      <c r="K98" s="9" t="n">
        <v>-0.05</v>
      </c>
      <c r="L98" s="9" t="n">
        <v>0.05</v>
      </c>
      <c r="M98" s="8" t="n">
        <v>1</v>
      </c>
      <c r="N98" s="8" t="inlineStr">
        <is>
          <t>1x I-350 ยาว 22 ม.</t>
        </is>
      </c>
      <c r="O98" s="8">
        <f>F98*G98*H98</f>
        <v/>
      </c>
      <c r="P98" s="8">
        <f>2*(F98+G98)*H98</f>
        <v/>
      </c>
      <c r="Q98" s="8">
        <f>IF(L98&gt;0,(F98+2*0.1)*(G98+2*0.1)*L98,0)</f>
        <v/>
      </c>
      <c r="R98" s="8">
        <f>(F98+0.2)*(G98+0.2)*0.1</f>
        <v/>
      </c>
      <c r="S98" s="8">
        <f>(F98+0.2)*(G98+0.2)*0.05</f>
        <v/>
      </c>
      <c r="T98" s="8">
        <f>INDEX('2-ฐานราก เหล็กเสริม'!$S:$S,MATCH(B98,'2-ฐานราก เหล็กเสริม'!$A:$A,0))</f>
        <v/>
      </c>
      <c r="U98" s="8" t="inlineStr">
        <is>
          <t>M24</t>
        </is>
      </c>
      <c r="V98" s="10" t="inlineStr">
        <is>
          <t>แบบ S201 (ตำแหน่ง) / ระดับรอยืนยัน</t>
        </is>
      </c>
    </row>
    <row r="99">
      <c r="A99" s="8" t="inlineStr">
        <is>
          <t>F1P-050</t>
        </is>
      </c>
      <c r="B99" s="8" t="inlineStr">
        <is>
          <t>F1P</t>
        </is>
      </c>
      <c r="C99" s="8" t="inlineStr">
        <is>
          <t>6-1.51/B+1.51</t>
        </is>
      </c>
      <c r="D99" s="9" t="n">
        <v>28.489</v>
      </c>
      <c r="E99" s="9" t="n">
        <v>7.508</v>
      </c>
      <c r="F99" s="9" t="n">
        <v>1</v>
      </c>
      <c r="G99" s="9" t="n">
        <v>1</v>
      </c>
      <c r="H99" s="9" t="n">
        <v>0.2</v>
      </c>
      <c r="I99" s="9" t="n">
        <v>0.3</v>
      </c>
      <c r="J99" s="9" t="n">
        <v>0.1</v>
      </c>
      <c r="K99" s="9" t="n">
        <v>-0.05</v>
      </c>
      <c r="L99" s="9" t="n">
        <v>0.05</v>
      </c>
      <c r="M99" s="8" t="n">
        <v>1</v>
      </c>
      <c r="N99" s="8" t="inlineStr">
        <is>
          <t>1x I-350 ยาว 22 ม.</t>
        </is>
      </c>
      <c r="O99" s="8">
        <f>F99*G99*H99</f>
        <v/>
      </c>
      <c r="P99" s="8">
        <f>2*(F99+G99)*H99</f>
        <v/>
      </c>
      <c r="Q99" s="8">
        <f>IF(L99&gt;0,(F99+2*0.1)*(G99+2*0.1)*L99,0)</f>
        <v/>
      </c>
      <c r="R99" s="8">
        <f>(F99+0.2)*(G99+0.2)*0.1</f>
        <v/>
      </c>
      <c r="S99" s="8">
        <f>(F99+0.2)*(G99+0.2)*0.05</f>
        <v/>
      </c>
      <c r="T99" s="8">
        <f>INDEX('2-ฐานราก เหล็กเสริม'!$S:$S,MATCH(B99,'2-ฐานราก เหล็กเสริม'!$A:$A,0))</f>
        <v/>
      </c>
      <c r="U99" s="8" t="inlineStr">
        <is>
          <t>M24</t>
        </is>
      </c>
      <c r="V99" s="10" t="inlineStr">
        <is>
          <t>แบบ S201 (ตำแหน่ง) / ระดับรอยืนยัน</t>
        </is>
      </c>
    </row>
    <row r="100">
      <c r="A100" s="8" t="inlineStr">
        <is>
          <t>F1P-051</t>
        </is>
      </c>
      <c r="B100" s="8" t="inlineStr">
        <is>
          <t>F1P</t>
        </is>
      </c>
      <c r="C100" s="8" t="inlineStr">
        <is>
          <t>6+1.49/B+1.51</t>
        </is>
      </c>
      <c r="D100" s="9" t="n">
        <v>31.488</v>
      </c>
      <c r="E100" s="9" t="n">
        <v>7.508</v>
      </c>
      <c r="F100" s="9" t="n">
        <v>1</v>
      </c>
      <c r="G100" s="9" t="n">
        <v>1</v>
      </c>
      <c r="H100" s="9" t="n">
        <v>0.2</v>
      </c>
      <c r="I100" s="9" t="n">
        <v>0.3</v>
      </c>
      <c r="J100" s="9" t="n">
        <v>0.1</v>
      </c>
      <c r="K100" s="9" t="n">
        <v>-0.05</v>
      </c>
      <c r="L100" s="9" t="n">
        <v>0.05</v>
      </c>
      <c r="M100" s="8" t="n">
        <v>1</v>
      </c>
      <c r="N100" s="8" t="inlineStr">
        <is>
          <t>1x I-350 ยาว 22 ม.</t>
        </is>
      </c>
      <c r="O100" s="8">
        <f>F100*G100*H100</f>
        <v/>
      </c>
      <c r="P100" s="8">
        <f>2*(F100+G100)*H100</f>
        <v/>
      </c>
      <c r="Q100" s="8">
        <f>IF(L100&gt;0,(F100+2*0.1)*(G100+2*0.1)*L100,0)</f>
        <v/>
      </c>
      <c r="R100" s="8">
        <f>(F100+0.2)*(G100+0.2)*0.1</f>
        <v/>
      </c>
      <c r="S100" s="8">
        <f>(F100+0.2)*(G100+0.2)*0.05</f>
        <v/>
      </c>
      <c r="T100" s="8">
        <f>INDEX('2-ฐานราก เหล็กเสริม'!$S:$S,MATCH(B100,'2-ฐานราก เหล็กเสริม'!$A:$A,0))</f>
        <v/>
      </c>
      <c r="U100" s="8" t="inlineStr">
        <is>
          <t>M24</t>
        </is>
      </c>
      <c r="V100" s="10" t="inlineStr">
        <is>
          <t>แบบ S201 (ตำแหน่ง) / ระดับรอยืนยัน</t>
        </is>
      </c>
    </row>
    <row r="101">
      <c r="A101" s="8" t="inlineStr">
        <is>
          <t>F1P-052</t>
        </is>
      </c>
      <c r="B101" s="8" t="inlineStr">
        <is>
          <t>F1P</t>
        </is>
      </c>
      <c r="C101" s="8" t="inlineStr">
        <is>
          <t>7-1.51/B+1.51</t>
        </is>
      </c>
      <c r="D101" s="9" t="n">
        <v>34.493</v>
      </c>
      <c r="E101" s="9" t="n">
        <v>7.508</v>
      </c>
      <c r="F101" s="9" t="n">
        <v>1</v>
      </c>
      <c r="G101" s="9" t="n">
        <v>1</v>
      </c>
      <c r="H101" s="9" t="n">
        <v>0.2</v>
      </c>
      <c r="I101" s="9" t="n">
        <v>0.3</v>
      </c>
      <c r="J101" s="9" t="n">
        <v>0.1</v>
      </c>
      <c r="K101" s="9" t="n">
        <v>-0.05</v>
      </c>
      <c r="L101" s="9" t="n">
        <v>0.05</v>
      </c>
      <c r="M101" s="8" t="n">
        <v>1</v>
      </c>
      <c r="N101" s="8" t="inlineStr">
        <is>
          <t>1x I-350 ยาว 22 ม.</t>
        </is>
      </c>
      <c r="O101" s="8">
        <f>F101*G101*H101</f>
        <v/>
      </c>
      <c r="P101" s="8">
        <f>2*(F101+G101)*H101</f>
        <v/>
      </c>
      <c r="Q101" s="8">
        <f>IF(L101&gt;0,(F101+2*0.1)*(G101+2*0.1)*L101,0)</f>
        <v/>
      </c>
      <c r="R101" s="8">
        <f>(F101+0.2)*(G101+0.2)*0.1</f>
        <v/>
      </c>
      <c r="S101" s="8">
        <f>(F101+0.2)*(G101+0.2)*0.05</f>
        <v/>
      </c>
      <c r="T101" s="8">
        <f>INDEX('2-ฐานราก เหล็กเสริม'!$S:$S,MATCH(B101,'2-ฐานราก เหล็กเสริม'!$A:$A,0))</f>
        <v/>
      </c>
      <c r="U101" s="8" t="inlineStr">
        <is>
          <t>M24</t>
        </is>
      </c>
      <c r="V101" s="10" t="inlineStr">
        <is>
          <t>แบบ S201 (ตำแหน่ง) / ระดับรอยืนยัน</t>
        </is>
      </c>
    </row>
    <row r="102">
      <c r="A102" s="8" t="inlineStr">
        <is>
          <t>F1P-053</t>
        </is>
      </c>
      <c r="B102" s="8" t="inlineStr">
        <is>
          <t>F1P</t>
        </is>
      </c>
      <c r="C102" s="8" t="inlineStr">
        <is>
          <t>7+1.49/B+1.51</t>
        </is>
      </c>
      <c r="D102" s="9" t="n">
        <v>37.492</v>
      </c>
      <c r="E102" s="9" t="n">
        <v>7.508</v>
      </c>
      <c r="F102" s="9" t="n">
        <v>1</v>
      </c>
      <c r="G102" s="9" t="n">
        <v>1</v>
      </c>
      <c r="H102" s="9" t="n">
        <v>0.2</v>
      </c>
      <c r="I102" s="9" t="n">
        <v>0.3</v>
      </c>
      <c r="J102" s="9" t="n">
        <v>0.1</v>
      </c>
      <c r="K102" s="9" t="n">
        <v>-0.05</v>
      </c>
      <c r="L102" s="9" t="n">
        <v>0.05</v>
      </c>
      <c r="M102" s="8" t="n">
        <v>1</v>
      </c>
      <c r="N102" s="8" t="inlineStr">
        <is>
          <t>1x I-350 ยาว 22 ม.</t>
        </is>
      </c>
      <c r="O102" s="8">
        <f>F102*G102*H102</f>
        <v/>
      </c>
      <c r="P102" s="8">
        <f>2*(F102+G102)*H102</f>
        <v/>
      </c>
      <c r="Q102" s="8">
        <f>IF(L102&gt;0,(F102+2*0.1)*(G102+2*0.1)*L102,0)</f>
        <v/>
      </c>
      <c r="R102" s="8">
        <f>(F102+0.2)*(G102+0.2)*0.1</f>
        <v/>
      </c>
      <c r="S102" s="8">
        <f>(F102+0.2)*(G102+0.2)*0.05</f>
        <v/>
      </c>
      <c r="T102" s="8">
        <f>INDEX('2-ฐานราก เหล็กเสริม'!$S:$S,MATCH(B102,'2-ฐานราก เหล็กเสริม'!$A:$A,0))</f>
        <v/>
      </c>
      <c r="U102" s="8" t="inlineStr">
        <is>
          <t>M24</t>
        </is>
      </c>
      <c r="V102" s="10" t="inlineStr">
        <is>
          <t>แบบ S201 (ตำแหน่ง) / ระดับรอยืนยัน</t>
        </is>
      </c>
    </row>
    <row r="103">
      <c r="A103" s="8" t="inlineStr">
        <is>
          <t>F1P-054</t>
        </is>
      </c>
      <c r="B103" s="8" t="inlineStr">
        <is>
          <t>F1P</t>
        </is>
      </c>
      <c r="C103" s="8" t="inlineStr">
        <is>
          <t>8-1.51/B+1.51</t>
        </is>
      </c>
      <c r="D103" s="9" t="n">
        <v>40.491</v>
      </c>
      <c r="E103" s="9" t="n">
        <v>7.508</v>
      </c>
      <c r="F103" s="9" t="n">
        <v>1</v>
      </c>
      <c r="G103" s="9" t="n">
        <v>1</v>
      </c>
      <c r="H103" s="9" t="n">
        <v>0.2</v>
      </c>
      <c r="I103" s="9" t="n">
        <v>0.3</v>
      </c>
      <c r="J103" s="9" t="n">
        <v>0.1</v>
      </c>
      <c r="K103" s="9" t="n">
        <v>-0.05</v>
      </c>
      <c r="L103" s="9" t="n">
        <v>0.05</v>
      </c>
      <c r="M103" s="8" t="n">
        <v>1</v>
      </c>
      <c r="N103" s="8" t="inlineStr">
        <is>
          <t>1x I-350 ยาว 22 ม.</t>
        </is>
      </c>
      <c r="O103" s="8">
        <f>F103*G103*H103</f>
        <v/>
      </c>
      <c r="P103" s="8">
        <f>2*(F103+G103)*H103</f>
        <v/>
      </c>
      <c r="Q103" s="8">
        <f>IF(L103&gt;0,(F103+2*0.1)*(G103+2*0.1)*L103,0)</f>
        <v/>
      </c>
      <c r="R103" s="8">
        <f>(F103+0.2)*(G103+0.2)*0.1</f>
        <v/>
      </c>
      <c r="S103" s="8">
        <f>(F103+0.2)*(G103+0.2)*0.05</f>
        <v/>
      </c>
      <c r="T103" s="8">
        <f>INDEX('2-ฐานราก เหล็กเสริม'!$S:$S,MATCH(B103,'2-ฐานราก เหล็กเสริม'!$A:$A,0))</f>
        <v/>
      </c>
      <c r="U103" s="8" t="inlineStr">
        <is>
          <t>M24</t>
        </is>
      </c>
      <c r="V103" s="10" t="inlineStr">
        <is>
          <t>แบบ S201 (ตำแหน่ง) / ระดับรอยืนยัน</t>
        </is>
      </c>
    </row>
    <row r="104">
      <c r="A104" s="8" t="inlineStr">
        <is>
          <t>F1P-055</t>
        </is>
      </c>
      <c r="B104" s="8" t="inlineStr">
        <is>
          <t>F1P</t>
        </is>
      </c>
      <c r="C104" s="8" t="inlineStr">
        <is>
          <t>8+1.49/B+1.51</t>
        </is>
      </c>
      <c r="D104" s="9" t="n">
        <v>43.49</v>
      </c>
      <c r="E104" s="9" t="n">
        <v>7.508</v>
      </c>
      <c r="F104" s="9" t="n">
        <v>1</v>
      </c>
      <c r="G104" s="9" t="n">
        <v>1</v>
      </c>
      <c r="H104" s="9" t="n">
        <v>0.2</v>
      </c>
      <c r="I104" s="9" t="n">
        <v>0.3</v>
      </c>
      <c r="J104" s="9" t="n">
        <v>0.1</v>
      </c>
      <c r="K104" s="9" t="n">
        <v>-0.05</v>
      </c>
      <c r="L104" s="9" t="n">
        <v>0.05</v>
      </c>
      <c r="M104" s="8" t="n">
        <v>1</v>
      </c>
      <c r="N104" s="8" t="inlineStr">
        <is>
          <t>1x I-350 ยาว 22 ม.</t>
        </is>
      </c>
      <c r="O104" s="8">
        <f>F104*G104*H104</f>
        <v/>
      </c>
      <c r="P104" s="8">
        <f>2*(F104+G104)*H104</f>
        <v/>
      </c>
      <c r="Q104" s="8">
        <f>IF(L104&gt;0,(F104+2*0.1)*(G104+2*0.1)*L104,0)</f>
        <v/>
      </c>
      <c r="R104" s="8">
        <f>(F104+0.2)*(G104+0.2)*0.1</f>
        <v/>
      </c>
      <c r="S104" s="8">
        <f>(F104+0.2)*(G104+0.2)*0.05</f>
        <v/>
      </c>
      <c r="T104" s="8">
        <f>INDEX('2-ฐานราก เหล็กเสริม'!$S:$S,MATCH(B104,'2-ฐานราก เหล็กเสริม'!$A:$A,0))</f>
        <v/>
      </c>
      <c r="U104" s="8" t="inlineStr">
        <is>
          <t>M24</t>
        </is>
      </c>
      <c r="V104" s="10" t="inlineStr">
        <is>
          <t>แบบ S201 (ตำแหน่ง) / ระดับรอยืนยัน</t>
        </is>
      </c>
    </row>
    <row r="105">
      <c r="A105" s="8" t="inlineStr">
        <is>
          <t>F1P-056</t>
        </is>
      </c>
      <c r="B105" s="8" t="inlineStr">
        <is>
          <t>F1P</t>
        </is>
      </c>
      <c r="C105" s="8" t="inlineStr">
        <is>
          <t>9-1.51/B+1.51</t>
        </is>
      </c>
      <c r="D105" s="9" t="n">
        <v>46.495</v>
      </c>
      <c r="E105" s="9" t="n">
        <v>7.508</v>
      </c>
      <c r="F105" s="9" t="n">
        <v>1</v>
      </c>
      <c r="G105" s="9" t="n">
        <v>1</v>
      </c>
      <c r="H105" s="9" t="n">
        <v>0.2</v>
      </c>
      <c r="I105" s="9" t="n">
        <v>0.3</v>
      </c>
      <c r="J105" s="9" t="n">
        <v>0.1</v>
      </c>
      <c r="K105" s="9" t="n">
        <v>-0.05</v>
      </c>
      <c r="L105" s="9" t="n">
        <v>0.05</v>
      </c>
      <c r="M105" s="8" t="n">
        <v>1</v>
      </c>
      <c r="N105" s="8" t="inlineStr">
        <is>
          <t>1x I-350 ยาว 22 ม.</t>
        </is>
      </c>
      <c r="O105" s="8">
        <f>F105*G105*H105</f>
        <v/>
      </c>
      <c r="P105" s="8">
        <f>2*(F105+G105)*H105</f>
        <v/>
      </c>
      <c r="Q105" s="8">
        <f>IF(L105&gt;0,(F105+2*0.1)*(G105+2*0.1)*L105,0)</f>
        <v/>
      </c>
      <c r="R105" s="8">
        <f>(F105+0.2)*(G105+0.2)*0.1</f>
        <v/>
      </c>
      <c r="S105" s="8">
        <f>(F105+0.2)*(G105+0.2)*0.05</f>
        <v/>
      </c>
      <c r="T105" s="8">
        <f>INDEX('2-ฐานราก เหล็กเสริม'!$S:$S,MATCH(B105,'2-ฐานราก เหล็กเสริม'!$A:$A,0))</f>
        <v/>
      </c>
      <c r="U105" s="8" t="inlineStr">
        <is>
          <t>M24</t>
        </is>
      </c>
      <c r="V105" s="10" t="inlineStr">
        <is>
          <t>แบบ S201 (ตำแหน่ง) / ระดับรอยืนยัน</t>
        </is>
      </c>
    </row>
    <row r="106">
      <c r="A106" s="8" t="inlineStr">
        <is>
          <t>F1P-057</t>
        </is>
      </c>
      <c r="B106" s="8" t="inlineStr">
        <is>
          <t>F1P</t>
        </is>
      </c>
      <c r="C106" s="8" t="inlineStr">
        <is>
          <t>9+1.49/B+1.51</t>
        </is>
      </c>
      <c r="D106" s="9" t="n">
        <v>49.494</v>
      </c>
      <c r="E106" s="9" t="n">
        <v>7.508</v>
      </c>
      <c r="F106" s="9" t="n">
        <v>1</v>
      </c>
      <c r="G106" s="9" t="n">
        <v>1</v>
      </c>
      <c r="H106" s="9" t="n">
        <v>0.2</v>
      </c>
      <c r="I106" s="9" t="n">
        <v>0.3</v>
      </c>
      <c r="J106" s="9" t="n">
        <v>0.1</v>
      </c>
      <c r="K106" s="9" t="n">
        <v>-0.05</v>
      </c>
      <c r="L106" s="9" t="n">
        <v>0.05</v>
      </c>
      <c r="M106" s="8" t="n">
        <v>1</v>
      </c>
      <c r="N106" s="8" t="inlineStr">
        <is>
          <t>1x I-350 ยาว 22 ม.</t>
        </is>
      </c>
      <c r="O106" s="8">
        <f>F106*G106*H106</f>
        <v/>
      </c>
      <c r="P106" s="8">
        <f>2*(F106+G106)*H106</f>
        <v/>
      </c>
      <c r="Q106" s="8">
        <f>IF(L106&gt;0,(F106+2*0.1)*(G106+2*0.1)*L106,0)</f>
        <v/>
      </c>
      <c r="R106" s="8">
        <f>(F106+0.2)*(G106+0.2)*0.1</f>
        <v/>
      </c>
      <c r="S106" s="8">
        <f>(F106+0.2)*(G106+0.2)*0.05</f>
        <v/>
      </c>
      <c r="T106" s="8">
        <f>INDEX('2-ฐานราก เหล็กเสริม'!$S:$S,MATCH(B106,'2-ฐานราก เหล็กเสริม'!$A:$A,0))</f>
        <v/>
      </c>
      <c r="U106" s="8" t="inlineStr">
        <is>
          <t>M24</t>
        </is>
      </c>
      <c r="V106" s="10" t="inlineStr">
        <is>
          <t>แบบ S201 (ตำแหน่ง) / ระดับรอยืนยัน</t>
        </is>
      </c>
    </row>
    <row r="107">
      <c r="A107" s="8" t="inlineStr">
        <is>
          <t>F1P-058</t>
        </is>
      </c>
      <c r="B107" s="8" t="inlineStr">
        <is>
          <t>F1P</t>
        </is>
      </c>
      <c r="C107" s="8" t="inlineStr">
        <is>
          <t>10-1.51/B+1.51</t>
        </is>
      </c>
      <c r="D107" s="9" t="n">
        <v>52.493</v>
      </c>
      <c r="E107" s="9" t="n">
        <v>7.508</v>
      </c>
      <c r="F107" s="9" t="n">
        <v>1</v>
      </c>
      <c r="G107" s="9" t="n">
        <v>1</v>
      </c>
      <c r="H107" s="9" t="n">
        <v>0.2</v>
      </c>
      <c r="I107" s="9" t="n">
        <v>0.3</v>
      </c>
      <c r="J107" s="9" t="n">
        <v>0.1</v>
      </c>
      <c r="K107" s="9" t="n">
        <v>-0.05</v>
      </c>
      <c r="L107" s="9" t="n">
        <v>0.05</v>
      </c>
      <c r="M107" s="8" t="n">
        <v>1</v>
      </c>
      <c r="N107" s="8" t="inlineStr">
        <is>
          <t>1x I-350 ยาว 22 ม.</t>
        </is>
      </c>
      <c r="O107" s="8">
        <f>F107*G107*H107</f>
        <v/>
      </c>
      <c r="P107" s="8">
        <f>2*(F107+G107)*H107</f>
        <v/>
      </c>
      <c r="Q107" s="8">
        <f>IF(L107&gt;0,(F107+2*0.1)*(G107+2*0.1)*L107,0)</f>
        <v/>
      </c>
      <c r="R107" s="8">
        <f>(F107+0.2)*(G107+0.2)*0.1</f>
        <v/>
      </c>
      <c r="S107" s="8">
        <f>(F107+0.2)*(G107+0.2)*0.05</f>
        <v/>
      </c>
      <c r="T107" s="8">
        <f>INDEX('2-ฐานราก เหล็กเสริม'!$S:$S,MATCH(B107,'2-ฐานราก เหล็กเสริม'!$A:$A,0))</f>
        <v/>
      </c>
      <c r="U107" s="8" t="inlineStr">
        <is>
          <t>M24</t>
        </is>
      </c>
      <c r="V107" s="10" t="inlineStr">
        <is>
          <t>แบบ S201 (ตำแหน่ง) / ระดับรอยืนยัน</t>
        </is>
      </c>
    </row>
    <row r="108">
      <c r="A108" s="8" t="inlineStr">
        <is>
          <t>F1P-059</t>
        </is>
      </c>
      <c r="B108" s="8" t="inlineStr">
        <is>
          <t>F1P</t>
        </is>
      </c>
      <c r="C108" s="8" t="inlineStr">
        <is>
          <t>10+1.49/B+1.51</t>
        </is>
      </c>
      <c r="D108" s="9" t="n">
        <v>55.492</v>
      </c>
      <c r="E108" s="9" t="n">
        <v>7.508</v>
      </c>
      <c r="F108" s="9" t="n">
        <v>1</v>
      </c>
      <c r="G108" s="9" t="n">
        <v>1</v>
      </c>
      <c r="H108" s="9" t="n">
        <v>0.2</v>
      </c>
      <c r="I108" s="9" t="n">
        <v>0.3</v>
      </c>
      <c r="J108" s="9" t="n">
        <v>0.1</v>
      </c>
      <c r="K108" s="9" t="n">
        <v>-0.05</v>
      </c>
      <c r="L108" s="9" t="n">
        <v>0.05</v>
      </c>
      <c r="M108" s="8" t="n">
        <v>1</v>
      </c>
      <c r="N108" s="8" t="inlineStr">
        <is>
          <t>1x I-350 ยาว 22 ม.</t>
        </is>
      </c>
      <c r="O108" s="8">
        <f>F108*G108*H108</f>
        <v/>
      </c>
      <c r="P108" s="8">
        <f>2*(F108+G108)*H108</f>
        <v/>
      </c>
      <c r="Q108" s="8">
        <f>IF(L108&gt;0,(F108+2*0.1)*(G108+2*0.1)*L108,0)</f>
        <v/>
      </c>
      <c r="R108" s="8">
        <f>(F108+0.2)*(G108+0.2)*0.1</f>
        <v/>
      </c>
      <c r="S108" s="8">
        <f>(F108+0.2)*(G108+0.2)*0.05</f>
        <v/>
      </c>
      <c r="T108" s="8">
        <f>INDEX('2-ฐานราก เหล็กเสริม'!$S:$S,MATCH(B108,'2-ฐานราก เหล็กเสริม'!$A:$A,0))</f>
        <v/>
      </c>
      <c r="U108" s="8" t="inlineStr">
        <is>
          <t>M24</t>
        </is>
      </c>
      <c r="V108" s="10" t="inlineStr">
        <is>
          <t>แบบ S201 (ตำแหน่ง) / ระดับรอยืนยัน</t>
        </is>
      </c>
    </row>
    <row r="109">
      <c r="A109" s="8" t="inlineStr">
        <is>
          <t>F1P-060</t>
        </is>
      </c>
      <c r="B109" s="8" t="inlineStr">
        <is>
          <t>F1P</t>
        </is>
      </c>
      <c r="C109" s="8" t="inlineStr">
        <is>
          <t>11-1.51/B+1.51</t>
        </is>
      </c>
      <c r="D109" s="9" t="n">
        <v>58.49</v>
      </c>
      <c r="E109" s="9" t="n">
        <v>7.508</v>
      </c>
      <c r="F109" s="9" t="n">
        <v>1</v>
      </c>
      <c r="G109" s="9" t="n">
        <v>1</v>
      </c>
      <c r="H109" s="9" t="n">
        <v>0.2</v>
      </c>
      <c r="I109" s="9" t="n">
        <v>0.3</v>
      </c>
      <c r="J109" s="9" t="n">
        <v>0.1</v>
      </c>
      <c r="K109" s="9" t="n">
        <v>-0.05</v>
      </c>
      <c r="L109" s="9" t="n">
        <v>0.05</v>
      </c>
      <c r="M109" s="8" t="n">
        <v>1</v>
      </c>
      <c r="N109" s="8" t="inlineStr">
        <is>
          <t>1x I-350 ยาว 22 ม.</t>
        </is>
      </c>
      <c r="O109" s="8">
        <f>F109*G109*H109</f>
        <v/>
      </c>
      <c r="P109" s="8">
        <f>2*(F109+G109)*H109</f>
        <v/>
      </c>
      <c r="Q109" s="8">
        <f>IF(L109&gt;0,(F109+2*0.1)*(G109+2*0.1)*L109,0)</f>
        <v/>
      </c>
      <c r="R109" s="8">
        <f>(F109+0.2)*(G109+0.2)*0.1</f>
        <v/>
      </c>
      <c r="S109" s="8">
        <f>(F109+0.2)*(G109+0.2)*0.05</f>
        <v/>
      </c>
      <c r="T109" s="8">
        <f>INDEX('2-ฐานราก เหล็กเสริม'!$S:$S,MATCH(B109,'2-ฐานราก เหล็กเสริม'!$A:$A,0))</f>
        <v/>
      </c>
      <c r="U109" s="8" t="inlineStr">
        <is>
          <t>M24</t>
        </is>
      </c>
      <c r="V109" s="10" t="inlineStr">
        <is>
          <t>แบบ S201 (ตำแหน่ง) / ระดับรอยืนยัน</t>
        </is>
      </c>
    </row>
    <row r="110">
      <c r="A110" s="8" t="inlineStr">
        <is>
          <t>F1P-061</t>
        </is>
      </c>
      <c r="B110" s="8" t="inlineStr">
        <is>
          <t>F1P</t>
        </is>
      </c>
      <c r="C110" s="8" t="inlineStr">
        <is>
          <t>1+1.49/C-1.49</t>
        </is>
      </c>
      <c r="D110" s="9" t="n">
        <v>1.487</v>
      </c>
      <c r="E110" s="9" t="n">
        <v>10.507</v>
      </c>
      <c r="F110" s="9" t="n">
        <v>1</v>
      </c>
      <c r="G110" s="9" t="n">
        <v>1</v>
      </c>
      <c r="H110" s="9" t="n">
        <v>0.2</v>
      </c>
      <c r="I110" s="9" t="n">
        <v>0.3</v>
      </c>
      <c r="J110" s="9" t="n">
        <v>0.1</v>
      </c>
      <c r="K110" s="9" t="n">
        <v>-0.05</v>
      </c>
      <c r="L110" s="9" t="n">
        <v>0.05</v>
      </c>
      <c r="M110" s="8" t="n">
        <v>1</v>
      </c>
      <c r="N110" s="8" t="inlineStr">
        <is>
          <t>1x I-350 ยาว 22 ม.</t>
        </is>
      </c>
      <c r="O110" s="8">
        <f>F110*G110*H110</f>
        <v/>
      </c>
      <c r="P110" s="8">
        <f>2*(F110+G110)*H110</f>
        <v/>
      </c>
      <c r="Q110" s="8">
        <f>IF(L110&gt;0,(F110+2*0.1)*(G110+2*0.1)*L110,0)</f>
        <v/>
      </c>
      <c r="R110" s="8">
        <f>(F110+0.2)*(G110+0.2)*0.1</f>
        <v/>
      </c>
      <c r="S110" s="8">
        <f>(F110+0.2)*(G110+0.2)*0.05</f>
        <v/>
      </c>
      <c r="T110" s="8">
        <f>INDEX('2-ฐานราก เหล็กเสริม'!$S:$S,MATCH(B110,'2-ฐานราก เหล็กเสริม'!$A:$A,0))</f>
        <v/>
      </c>
      <c r="U110" s="8" t="inlineStr">
        <is>
          <t>M24</t>
        </is>
      </c>
      <c r="V110" s="10" t="inlineStr">
        <is>
          <t>แบบ S201 (ตำแหน่ง) / ระดับรอยืนยัน</t>
        </is>
      </c>
    </row>
    <row r="111">
      <c r="A111" s="8" t="inlineStr">
        <is>
          <t>F1P-062</t>
        </is>
      </c>
      <c r="B111" s="8" t="inlineStr">
        <is>
          <t>F1P</t>
        </is>
      </c>
      <c r="C111" s="8" t="inlineStr">
        <is>
          <t>2-1.51/C-1.49</t>
        </is>
      </c>
      <c r="D111" s="9" t="n">
        <v>4.485</v>
      </c>
      <c r="E111" s="9" t="n">
        <v>10.507</v>
      </c>
      <c r="F111" s="9" t="n">
        <v>1</v>
      </c>
      <c r="G111" s="9" t="n">
        <v>1</v>
      </c>
      <c r="H111" s="9" t="n">
        <v>0.2</v>
      </c>
      <c r="I111" s="9" t="n">
        <v>0.3</v>
      </c>
      <c r="J111" s="9" t="n">
        <v>0.1</v>
      </c>
      <c r="K111" s="9" t="n">
        <v>-0.05</v>
      </c>
      <c r="L111" s="9" t="n">
        <v>0.05</v>
      </c>
      <c r="M111" s="8" t="n">
        <v>1</v>
      </c>
      <c r="N111" s="8" t="inlineStr">
        <is>
          <t>1x I-350 ยาว 22 ม.</t>
        </is>
      </c>
      <c r="O111" s="8">
        <f>F111*G111*H111</f>
        <v/>
      </c>
      <c r="P111" s="8">
        <f>2*(F111+G111)*H111</f>
        <v/>
      </c>
      <c r="Q111" s="8">
        <f>IF(L111&gt;0,(F111+2*0.1)*(G111+2*0.1)*L111,0)</f>
        <v/>
      </c>
      <c r="R111" s="8">
        <f>(F111+0.2)*(G111+0.2)*0.1</f>
        <v/>
      </c>
      <c r="S111" s="8">
        <f>(F111+0.2)*(G111+0.2)*0.05</f>
        <v/>
      </c>
      <c r="T111" s="8">
        <f>INDEX('2-ฐานราก เหล็กเสริม'!$S:$S,MATCH(B111,'2-ฐานราก เหล็กเสริม'!$A:$A,0))</f>
        <v/>
      </c>
      <c r="U111" s="8" t="inlineStr">
        <is>
          <t>M24</t>
        </is>
      </c>
      <c r="V111" s="10" t="inlineStr">
        <is>
          <t>แบบ S201 (ตำแหน่ง) / ระดับรอยืนยัน</t>
        </is>
      </c>
    </row>
    <row r="112">
      <c r="A112" s="8" t="inlineStr">
        <is>
          <t>F1P-063</t>
        </is>
      </c>
      <c r="B112" s="8" t="inlineStr">
        <is>
          <t>F1P</t>
        </is>
      </c>
      <c r="C112" s="8" t="inlineStr">
        <is>
          <t>2+1.49/C-1.49</t>
        </is>
      </c>
      <c r="D112" s="9" t="n">
        <v>7.491</v>
      </c>
      <c r="E112" s="9" t="n">
        <v>10.507</v>
      </c>
      <c r="F112" s="9" t="n">
        <v>1</v>
      </c>
      <c r="G112" s="9" t="n">
        <v>1</v>
      </c>
      <c r="H112" s="9" t="n">
        <v>0.2</v>
      </c>
      <c r="I112" s="9" t="n">
        <v>0.3</v>
      </c>
      <c r="J112" s="9" t="n">
        <v>0.1</v>
      </c>
      <c r="K112" s="9" t="n">
        <v>-0.05</v>
      </c>
      <c r="L112" s="9" t="n">
        <v>0.05</v>
      </c>
      <c r="M112" s="8" t="n">
        <v>1</v>
      </c>
      <c r="N112" s="8" t="inlineStr">
        <is>
          <t>1x I-350 ยาว 22 ม.</t>
        </is>
      </c>
      <c r="O112" s="8">
        <f>F112*G112*H112</f>
        <v/>
      </c>
      <c r="P112" s="8">
        <f>2*(F112+G112)*H112</f>
        <v/>
      </c>
      <c r="Q112" s="8">
        <f>IF(L112&gt;0,(F112+2*0.1)*(G112+2*0.1)*L112,0)</f>
        <v/>
      </c>
      <c r="R112" s="8">
        <f>(F112+0.2)*(G112+0.2)*0.1</f>
        <v/>
      </c>
      <c r="S112" s="8">
        <f>(F112+0.2)*(G112+0.2)*0.05</f>
        <v/>
      </c>
      <c r="T112" s="8">
        <f>INDEX('2-ฐานราก เหล็กเสริม'!$S:$S,MATCH(B112,'2-ฐานราก เหล็กเสริม'!$A:$A,0))</f>
        <v/>
      </c>
      <c r="U112" s="8" t="inlineStr">
        <is>
          <t>M24</t>
        </is>
      </c>
      <c r="V112" s="10" t="inlineStr">
        <is>
          <t>แบบ S201 (ตำแหน่ง) / ระดับรอยืนยัน</t>
        </is>
      </c>
    </row>
    <row r="113">
      <c r="A113" s="8" t="inlineStr">
        <is>
          <t>F1P-064</t>
        </is>
      </c>
      <c r="B113" s="8" t="inlineStr">
        <is>
          <t>F1P</t>
        </is>
      </c>
      <c r="C113" s="8" t="inlineStr">
        <is>
          <t>3-1.51/C-1.49</t>
        </is>
      </c>
      <c r="D113" s="9" t="n">
        <v>10.49</v>
      </c>
      <c r="E113" s="9" t="n">
        <v>10.507</v>
      </c>
      <c r="F113" s="9" t="n">
        <v>1</v>
      </c>
      <c r="G113" s="9" t="n">
        <v>1</v>
      </c>
      <c r="H113" s="9" t="n">
        <v>0.2</v>
      </c>
      <c r="I113" s="9" t="n">
        <v>0.3</v>
      </c>
      <c r="J113" s="9" t="n">
        <v>0.1</v>
      </c>
      <c r="K113" s="9" t="n">
        <v>-0.05</v>
      </c>
      <c r="L113" s="9" t="n">
        <v>0.05</v>
      </c>
      <c r="M113" s="8" t="n">
        <v>1</v>
      </c>
      <c r="N113" s="8" t="inlineStr">
        <is>
          <t>1x I-350 ยาว 22 ม.</t>
        </is>
      </c>
      <c r="O113" s="8">
        <f>F113*G113*H113</f>
        <v/>
      </c>
      <c r="P113" s="8">
        <f>2*(F113+G113)*H113</f>
        <v/>
      </c>
      <c r="Q113" s="8">
        <f>IF(L113&gt;0,(F113+2*0.1)*(G113+2*0.1)*L113,0)</f>
        <v/>
      </c>
      <c r="R113" s="8">
        <f>(F113+0.2)*(G113+0.2)*0.1</f>
        <v/>
      </c>
      <c r="S113" s="8">
        <f>(F113+0.2)*(G113+0.2)*0.05</f>
        <v/>
      </c>
      <c r="T113" s="8">
        <f>INDEX('2-ฐานราก เหล็กเสริม'!$S:$S,MATCH(B113,'2-ฐานราก เหล็กเสริม'!$A:$A,0))</f>
        <v/>
      </c>
      <c r="U113" s="8" t="inlineStr">
        <is>
          <t>M24</t>
        </is>
      </c>
      <c r="V113" s="10" t="inlineStr">
        <is>
          <t>แบบ S201 (ตำแหน่ง) / ระดับรอยืนยัน</t>
        </is>
      </c>
    </row>
    <row r="114">
      <c r="A114" s="8" t="inlineStr">
        <is>
          <t>F1P-065</t>
        </is>
      </c>
      <c r="B114" s="8" t="inlineStr">
        <is>
          <t>F1P</t>
        </is>
      </c>
      <c r="C114" s="8" t="inlineStr">
        <is>
          <t>3+1.49/C-1.49</t>
        </is>
      </c>
      <c r="D114" s="9" t="n">
        <v>13.488</v>
      </c>
      <c r="E114" s="9" t="n">
        <v>10.507</v>
      </c>
      <c r="F114" s="9" t="n">
        <v>1</v>
      </c>
      <c r="G114" s="9" t="n">
        <v>1</v>
      </c>
      <c r="H114" s="9" t="n">
        <v>0.2</v>
      </c>
      <c r="I114" s="9" t="n">
        <v>0.3</v>
      </c>
      <c r="J114" s="9" t="n">
        <v>0.1</v>
      </c>
      <c r="K114" s="9" t="n">
        <v>-0.05</v>
      </c>
      <c r="L114" s="9" t="n">
        <v>0.05</v>
      </c>
      <c r="M114" s="8" t="n">
        <v>1</v>
      </c>
      <c r="N114" s="8" t="inlineStr">
        <is>
          <t>1x I-350 ยาว 22 ม.</t>
        </is>
      </c>
      <c r="O114" s="8">
        <f>F114*G114*H114</f>
        <v/>
      </c>
      <c r="P114" s="8">
        <f>2*(F114+G114)*H114</f>
        <v/>
      </c>
      <c r="Q114" s="8">
        <f>IF(L114&gt;0,(F114+2*0.1)*(G114+2*0.1)*L114,0)</f>
        <v/>
      </c>
      <c r="R114" s="8">
        <f>(F114+0.2)*(G114+0.2)*0.1</f>
        <v/>
      </c>
      <c r="S114" s="8">
        <f>(F114+0.2)*(G114+0.2)*0.05</f>
        <v/>
      </c>
      <c r="T114" s="8">
        <f>INDEX('2-ฐานราก เหล็กเสริม'!$S:$S,MATCH(B114,'2-ฐานราก เหล็กเสริม'!$A:$A,0))</f>
        <v/>
      </c>
      <c r="U114" s="8" t="inlineStr">
        <is>
          <t>M24</t>
        </is>
      </c>
      <c r="V114" s="10" t="inlineStr">
        <is>
          <t>แบบ S201 (ตำแหน่ง) / ระดับรอยืนยัน</t>
        </is>
      </c>
    </row>
    <row r="115">
      <c r="A115" s="8" t="inlineStr">
        <is>
          <t>F1P-066</t>
        </is>
      </c>
      <c r="B115" s="8" t="inlineStr">
        <is>
          <t>F1P</t>
        </is>
      </c>
      <c r="C115" s="8" t="inlineStr">
        <is>
          <t>4-1.51/C-1.49</t>
        </is>
      </c>
      <c r="D115" s="9" t="n">
        <v>16.487</v>
      </c>
      <c r="E115" s="9" t="n">
        <v>10.507</v>
      </c>
      <c r="F115" s="9" t="n">
        <v>1</v>
      </c>
      <c r="G115" s="9" t="n">
        <v>1</v>
      </c>
      <c r="H115" s="9" t="n">
        <v>0.2</v>
      </c>
      <c r="I115" s="9" t="n">
        <v>0.3</v>
      </c>
      <c r="J115" s="9" t="n">
        <v>0.1</v>
      </c>
      <c r="K115" s="9" t="n">
        <v>-0.05</v>
      </c>
      <c r="L115" s="9" t="n">
        <v>0.05</v>
      </c>
      <c r="M115" s="8" t="n">
        <v>1</v>
      </c>
      <c r="N115" s="8" t="inlineStr">
        <is>
          <t>1x I-350 ยาว 22 ม.</t>
        </is>
      </c>
      <c r="O115" s="8">
        <f>F115*G115*H115</f>
        <v/>
      </c>
      <c r="P115" s="8">
        <f>2*(F115+G115)*H115</f>
        <v/>
      </c>
      <c r="Q115" s="8">
        <f>IF(L115&gt;0,(F115+2*0.1)*(G115+2*0.1)*L115,0)</f>
        <v/>
      </c>
      <c r="R115" s="8">
        <f>(F115+0.2)*(G115+0.2)*0.1</f>
        <v/>
      </c>
      <c r="S115" s="8">
        <f>(F115+0.2)*(G115+0.2)*0.05</f>
        <v/>
      </c>
      <c r="T115" s="8">
        <f>INDEX('2-ฐานราก เหล็กเสริม'!$S:$S,MATCH(B115,'2-ฐานราก เหล็กเสริม'!$A:$A,0))</f>
        <v/>
      </c>
      <c r="U115" s="8" t="inlineStr">
        <is>
          <t>M24</t>
        </is>
      </c>
      <c r="V115" s="10" t="inlineStr">
        <is>
          <t>แบบ S201 (ตำแหน่ง) / ระดับรอยืนยัน</t>
        </is>
      </c>
    </row>
    <row r="116">
      <c r="A116" s="8" t="inlineStr">
        <is>
          <t>F1P-067</t>
        </is>
      </c>
      <c r="B116" s="8" t="inlineStr">
        <is>
          <t>F1P</t>
        </is>
      </c>
      <c r="C116" s="8" t="inlineStr">
        <is>
          <t>4+1.49/C-1.49</t>
        </is>
      </c>
      <c r="D116" s="9" t="n">
        <v>19.486</v>
      </c>
      <c r="E116" s="9" t="n">
        <v>10.507</v>
      </c>
      <c r="F116" s="9" t="n">
        <v>1</v>
      </c>
      <c r="G116" s="9" t="n">
        <v>1</v>
      </c>
      <c r="H116" s="9" t="n">
        <v>0.2</v>
      </c>
      <c r="I116" s="9" t="n">
        <v>0.3</v>
      </c>
      <c r="J116" s="9" t="n">
        <v>0.1</v>
      </c>
      <c r="K116" s="9" t="n">
        <v>-0.05</v>
      </c>
      <c r="L116" s="9" t="n">
        <v>0.05</v>
      </c>
      <c r="M116" s="8" t="n">
        <v>1</v>
      </c>
      <c r="N116" s="8" t="inlineStr">
        <is>
          <t>1x I-350 ยาว 22 ม.</t>
        </is>
      </c>
      <c r="O116" s="8">
        <f>F116*G116*H116</f>
        <v/>
      </c>
      <c r="P116" s="8">
        <f>2*(F116+G116)*H116</f>
        <v/>
      </c>
      <c r="Q116" s="8">
        <f>IF(L116&gt;0,(F116+2*0.1)*(G116+2*0.1)*L116,0)</f>
        <v/>
      </c>
      <c r="R116" s="8">
        <f>(F116+0.2)*(G116+0.2)*0.1</f>
        <v/>
      </c>
      <c r="S116" s="8">
        <f>(F116+0.2)*(G116+0.2)*0.05</f>
        <v/>
      </c>
      <c r="T116" s="8">
        <f>INDEX('2-ฐานราก เหล็กเสริม'!$S:$S,MATCH(B116,'2-ฐานราก เหล็กเสริม'!$A:$A,0))</f>
        <v/>
      </c>
      <c r="U116" s="8" t="inlineStr">
        <is>
          <t>M24</t>
        </is>
      </c>
      <c r="V116" s="10" t="inlineStr">
        <is>
          <t>แบบ S201 (ตำแหน่ง) / ระดับรอยืนยัน</t>
        </is>
      </c>
    </row>
    <row r="117">
      <c r="A117" s="8" t="inlineStr">
        <is>
          <t>F1P-068</t>
        </is>
      </c>
      <c r="B117" s="8" t="inlineStr">
        <is>
          <t>F1P</t>
        </is>
      </c>
      <c r="C117" s="8" t="inlineStr">
        <is>
          <t>5-1.51/C-1.49</t>
        </is>
      </c>
      <c r="D117" s="9" t="n">
        <v>22.491</v>
      </c>
      <c r="E117" s="9" t="n">
        <v>10.507</v>
      </c>
      <c r="F117" s="9" t="n">
        <v>1</v>
      </c>
      <c r="G117" s="9" t="n">
        <v>1</v>
      </c>
      <c r="H117" s="9" t="n">
        <v>0.2</v>
      </c>
      <c r="I117" s="9" t="n">
        <v>0.3</v>
      </c>
      <c r="J117" s="9" t="n">
        <v>0.1</v>
      </c>
      <c r="K117" s="9" t="n">
        <v>-0.05</v>
      </c>
      <c r="L117" s="9" t="n">
        <v>0.05</v>
      </c>
      <c r="M117" s="8" t="n">
        <v>1</v>
      </c>
      <c r="N117" s="8" t="inlineStr">
        <is>
          <t>1x I-350 ยาว 22 ม.</t>
        </is>
      </c>
      <c r="O117" s="8">
        <f>F117*G117*H117</f>
        <v/>
      </c>
      <c r="P117" s="8">
        <f>2*(F117+G117)*H117</f>
        <v/>
      </c>
      <c r="Q117" s="8">
        <f>IF(L117&gt;0,(F117+2*0.1)*(G117+2*0.1)*L117,0)</f>
        <v/>
      </c>
      <c r="R117" s="8">
        <f>(F117+0.2)*(G117+0.2)*0.1</f>
        <v/>
      </c>
      <c r="S117" s="8">
        <f>(F117+0.2)*(G117+0.2)*0.05</f>
        <v/>
      </c>
      <c r="T117" s="8">
        <f>INDEX('2-ฐานราก เหล็กเสริม'!$S:$S,MATCH(B117,'2-ฐานราก เหล็กเสริม'!$A:$A,0))</f>
        <v/>
      </c>
      <c r="U117" s="8" t="inlineStr">
        <is>
          <t>M24</t>
        </is>
      </c>
      <c r="V117" s="10" t="inlineStr">
        <is>
          <t>แบบ S201 (ตำแหน่ง) / ระดับรอยืนยัน</t>
        </is>
      </c>
    </row>
    <row r="118">
      <c r="A118" s="8" t="inlineStr">
        <is>
          <t>F1P-069</t>
        </is>
      </c>
      <c r="B118" s="8" t="inlineStr">
        <is>
          <t>F1P</t>
        </is>
      </c>
      <c r="C118" s="8" t="inlineStr">
        <is>
          <t>5+1.49/C-1.49</t>
        </is>
      </c>
      <c r="D118" s="9" t="n">
        <v>25.49</v>
      </c>
      <c r="E118" s="9" t="n">
        <v>10.507</v>
      </c>
      <c r="F118" s="9" t="n">
        <v>1</v>
      </c>
      <c r="G118" s="9" t="n">
        <v>1</v>
      </c>
      <c r="H118" s="9" t="n">
        <v>0.2</v>
      </c>
      <c r="I118" s="9" t="n">
        <v>0.3</v>
      </c>
      <c r="J118" s="9" t="n">
        <v>0.1</v>
      </c>
      <c r="K118" s="9" t="n">
        <v>-0.05</v>
      </c>
      <c r="L118" s="9" t="n">
        <v>0.05</v>
      </c>
      <c r="M118" s="8" t="n">
        <v>1</v>
      </c>
      <c r="N118" s="8" t="inlineStr">
        <is>
          <t>1x I-350 ยาว 22 ม.</t>
        </is>
      </c>
      <c r="O118" s="8">
        <f>F118*G118*H118</f>
        <v/>
      </c>
      <c r="P118" s="8">
        <f>2*(F118+G118)*H118</f>
        <v/>
      </c>
      <c r="Q118" s="8">
        <f>IF(L118&gt;0,(F118+2*0.1)*(G118+2*0.1)*L118,0)</f>
        <v/>
      </c>
      <c r="R118" s="8">
        <f>(F118+0.2)*(G118+0.2)*0.1</f>
        <v/>
      </c>
      <c r="S118" s="8">
        <f>(F118+0.2)*(G118+0.2)*0.05</f>
        <v/>
      </c>
      <c r="T118" s="8">
        <f>INDEX('2-ฐานราก เหล็กเสริม'!$S:$S,MATCH(B118,'2-ฐานราก เหล็กเสริม'!$A:$A,0))</f>
        <v/>
      </c>
      <c r="U118" s="8" t="inlineStr">
        <is>
          <t>M24</t>
        </is>
      </c>
      <c r="V118" s="10" t="inlineStr">
        <is>
          <t>แบบ S201 (ตำแหน่ง) / ระดับรอยืนยัน</t>
        </is>
      </c>
    </row>
    <row r="119">
      <c r="A119" s="8" t="inlineStr">
        <is>
          <t>F1P-070</t>
        </is>
      </c>
      <c r="B119" s="8" t="inlineStr">
        <is>
          <t>F1P</t>
        </is>
      </c>
      <c r="C119" s="8" t="inlineStr">
        <is>
          <t>6-1.51/C-1.49</t>
        </is>
      </c>
      <c r="D119" s="9" t="n">
        <v>28.489</v>
      </c>
      <c r="E119" s="9" t="n">
        <v>10.507</v>
      </c>
      <c r="F119" s="9" t="n">
        <v>1</v>
      </c>
      <c r="G119" s="9" t="n">
        <v>1</v>
      </c>
      <c r="H119" s="9" t="n">
        <v>0.2</v>
      </c>
      <c r="I119" s="9" t="n">
        <v>0.3</v>
      </c>
      <c r="J119" s="9" t="n">
        <v>0.1</v>
      </c>
      <c r="K119" s="9" t="n">
        <v>-0.05</v>
      </c>
      <c r="L119" s="9" t="n">
        <v>0.05</v>
      </c>
      <c r="M119" s="8" t="n">
        <v>1</v>
      </c>
      <c r="N119" s="8" t="inlineStr">
        <is>
          <t>1x I-350 ยาว 22 ม.</t>
        </is>
      </c>
      <c r="O119" s="8">
        <f>F119*G119*H119</f>
        <v/>
      </c>
      <c r="P119" s="8">
        <f>2*(F119+G119)*H119</f>
        <v/>
      </c>
      <c r="Q119" s="8">
        <f>IF(L119&gt;0,(F119+2*0.1)*(G119+2*0.1)*L119,0)</f>
        <v/>
      </c>
      <c r="R119" s="8">
        <f>(F119+0.2)*(G119+0.2)*0.1</f>
        <v/>
      </c>
      <c r="S119" s="8">
        <f>(F119+0.2)*(G119+0.2)*0.05</f>
        <v/>
      </c>
      <c r="T119" s="8">
        <f>INDEX('2-ฐานราก เหล็กเสริม'!$S:$S,MATCH(B119,'2-ฐานราก เหล็กเสริม'!$A:$A,0))</f>
        <v/>
      </c>
      <c r="U119" s="8" t="inlineStr">
        <is>
          <t>M24</t>
        </is>
      </c>
      <c r="V119" s="10" t="inlineStr">
        <is>
          <t>แบบ S201 (ตำแหน่ง) / ระดับรอยืนยัน</t>
        </is>
      </c>
    </row>
    <row r="120">
      <c r="A120" s="8" t="inlineStr">
        <is>
          <t>F1P-071</t>
        </is>
      </c>
      <c r="B120" s="8" t="inlineStr">
        <is>
          <t>F1P</t>
        </is>
      </c>
      <c r="C120" s="8" t="inlineStr">
        <is>
          <t>6+1.49/C-1.49</t>
        </is>
      </c>
      <c r="D120" s="9" t="n">
        <v>31.488</v>
      </c>
      <c r="E120" s="9" t="n">
        <v>10.507</v>
      </c>
      <c r="F120" s="9" t="n">
        <v>1</v>
      </c>
      <c r="G120" s="9" t="n">
        <v>1</v>
      </c>
      <c r="H120" s="9" t="n">
        <v>0.2</v>
      </c>
      <c r="I120" s="9" t="n">
        <v>0.3</v>
      </c>
      <c r="J120" s="9" t="n">
        <v>0.1</v>
      </c>
      <c r="K120" s="9" t="n">
        <v>-0.05</v>
      </c>
      <c r="L120" s="9" t="n">
        <v>0.05</v>
      </c>
      <c r="M120" s="8" t="n">
        <v>1</v>
      </c>
      <c r="N120" s="8" t="inlineStr">
        <is>
          <t>1x I-350 ยาว 22 ม.</t>
        </is>
      </c>
      <c r="O120" s="8">
        <f>F120*G120*H120</f>
        <v/>
      </c>
      <c r="P120" s="8">
        <f>2*(F120+G120)*H120</f>
        <v/>
      </c>
      <c r="Q120" s="8">
        <f>IF(L120&gt;0,(F120+2*0.1)*(G120+2*0.1)*L120,0)</f>
        <v/>
      </c>
      <c r="R120" s="8">
        <f>(F120+0.2)*(G120+0.2)*0.1</f>
        <v/>
      </c>
      <c r="S120" s="8">
        <f>(F120+0.2)*(G120+0.2)*0.05</f>
        <v/>
      </c>
      <c r="T120" s="8">
        <f>INDEX('2-ฐานราก เหล็กเสริม'!$S:$S,MATCH(B120,'2-ฐานราก เหล็กเสริม'!$A:$A,0))</f>
        <v/>
      </c>
      <c r="U120" s="8" t="inlineStr">
        <is>
          <t>M24</t>
        </is>
      </c>
      <c r="V120" s="10" t="inlineStr">
        <is>
          <t>แบบ S201 (ตำแหน่ง) / ระดับรอยืนยัน</t>
        </is>
      </c>
    </row>
    <row r="121">
      <c r="A121" s="8" t="inlineStr">
        <is>
          <t>F1P-072</t>
        </is>
      </c>
      <c r="B121" s="8" t="inlineStr">
        <is>
          <t>F1P</t>
        </is>
      </c>
      <c r="C121" s="8" t="inlineStr">
        <is>
          <t>7-1.51/C-1.49</t>
        </is>
      </c>
      <c r="D121" s="9" t="n">
        <v>34.493</v>
      </c>
      <c r="E121" s="9" t="n">
        <v>10.507</v>
      </c>
      <c r="F121" s="9" t="n">
        <v>1</v>
      </c>
      <c r="G121" s="9" t="n">
        <v>1</v>
      </c>
      <c r="H121" s="9" t="n">
        <v>0.2</v>
      </c>
      <c r="I121" s="9" t="n">
        <v>0.3</v>
      </c>
      <c r="J121" s="9" t="n">
        <v>0.1</v>
      </c>
      <c r="K121" s="9" t="n">
        <v>-0.05</v>
      </c>
      <c r="L121" s="9" t="n">
        <v>0.05</v>
      </c>
      <c r="M121" s="8" t="n">
        <v>1</v>
      </c>
      <c r="N121" s="8" t="inlineStr">
        <is>
          <t>1x I-350 ยาว 22 ม.</t>
        </is>
      </c>
      <c r="O121" s="8">
        <f>F121*G121*H121</f>
        <v/>
      </c>
      <c r="P121" s="8">
        <f>2*(F121+G121)*H121</f>
        <v/>
      </c>
      <c r="Q121" s="8">
        <f>IF(L121&gt;0,(F121+2*0.1)*(G121+2*0.1)*L121,0)</f>
        <v/>
      </c>
      <c r="R121" s="8">
        <f>(F121+0.2)*(G121+0.2)*0.1</f>
        <v/>
      </c>
      <c r="S121" s="8">
        <f>(F121+0.2)*(G121+0.2)*0.05</f>
        <v/>
      </c>
      <c r="T121" s="8">
        <f>INDEX('2-ฐานราก เหล็กเสริม'!$S:$S,MATCH(B121,'2-ฐานราก เหล็กเสริม'!$A:$A,0))</f>
        <v/>
      </c>
      <c r="U121" s="8" t="inlineStr">
        <is>
          <t>M24</t>
        </is>
      </c>
      <c r="V121" s="10" t="inlineStr">
        <is>
          <t>แบบ S201 (ตำแหน่ง) / ระดับรอยืนยัน</t>
        </is>
      </c>
    </row>
    <row r="122">
      <c r="A122" s="8" t="inlineStr">
        <is>
          <t>F1P-073</t>
        </is>
      </c>
      <c r="B122" s="8" t="inlineStr">
        <is>
          <t>F1P</t>
        </is>
      </c>
      <c r="C122" s="8" t="inlineStr">
        <is>
          <t>7+1.49/C-1.49</t>
        </is>
      </c>
      <c r="D122" s="9" t="n">
        <v>37.492</v>
      </c>
      <c r="E122" s="9" t="n">
        <v>10.507</v>
      </c>
      <c r="F122" s="9" t="n">
        <v>1</v>
      </c>
      <c r="G122" s="9" t="n">
        <v>1</v>
      </c>
      <c r="H122" s="9" t="n">
        <v>0.2</v>
      </c>
      <c r="I122" s="9" t="n">
        <v>0.3</v>
      </c>
      <c r="J122" s="9" t="n">
        <v>0.1</v>
      </c>
      <c r="K122" s="9" t="n">
        <v>-0.05</v>
      </c>
      <c r="L122" s="9" t="n">
        <v>0.05</v>
      </c>
      <c r="M122" s="8" t="n">
        <v>1</v>
      </c>
      <c r="N122" s="8" t="inlineStr">
        <is>
          <t>1x I-350 ยาว 22 ม.</t>
        </is>
      </c>
      <c r="O122" s="8">
        <f>F122*G122*H122</f>
        <v/>
      </c>
      <c r="P122" s="8">
        <f>2*(F122+G122)*H122</f>
        <v/>
      </c>
      <c r="Q122" s="8">
        <f>IF(L122&gt;0,(F122+2*0.1)*(G122+2*0.1)*L122,0)</f>
        <v/>
      </c>
      <c r="R122" s="8">
        <f>(F122+0.2)*(G122+0.2)*0.1</f>
        <v/>
      </c>
      <c r="S122" s="8">
        <f>(F122+0.2)*(G122+0.2)*0.05</f>
        <v/>
      </c>
      <c r="T122" s="8">
        <f>INDEX('2-ฐานราก เหล็กเสริม'!$S:$S,MATCH(B122,'2-ฐานราก เหล็กเสริม'!$A:$A,0))</f>
        <v/>
      </c>
      <c r="U122" s="8" t="inlineStr">
        <is>
          <t>M24</t>
        </is>
      </c>
      <c r="V122" s="10" t="inlineStr">
        <is>
          <t>แบบ S201 (ตำแหน่ง) / ระดับรอยืนยัน</t>
        </is>
      </c>
    </row>
    <row r="123">
      <c r="A123" s="8" t="inlineStr">
        <is>
          <t>F1P-074</t>
        </is>
      </c>
      <c r="B123" s="8" t="inlineStr">
        <is>
          <t>F1P</t>
        </is>
      </c>
      <c r="C123" s="8" t="inlineStr">
        <is>
          <t>8-1.51/C-1.49</t>
        </is>
      </c>
      <c r="D123" s="9" t="n">
        <v>40.491</v>
      </c>
      <c r="E123" s="9" t="n">
        <v>10.507</v>
      </c>
      <c r="F123" s="9" t="n">
        <v>1</v>
      </c>
      <c r="G123" s="9" t="n">
        <v>1</v>
      </c>
      <c r="H123" s="9" t="n">
        <v>0.2</v>
      </c>
      <c r="I123" s="9" t="n">
        <v>0.3</v>
      </c>
      <c r="J123" s="9" t="n">
        <v>0.1</v>
      </c>
      <c r="K123" s="9" t="n">
        <v>-0.05</v>
      </c>
      <c r="L123" s="9" t="n">
        <v>0.05</v>
      </c>
      <c r="M123" s="8" t="n">
        <v>1</v>
      </c>
      <c r="N123" s="8" t="inlineStr">
        <is>
          <t>1x I-350 ยาว 22 ม.</t>
        </is>
      </c>
      <c r="O123" s="8">
        <f>F123*G123*H123</f>
        <v/>
      </c>
      <c r="P123" s="8">
        <f>2*(F123+G123)*H123</f>
        <v/>
      </c>
      <c r="Q123" s="8">
        <f>IF(L123&gt;0,(F123+2*0.1)*(G123+2*0.1)*L123,0)</f>
        <v/>
      </c>
      <c r="R123" s="8">
        <f>(F123+0.2)*(G123+0.2)*0.1</f>
        <v/>
      </c>
      <c r="S123" s="8">
        <f>(F123+0.2)*(G123+0.2)*0.05</f>
        <v/>
      </c>
      <c r="T123" s="8">
        <f>INDEX('2-ฐานราก เหล็กเสริม'!$S:$S,MATCH(B123,'2-ฐานราก เหล็กเสริม'!$A:$A,0))</f>
        <v/>
      </c>
      <c r="U123" s="8" t="inlineStr">
        <is>
          <t>M24</t>
        </is>
      </c>
      <c r="V123" s="10" t="inlineStr">
        <is>
          <t>แบบ S201 (ตำแหน่ง) / ระดับรอยืนยัน</t>
        </is>
      </c>
    </row>
    <row r="124">
      <c r="A124" s="8" t="inlineStr">
        <is>
          <t>F1P-075</t>
        </is>
      </c>
      <c r="B124" s="8" t="inlineStr">
        <is>
          <t>F1P</t>
        </is>
      </c>
      <c r="C124" s="8" t="inlineStr">
        <is>
          <t>8+1.49/C-1.49</t>
        </is>
      </c>
      <c r="D124" s="9" t="n">
        <v>43.49</v>
      </c>
      <c r="E124" s="9" t="n">
        <v>10.507</v>
      </c>
      <c r="F124" s="9" t="n">
        <v>1</v>
      </c>
      <c r="G124" s="9" t="n">
        <v>1</v>
      </c>
      <c r="H124" s="9" t="n">
        <v>0.2</v>
      </c>
      <c r="I124" s="9" t="n">
        <v>0.3</v>
      </c>
      <c r="J124" s="9" t="n">
        <v>0.1</v>
      </c>
      <c r="K124" s="9" t="n">
        <v>-0.05</v>
      </c>
      <c r="L124" s="9" t="n">
        <v>0.05</v>
      </c>
      <c r="M124" s="8" t="n">
        <v>1</v>
      </c>
      <c r="N124" s="8" t="inlineStr">
        <is>
          <t>1x I-350 ยาว 22 ม.</t>
        </is>
      </c>
      <c r="O124" s="8">
        <f>F124*G124*H124</f>
        <v/>
      </c>
      <c r="P124" s="8">
        <f>2*(F124+G124)*H124</f>
        <v/>
      </c>
      <c r="Q124" s="8">
        <f>IF(L124&gt;0,(F124+2*0.1)*(G124+2*0.1)*L124,0)</f>
        <v/>
      </c>
      <c r="R124" s="8">
        <f>(F124+0.2)*(G124+0.2)*0.1</f>
        <v/>
      </c>
      <c r="S124" s="8">
        <f>(F124+0.2)*(G124+0.2)*0.05</f>
        <v/>
      </c>
      <c r="T124" s="8">
        <f>INDEX('2-ฐานราก เหล็กเสริม'!$S:$S,MATCH(B124,'2-ฐานราก เหล็กเสริม'!$A:$A,0))</f>
        <v/>
      </c>
      <c r="U124" s="8" t="inlineStr">
        <is>
          <t>M24</t>
        </is>
      </c>
      <c r="V124" s="10" t="inlineStr">
        <is>
          <t>แบบ S201 (ตำแหน่ง) / ระดับรอยืนยัน</t>
        </is>
      </c>
    </row>
    <row r="125">
      <c r="A125" s="8" t="inlineStr">
        <is>
          <t>F1P-076</t>
        </is>
      </c>
      <c r="B125" s="8" t="inlineStr">
        <is>
          <t>F1P</t>
        </is>
      </c>
      <c r="C125" s="8" t="inlineStr">
        <is>
          <t>9-1.51/C-1.49</t>
        </is>
      </c>
      <c r="D125" s="9" t="n">
        <v>46.495</v>
      </c>
      <c r="E125" s="9" t="n">
        <v>10.507</v>
      </c>
      <c r="F125" s="9" t="n">
        <v>1</v>
      </c>
      <c r="G125" s="9" t="n">
        <v>1</v>
      </c>
      <c r="H125" s="9" t="n">
        <v>0.2</v>
      </c>
      <c r="I125" s="9" t="n">
        <v>0.3</v>
      </c>
      <c r="J125" s="9" t="n">
        <v>0.1</v>
      </c>
      <c r="K125" s="9" t="n">
        <v>-0.05</v>
      </c>
      <c r="L125" s="9" t="n">
        <v>0.05</v>
      </c>
      <c r="M125" s="8" t="n">
        <v>1</v>
      </c>
      <c r="N125" s="8" t="inlineStr">
        <is>
          <t>1x I-350 ยาว 22 ม.</t>
        </is>
      </c>
      <c r="O125" s="8">
        <f>F125*G125*H125</f>
        <v/>
      </c>
      <c r="P125" s="8">
        <f>2*(F125+G125)*H125</f>
        <v/>
      </c>
      <c r="Q125" s="8">
        <f>IF(L125&gt;0,(F125+2*0.1)*(G125+2*0.1)*L125,0)</f>
        <v/>
      </c>
      <c r="R125" s="8">
        <f>(F125+0.2)*(G125+0.2)*0.1</f>
        <v/>
      </c>
      <c r="S125" s="8">
        <f>(F125+0.2)*(G125+0.2)*0.05</f>
        <v/>
      </c>
      <c r="T125" s="8">
        <f>INDEX('2-ฐานราก เหล็กเสริม'!$S:$S,MATCH(B125,'2-ฐานราก เหล็กเสริม'!$A:$A,0))</f>
        <v/>
      </c>
      <c r="U125" s="8" t="inlineStr">
        <is>
          <t>M24</t>
        </is>
      </c>
      <c r="V125" s="10" t="inlineStr">
        <is>
          <t>แบบ S201 (ตำแหน่ง) / ระดับรอยืนยัน</t>
        </is>
      </c>
    </row>
    <row r="126">
      <c r="A126" s="8" t="inlineStr">
        <is>
          <t>F1P-077</t>
        </is>
      </c>
      <c r="B126" s="8" t="inlineStr">
        <is>
          <t>F1P</t>
        </is>
      </c>
      <c r="C126" s="8" t="inlineStr">
        <is>
          <t>9+1.49/C-1.49</t>
        </is>
      </c>
      <c r="D126" s="9" t="n">
        <v>49.494</v>
      </c>
      <c r="E126" s="9" t="n">
        <v>10.507</v>
      </c>
      <c r="F126" s="9" t="n">
        <v>1</v>
      </c>
      <c r="G126" s="9" t="n">
        <v>1</v>
      </c>
      <c r="H126" s="9" t="n">
        <v>0.2</v>
      </c>
      <c r="I126" s="9" t="n">
        <v>0.3</v>
      </c>
      <c r="J126" s="9" t="n">
        <v>0.1</v>
      </c>
      <c r="K126" s="9" t="n">
        <v>-0.05</v>
      </c>
      <c r="L126" s="9" t="n">
        <v>0.05</v>
      </c>
      <c r="M126" s="8" t="n">
        <v>1</v>
      </c>
      <c r="N126" s="8" t="inlineStr">
        <is>
          <t>1x I-350 ยาว 22 ม.</t>
        </is>
      </c>
      <c r="O126" s="8">
        <f>F126*G126*H126</f>
        <v/>
      </c>
      <c r="P126" s="8">
        <f>2*(F126+G126)*H126</f>
        <v/>
      </c>
      <c r="Q126" s="8">
        <f>IF(L126&gt;0,(F126+2*0.1)*(G126+2*0.1)*L126,0)</f>
        <v/>
      </c>
      <c r="R126" s="8">
        <f>(F126+0.2)*(G126+0.2)*0.1</f>
        <v/>
      </c>
      <c r="S126" s="8">
        <f>(F126+0.2)*(G126+0.2)*0.05</f>
        <v/>
      </c>
      <c r="T126" s="8">
        <f>INDEX('2-ฐานราก เหล็กเสริม'!$S:$S,MATCH(B126,'2-ฐานราก เหล็กเสริม'!$A:$A,0))</f>
        <v/>
      </c>
      <c r="U126" s="8" t="inlineStr">
        <is>
          <t>M24</t>
        </is>
      </c>
      <c r="V126" s="10" t="inlineStr">
        <is>
          <t>แบบ S201 (ตำแหน่ง) / ระดับรอยืนยัน</t>
        </is>
      </c>
    </row>
    <row r="127">
      <c r="A127" s="8" t="inlineStr">
        <is>
          <t>F1P-078</t>
        </is>
      </c>
      <c r="B127" s="8" t="inlineStr">
        <is>
          <t>F1P</t>
        </is>
      </c>
      <c r="C127" s="8" t="inlineStr">
        <is>
          <t>10-1.51/C-1.49</t>
        </is>
      </c>
      <c r="D127" s="9" t="n">
        <v>52.493</v>
      </c>
      <c r="E127" s="9" t="n">
        <v>10.507</v>
      </c>
      <c r="F127" s="9" t="n">
        <v>1</v>
      </c>
      <c r="G127" s="9" t="n">
        <v>1</v>
      </c>
      <c r="H127" s="9" t="n">
        <v>0.2</v>
      </c>
      <c r="I127" s="9" t="n">
        <v>0.3</v>
      </c>
      <c r="J127" s="9" t="n">
        <v>0.1</v>
      </c>
      <c r="K127" s="9" t="n">
        <v>-0.05</v>
      </c>
      <c r="L127" s="9" t="n">
        <v>0.05</v>
      </c>
      <c r="M127" s="8" t="n">
        <v>1</v>
      </c>
      <c r="N127" s="8" t="inlineStr">
        <is>
          <t>1x I-350 ยาว 22 ม.</t>
        </is>
      </c>
      <c r="O127" s="8">
        <f>F127*G127*H127</f>
        <v/>
      </c>
      <c r="P127" s="8">
        <f>2*(F127+G127)*H127</f>
        <v/>
      </c>
      <c r="Q127" s="8">
        <f>IF(L127&gt;0,(F127+2*0.1)*(G127+2*0.1)*L127,0)</f>
        <v/>
      </c>
      <c r="R127" s="8">
        <f>(F127+0.2)*(G127+0.2)*0.1</f>
        <v/>
      </c>
      <c r="S127" s="8">
        <f>(F127+0.2)*(G127+0.2)*0.05</f>
        <v/>
      </c>
      <c r="T127" s="8">
        <f>INDEX('2-ฐานราก เหล็กเสริม'!$S:$S,MATCH(B127,'2-ฐานราก เหล็กเสริม'!$A:$A,0))</f>
        <v/>
      </c>
      <c r="U127" s="8" t="inlineStr">
        <is>
          <t>M24</t>
        </is>
      </c>
      <c r="V127" s="10" t="inlineStr">
        <is>
          <t>แบบ S201 (ตำแหน่ง) / ระดับรอยืนยัน</t>
        </is>
      </c>
    </row>
    <row r="128">
      <c r="A128" s="8" t="inlineStr">
        <is>
          <t>F1P-079</t>
        </is>
      </c>
      <c r="B128" s="8" t="inlineStr">
        <is>
          <t>F1P</t>
        </is>
      </c>
      <c r="C128" s="8" t="inlineStr">
        <is>
          <t>10+1.49/C-1.49</t>
        </is>
      </c>
      <c r="D128" s="9" t="n">
        <v>55.492</v>
      </c>
      <c r="E128" s="9" t="n">
        <v>10.507</v>
      </c>
      <c r="F128" s="9" t="n">
        <v>1</v>
      </c>
      <c r="G128" s="9" t="n">
        <v>1</v>
      </c>
      <c r="H128" s="9" t="n">
        <v>0.2</v>
      </c>
      <c r="I128" s="9" t="n">
        <v>0.3</v>
      </c>
      <c r="J128" s="9" t="n">
        <v>0.1</v>
      </c>
      <c r="K128" s="9" t="n">
        <v>-0.05</v>
      </c>
      <c r="L128" s="9" t="n">
        <v>0.05</v>
      </c>
      <c r="M128" s="8" t="n">
        <v>1</v>
      </c>
      <c r="N128" s="8" t="inlineStr">
        <is>
          <t>1x I-350 ยาว 22 ม.</t>
        </is>
      </c>
      <c r="O128" s="8">
        <f>F128*G128*H128</f>
        <v/>
      </c>
      <c r="P128" s="8">
        <f>2*(F128+G128)*H128</f>
        <v/>
      </c>
      <c r="Q128" s="8">
        <f>IF(L128&gt;0,(F128+2*0.1)*(G128+2*0.1)*L128,0)</f>
        <v/>
      </c>
      <c r="R128" s="8">
        <f>(F128+0.2)*(G128+0.2)*0.1</f>
        <v/>
      </c>
      <c r="S128" s="8">
        <f>(F128+0.2)*(G128+0.2)*0.05</f>
        <v/>
      </c>
      <c r="T128" s="8">
        <f>INDEX('2-ฐานราก เหล็กเสริม'!$S:$S,MATCH(B128,'2-ฐานราก เหล็กเสริม'!$A:$A,0))</f>
        <v/>
      </c>
      <c r="U128" s="8" t="inlineStr">
        <is>
          <t>M24</t>
        </is>
      </c>
      <c r="V128" s="10" t="inlineStr">
        <is>
          <t>แบบ S201 (ตำแหน่ง) / ระดับรอยืนยัน</t>
        </is>
      </c>
    </row>
    <row r="129">
      <c r="A129" s="8" t="inlineStr">
        <is>
          <t>F1P-080</t>
        </is>
      </c>
      <c r="B129" s="8" t="inlineStr">
        <is>
          <t>F1P</t>
        </is>
      </c>
      <c r="C129" s="8" t="inlineStr">
        <is>
          <t>11-1.51/C-1.49</t>
        </is>
      </c>
      <c r="D129" s="9" t="n">
        <v>58.49</v>
      </c>
      <c r="E129" s="9" t="n">
        <v>10.507</v>
      </c>
      <c r="F129" s="9" t="n">
        <v>1</v>
      </c>
      <c r="G129" s="9" t="n">
        <v>1</v>
      </c>
      <c r="H129" s="9" t="n">
        <v>0.2</v>
      </c>
      <c r="I129" s="9" t="n">
        <v>0.3</v>
      </c>
      <c r="J129" s="9" t="n">
        <v>0.1</v>
      </c>
      <c r="K129" s="9" t="n">
        <v>-0.05</v>
      </c>
      <c r="L129" s="9" t="n">
        <v>0.05</v>
      </c>
      <c r="M129" s="8" t="n">
        <v>1</v>
      </c>
      <c r="N129" s="8" t="inlineStr">
        <is>
          <t>1x I-350 ยาว 22 ม.</t>
        </is>
      </c>
      <c r="O129" s="8">
        <f>F129*G129*H129</f>
        <v/>
      </c>
      <c r="P129" s="8">
        <f>2*(F129+G129)*H129</f>
        <v/>
      </c>
      <c r="Q129" s="8">
        <f>IF(L129&gt;0,(F129+2*0.1)*(G129+2*0.1)*L129,0)</f>
        <v/>
      </c>
      <c r="R129" s="8">
        <f>(F129+0.2)*(G129+0.2)*0.1</f>
        <v/>
      </c>
      <c r="S129" s="8">
        <f>(F129+0.2)*(G129+0.2)*0.05</f>
        <v/>
      </c>
      <c r="T129" s="8">
        <f>INDEX('2-ฐานราก เหล็กเสริม'!$S:$S,MATCH(B129,'2-ฐานราก เหล็กเสริม'!$A:$A,0))</f>
        <v/>
      </c>
      <c r="U129" s="8" t="inlineStr">
        <is>
          <t>M24</t>
        </is>
      </c>
      <c r="V129" s="10" t="inlineStr">
        <is>
          <t>แบบ S201 (ตำแหน่ง) / ระดับรอยืนยัน</t>
        </is>
      </c>
    </row>
    <row r="130">
      <c r="A130" s="8" t="inlineStr">
        <is>
          <t>F1P-081</t>
        </is>
      </c>
      <c r="B130" s="8" t="inlineStr">
        <is>
          <t>F1P</t>
        </is>
      </c>
      <c r="C130" s="8" t="inlineStr">
        <is>
          <t>1+1.49/C+1.51</t>
        </is>
      </c>
      <c r="D130" s="9" t="n">
        <v>1.487</v>
      </c>
      <c r="E130" s="9" t="n">
        <v>13.512</v>
      </c>
      <c r="F130" s="9" t="n">
        <v>1</v>
      </c>
      <c r="G130" s="9" t="n">
        <v>1</v>
      </c>
      <c r="H130" s="9" t="n">
        <v>0.2</v>
      </c>
      <c r="I130" s="9" t="n">
        <v>0.3</v>
      </c>
      <c r="J130" s="9" t="n">
        <v>0.1</v>
      </c>
      <c r="K130" s="9" t="n">
        <v>-0.05</v>
      </c>
      <c r="L130" s="9" t="n">
        <v>0.05</v>
      </c>
      <c r="M130" s="8" t="n">
        <v>1</v>
      </c>
      <c r="N130" s="8" t="inlineStr">
        <is>
          <t>1x I-350 ยาว 22 ม.</t>
        </is>
      </c>
      <c r="O130" s="8">
        <f>F130*G130*H130</f>
        <v/>
      </c>
      <c r="P130" s="8">
        <f>2*(F130+G130)*H130</f>
        <v/>
      </c>
      <c r="Q130" s="8">
        <f>IF(L130&gt;0,(F130+2*0.1)*(G130+2*0.1)*L130,0)</f>
        <v/>
      </c>
      <c r="R130" s="8">
        <f>(F130+0.2)*(G130+0.2)*0.1</f>
        <v/>
      </c>
      <c r="S130" s="8">
        <f>(F130+0.2)*(G130+0.2)*0.05</f>
        <v/>
      </c>
      <c r="T130" s="8">
        <f>INDEX('2-ฐานราก เหล็กเสริม'!$S:$S,MATCH(B130,'2-ฐานราก เหล็กเสริม'!$A:$A,0))</f>
        <v/>
      </c>
      <c r="U130" s="8" t="inlineStr">
        <is>
          <t>M24</t>
        </is>
      </c>
      <c r="V130" s="10" t="inlineStr">
        <is>
          <t>แบบ S201 (ตำแหน่ง) / ระดับรอยืนยัน</t>
        </is>
      </c>
    </row>
    <row r="131">
      <c r="A131" s="8" t="inlineStr">
        <is>
          <t>F1P-082</t>
        </is>
      </c>
      <c r="B131" s="8" t="inlineStr">
        <is>
          <t>F1P</t>
        </is>
      </c>
      <c r="C131" s="8" t="inlineStr">
        <is>
          <t>2-1.51/C+1.51</t>
        </is>
      </c>
      <c r="D131" s="9" t="n">
        <v>4.485</v>
      </c>
      <c r="E131" s="9" t="n">
        <v>13.512</v>
      </c>
      <c r="F131" s="9" t="n">
        <v>1</v>
      </c>
      <c r="G131" s="9" t="n">
        <v>1</v>
      </c>
      <c r="H131" s="9" t="n">
        <v>0.2</v>
      </c>
      <c r="I131" s="9" t="n">
        <v>0.3</v>
      </c>
      <c r="J131" s="9" t="n">
        <v>0.1</v>
      </c>
      <c r="K131" s="9" t="n">
        <v>-0.05</v>
      </c>
      <c r="L131" s="9" t="n">
        <v>0.05</v>
      </c>
      <c r="M131" s="8" t="n">
        <v>1</v>
      </c>
      <c r="N131" s="8" t="inlineStr">
        <is>
          <t>1x I-350 ยาว 22 ม.</t>
        </is>
      </c>
      <c r="O131" s="8">
        <f>F131*G131*H131</f>
        <v/>
      </c>
      <c r="P131" s="8">
        <f>2*(F131+G131)*H131</f>
        <v/>
      </c>
      <c r="Q131" s="8">
        <f>IF(L131&gt;0,(F131+2*0.1)*(G131+2*0.1)*L131,0)</f>
        <v/>
      </c>
      <c r="R131" s="8">
        <f>(F131+0.2)*(G131+0.2)*0.1</f>
        <v/>
      </c>
      <c r="S131" s="8">
        <f>(F131+0.2)*(G131+0.2)*0.05</f>
        <v/>
      </c>
      <c r="T131" s="8">
        <f>INDEX('2-ฐานราก เหล็กเสริม'!$S:$S,MATCH(B131,'2-ฐานราก เหล็กเสริม'!$A:$A,0))</f>
        <v/>
      </c>
      <c r="U131" s="8" t="inlineStr">
        <is>
          <t>M24</t>
        </is>
      </c>
      <c r="V131" s="10" t="inlineStr">
        <is>
          <t>แบบ S201 (ตำแหน่ง) / ระดับรอยืนยัน</t>
        </is>
      </c>
    </row>
    <row r="132">
      <c r="A132" s="8" t="inlineStr">
        <is>
          <t>F1P-083</t>
        </is>
      </c>
      <c r="B132" s="8" t="inlineStr">
        <is>
          <t>F1P</t>
        </is>
      </c>
      <c r="C132" s="8" t="inlineStr">
        <is>
          <t>2+1.49/C+1.51</t>
        </is>
      </c>
      <c r="D132" s="9" t="n">
        <v>7.491</v>
      </c>
      <c r="E132" s="9" t="n">
        <v>13.512</v>
      </c>
      <c r="F132" s="9" t="n">
        <v>1</v>
      </c>
      <c r="G132" s="9" t="n">
        <v>1</v>
      </c>
      <c r="H132" s="9" t="n">
        <v>0.2</v>
      </c>
      <c r="I132" s="9" t="n">
        <v>0.3</v>
      </c>
      <c r="J132" s="9" t="n">
        <v>0.1</v>
      </c>
      <c r="K132" s="9" t="n">
        <v>-0.05</v>
      </c>
      <c r="L132" s="9" t="n">
        <v>0.05</v>
      </c>
      <c r="M132" s="8" t="n">
        <v>1</v>
      </c>
      <c r="N132" s="8" t="inlineStr">
        <is>
          <t>1x I-350 ยาว 22 ม.</t>
        </is>
      </c>
      <c r="O132" s="8">
        <f>F132*G132*H132</f>
        <v/>
      </c>
      <c r="P132" s="8">
        <f>2*(F132+G132)*H132</f>
        <v/>
      </c>
      <c r="Q132" s="8">
        <f>IF(L132&gt;0,(F132+2*0.1)*(G132+2*0.1)*L132,0)</f>
        <v/>
      </c>
      <c r="R132" s="8">
        <f>(F132+0.2)*(G132+0.2)*0.1</f>
        <v/>
      </c>
      <c r="S132" s="8">
        <f>(F132+0.2)*(G132+0.2)*0.05</f>
        <v/>
      </c>
      <c r="T132" s="8">
        <f>INDEX('2-ฐานราก เหล็กเสริม'!$S:$S,MATCH(B132,'2-ฐานราก เหล็กเสริม'!$A:$A,0))</f>
        <v/>
      </c>
      <c r="U132" s="8" t="inlineStr">
        <is>
          <t>M24</t>
        </is>
      </c>
      <c r="V132" s="10" t="inlineStr">
        <is>
          <t>แบบ S201 (ตำแหน่ง) / ระดับรอยืนยัน</t>
        </is>
      </c>
    </row>
    <row r="133">
      <c r="A133" s="8" t="inlineStr">
        <is>
          <t>F1P-084</t>
        </is>
      </c>
      <c r="B133" s="8" t="inlineStr">
        <is>
          <t>F1P</t>
        </is>
      </c>
      <c r="C133" s="8" t="inlineStr">
        <is>
          <t>3-1.51/C+1.51</t>
        </is>
      </c>
      <c r="D133" s="9" t="n">
        <v>10.49</v>
      </c>
      <c r="E133" s="9" t="n">
        <v>13.512</v>
      </c>
      <c r="F133" s="9" t="n">
        <v>1</v>
      </c>
      <c r="G133" s="9" t="n">
        <v>1</v>
      </c>
      <c r="H133" s="9" t="n">
        <v>0.2</v>
      </c>
      <c r="I133" s="9" t="n">
        <v>0.3</v>
      </c>
      <c r="J133" s="9" t="n">
        <v>0.1</v>
      </c>
      <c r="K133" s="9" t="n">
        <v>-0.05</v>
      </c>
      <c r="L133" s="9" t="n">
        <v>0.05</v>
      </c>
      <c r="M133" s="8" t="n">
        <v>1</v>
      </c>
      <c r="N133" s="8" t="inlineStr">
        <is>
          <t>1x I-350 ยาว 22 ม.</t>
        </is>
      </c>
      <c r="O133" s="8">
        <f>F133*G133*H133</f>
        <v/>
      </c>
      <c r="P133" s="8">
        <f>2*(F133+G133)*H133</f>
        <v/>
      </c>
      <c r="Q133" s="8">
        <f>IF(L133&gt;0,(F133+2*0.1)*(G133+2*0.1)*L133,0)</f>
        <v/>
      </c>
      <c r="R133" s="8">
        <f>(F133+0.2)*(G133+0.2)*0.1</f>
        <v/>
      </c>
      <c r="S133" s="8">
        <f>(F133+0.2)*(G133+0.2)*0.05</f>
        <v/>
      </c>
      <c r="T133" s="8">
        <f>INDEX('2-ฐานราก เหล็กเสริม'!$S:$S,MATCH(B133,'2-ฐานราก เหล็กเสริม'!$A:$A,0))</f>
        <v/>
      </c>
      <c r="U133" s="8" t="inlineStr">
        <is>
          <t>M24</t>
        </is>
      </c>
      <c r="V133" s="10" t="inlineStr">
        <is>
          <t>แบบ S201 (ตำแหน่ง) / ระดับรอยืนยัน</t>
        </is>
      </c>
    </row>
    <row r="134">
      <c r="A134" s="8" t="inlineStr">
        <is>
          <t>F1P-085</t>
        </is>
      </c>
      <c r="B134" s="8" t="inlineStr">
        <is>
          <t>F1P</t>
        </is>
      </c>
      <c r="C134" s="8" t="inlineStr">
        <is>
          <t>3+1.49/C+1.51</t>
        </is>
      </c>
      <c r="D134" s="9" t="n">
        <v>13.488</v>
      </c>
      <c r="E134" s="9" t="n">
        <v>13.512</v>
      </c>
      <c r="F134" s="9" t="n">
        <v>1</v>
      </c>
      <c r="G134" s="9" t="n">
        <v>1</v>
      </c>
      <c r="H134" s="9" t="n">
        <v>0.2</v>
      </c>
      <c r="I134" s="9" t="n">
        <v>0.3</v>
      </c>
      <c r="J134" s="9" t="n">
        <v>0.1</v>
      </c>
      <c r="K134" s="9" t="n">
        <v>-0.05</v>
      </c>
      <c r="L134" s="9" t="n">
        <v>0.05</v>
      </c>
      <c r="M134" s="8" t="n">
        <v>1</v>
      </c>
      <c r="N134" s="8" t="inlineStr">
        <is>
          <t>1x I-350 ยาว 22 ม.</t>
        </is>
      </c>
      <c r="O134" s="8">
        <f>F134*G134*H134</f>
        <v/>
      </c>
      <c r="P134" s="8">
        <f>2*(F134+G134)*H134</f>
        <v/>
      </c>
      <c r="Q134" s="8">
        <f>IF(L134&gt;0,(F134+2*0.1)*(G134+2*0.1)*L134,0)</f>
        <v/>
      </c>
      <c r="R134" s="8">
        <f>(F134+0.2)*(G134+0.2)*0.1</f>
        <v/>
      </c>
      <c r="S134" s="8">
        <f>(F134+0.2)*(G134+0.2)*0.05</f>
        <v/>
      </c>
      <c r="T134" s="8">
        <f>INDEX('2-ฐานราก เหล็กเสริม'!$S:$S,MATCH(B134,'2-ฐานราก เหล็กเสริม'!$A:$A,0))</f>
        <v/>
      </c>
      <c r="U134" s="8" t="inlineStr">
        <is>
          <t>M24</t>
        </is>
      </c>
      <c r="V134" s="10" t="inlineStr">
        <is>
          <t>แบบ S201 (ตำแหน่ง) / ระดับรอยืนยัน</t>
        </is>
      </c>
    </row>
    <row r="135">
      <c r="A135" s="8" t="inlineStr">
        <is>
          <t>F1P-086</t>
        </is>
      </c>
      <c r="B135" s="8" t="inlineStr">
        <is>
          <t>F1P</t>
        </is>
      </c>
      <c r="C135" s="8" t="inlineStr">
        <is>
          <t>4-1.51/C+1.51</t>
        </is>
      </c>
      <c r="D135" s="9" t="n">
        <v>16.487</v>
      </c>
      <c r="E135" s="9" t="n">
        <v>13.512</v>
      </c>
      <c r="F135" s="9" t="n">
        <v>1</v>
      </c>
      <c r="G135" s="9" t="n">
        <v>1</v>
      </c>
      <c r="H135" s="9" t="n">
        <v>0.2</v>
      </c>
      <c r="I135" s="9" t="n">
        <v>0.3</v>
      </c>
      <c r="J135" s="9" t="n">
        <v>0.1</v>
      </c>
      <c r="K135" s="9" t="n">
        <v>-0.05</v>
      </c>
      <c r="L135" s="9" t="n">
        <v>0.05</v>
      </c>
      <c r="M135" s="8" t="n">
        <v>1</v>
      </c>
      <c r="N135" s="8" t="inlineStr">
        <is>
          <t>1x I-350 ยาว 22 ม.</t>
        </is>
      </c>
      <c r="O135" s="8">
        <f>F135*G135*H135</f>
        <v/>
      </c>
      <c r="P135" s="8">
        <f>2*(F135+G135)*H135</f>
        <v/>
      </c>
      <c r="Q135" s="8">
        <f>IF(L135&gt;0,(F135+2*0.1)*(G135+2*0.1)*L135,0)</f>
        <v/>
      </c>
      <c r="R135" s="8">
        <f>(F135+0.2)*(G135+0.2)*0.1</f>
        <v/>
      </c>
      <c r="S135" s="8">
        <f>(F135+0.2)*(G135+0.2)*0.05</f>
        <v/>
      </c>
      <c r="T135" s="8">
        <f>INDEX('2-ฐานราก เหล็กเสริม'!$S:$S,MATCH(B135,'2-ฐานราก เหล็กเสริม'!$A:$A,0))</f>
        <v/>
      </c>
      <c r="U135" s="8" t="inlineStr">
        <is>
          <t>M24</t>
        </is>
      </c>
      <c r="V135" s="10" t="inlineStr">
        <is>
          <t>แบบ S201 (ตำแหน่ง) / ระดับรอยืนยัน</t>
        </is>
      </c>
    </row>
    <row r="136">
      <c r="A136" s="8" t="inlineStr">
        <is>
          <t>F1P-087</t>
        </is>
      </c>
      <c r="B136" s="8" t="inlineStr">
        <is>
          <t>F1P</t>
        </is>
      </c>
      <c r="C136" s="8" t="inlineStr">
        <is>
          <t>4+1.49/C+1.51</t>
        </is>
      </c>
      <c r="D136" s="9" t="n">
        <v>19.486</v>
      </c>
      <c r="E136" s="9" t="n">
        <v>13.512</v>
      </c>
      <c r="F136" s="9" t="n">
        <v>1</v>
      </c>
      <c r="G136" s="9" t="n">
        <v>1</v>
      </c>
      <c r="H136" s="9" t="n">
        <v>0.2</v>
      </c>
      <c r="I136" s="9" t="n">
        <v>0.3</v>
      </c>
      <c r="J136" s="9" t="n">
        <v>0.1</v>
      </c>
      <c r="K136" s="9" t="n">
        <v>-0.05</v>
      </c>
      <c r="L136" s="9" t="n">
        <v>0.05</v>
      </c>
      <c r="M136" s="8" t="n">
        <v>1</v>
      </c>
      <c r="N136" s="8" t="inlineStr">
        <is>
          <t>1x I-350 ยาว 22 ม.</t>
        </is>
      </c>
      <c r="O136" s="8">
        <f>F136*G136*H136</f>
        <v/>
      </c>
      <c r="P136" s="8">
        <f>2*(F136+G136)*H136</f>
        <v/>
      </c>
      <c r="Q136" s="8">
        <f>IF(L136&gt;0,(F136+2*0.1)*(G136+2*0.1)*L136,0)</f>
        <v/>
      </c>
      <c r="R136" s="8">
        <f>(F136+0.2)*(G136+0.2)*0.1</f>
        <v/>
      </c>
      <c r="S136" s="8">
        <f>(F136+0.2)*(G136+0.2)*0.05</f>
        <v/>
      </c>
      <c r="T136" s="8">
        <f>INDEX('2-ฐานราก เหล็กเสริม'!$S:$S,MATCH(B136,'2-ฐานราก เหล็กเสริม'!$A:$A,0))</f>
        <v/>
      </c>
      <c r="U136" s="8" t="inlineStr">
        <is>
          <t>M24</t>
        </is>
      </c>
      <c r="V136" s="10" t="inlineStr">
        <is>
          <t>แบบ S201 (ตำแหน่ง) / ระดับรอยืนยัน</t>
        </is>
      </c>
    </row>
    <row r="137">
      <c r="A137" s="8" t="inlineStr">
        <is>
          <t>F1P-088</t>
        </is>
      </c>
      <c r="B137" s="8" t="inlineStr">
        <is>
          <t>F1P</t>
        </is>
      </c>
      <c r="C137" s="8" t="inlineStr">
        <is>
          <t>5-1.51/C+1.51</t>
        </is>
      </c>
      <c r="D137" s="9" t="n">
        <v>22.491</v>
      </c>
      <c r="E137" s="9" t="n">
        <v>13.512</v>
      </c>
      <c r="F137" s="9" t="n">
        <v>1</v>
      </c>
      <c r="G137" s="9" t="n">
        <v>1</v>
      </c>
      <c r="H137" s="9" t="n">
        <v>0.2</v>
      </c>
      <c r="I137" s="9" t="n">
        <v>0.3</v>
      </c>
      <c r="J137" s="9" t="n">
        <v>0.1</v>
      </c>
      <c r="K137" s="9" t="n">
        <v>-0.05</v>
      </c>
      <c r="L137" s="9" t="n">
        <v>0.05</v>
      </c>
      <c r="M137" s="8" t="n">
        <v>1</v>
      </c>
      <c r="N137" s="8" t="inlineStr">
        <is>
          <t>1x I-350 ยาว 22 ม.</t>
        </is>
      </c>
      <c r="O137" s="8">
        <f>F137*G137*H137</f>
        <v/>
      </c>
      <c r="P137" s="8">
        <f>2*(F137+G137)*H137</f>
        <v/>
      </c>
      <c r="Q137" s="8">
        <f>IF(L137&gt;0,(F137+2*0.1)*(G137+2*0.1)*L137,0)</f>
        <v/>
      </c>
      <c r="R137" s="8">
        <f>(F137+0.2)*(G137+0.2)*0.1</f>
        <v/>
      </c>
      <c r="S137" s="8">
        <f>(F137+0.2)*(G137+0.2)*0.05</f>
        <v/>
      </c>
      <c r="T137" s="8">
        <f>INDEX('2-ฐานราก เหล็กเสริม'!$S:$S,MATCH(B137,'2-ฐานราก เหล็กเสริม'!$A:$A,0))</f>
        <v/>
      </c>
      <c r="U137" s="8" t="inlineStr">
        <is>
          <t>M24</t>
        </is>
      </c>
      <c r="V137" s="10" t="inlineStr">
        <is>
          <t>แบบ S201 (ตำแหน่ง) / ระดับรอยืนยัน</t>
        </is>
      </c>
    </row>
    <row r="138">
      <c r="A138" s="8" t="inlineStr">
        <is>
          <t>F1P-089</t>
        </is>
      </c>
      <c r="B138" s="8" t="inlineStr">
        <is>
          <t>F1P</t>
        </is>
      </c>
      <c r="C138" s="8" t="inlineStr">
        <is>
          <t>5+1.49/C+1.51</t>
        </is>
      </c>
      <c r="D138" s="9" t="n">
        <v>25.49</v>
      </c>
      <c r="E138" s="9" t="n">
        <v>13.512</v>
      </c>
      <c r="F138" s="9" t="n">
        <v>1</v>
      </c>
      <c r="G138" s="9" t="n">
        <v>1</v>
      </c>
      <c r="H138" s="9" t="n">
        <v>0.2</v>
      </c>
      <c r="I138" s="9" t="n">
        <v>0.3</v>
      </c>
      <c r="J138" s="9" t="n">
        <v>0.1</v>
      </c>
      <c r="K138" s="9" t="n">
        <v>-0.05</v>
      </c>
      <c r="L138" s="9" t="n">
        <v>0.05</v>
      </c>
      <c r="M138" s="8" t="n">
        <v>1</v>
      </c>
      <c r="N138" s="8" t="inlineStr">
        <is>
          <t>1x I-350 ยาว 22 ม.</t>
        </is>
      </c>
      <c r="O138" s="8">
        <f>F138*G138*H138</f>
        <v/>
      </c>
      <c r="P138" s="8">
        <f>2*(F138+G138)*H138</f>
        <v/>
      </c>
      <c r="Q138" s="8">
        <f>IF(L138&gt;0,(F138+2*0.1)*(G138+2*0.1)*L138,0)</f>
        <v/>
      </c>
      <c r="R138" s="8">
        <f>(F138+0.2)*(G138+0.2)*0.1</f>
        <v/>
      </c>
      <c r="S138" s="8">
        <f>(F138+0.2)*(G138+0.2)*0.05</f>
        <v/>
      </c>
      <c r="T138" s="8">
        <f>INDEX('2-ฐานราก เหล็กเสริม'!$S:$S,MATCH(B138,'2-ฐานราก เหล็กเสริม'!$A:$A,0))</f>
        <v/>
      </c>
      <c r="U138" s="8" t="inlineStr">
        <is>
          <t>M24</t>
        </is>
      </c>
      <c r="V138" s="10" t="inlineStr">
        <is>
          <t>แบบ S201 (ตำแหน่ง) / ระดับรอยืนยัน</t>
        </is>
      </c>
    </row>
    <row r="139">
      <c r="A139" s="8" t="inlineStr">
        <is>
          <t>F1P-090</t>
        </is>
      </c>
      <c r="B139" s="8" t="inlineStr">
        <is>
          <t>F1P</t>
        </is>
      </c>
      <c r="C139" s="8" t="inlineStr">
        <is>
          <t>6-1.51/C+1.51</t>
        </is>
      </c>
      <c r="D139" s="9" t="n">
        <v>28.489</v>
      </c>
      <c r="E139" s="9" t="n">
        <v>13.512</v>
      </c>
      <c r="F139" s="9" t="n">
        <v>1</v>
      </c>
      <c r="G139" s="9" t="n">
        <v>1</v>
      </c>
      <c r="H139" s="9" t="n">
        <v>0.2</v>
      </c>
      <c r="I139" s="9" t="n">
        <v>0.3</v>
      </c>
      <c r="J139" s="9" t="n">
        <v>0.1</v>
      </c>
      <c r="K139" s="9" t="n">
        <v>-0.05</v>
      </c>
      <c r="L139" s="9" t="n">
        <v>0.05</v>
      </c>
      <c r="M139" s="8" t="n">
        <v>1</v>
      </c>
      <c r="N139" s="8" t="inlineStr">
        <is>
          <t>1x I-350 ยาว 22 ม.</t>
        </is>
      </c>
      <c r="O139" s="8">
        <f>F139*G139*H139</f>
        <v/>
      </c>
      <c r="P139" s="8">
        <f>2*(F139+G139)*H139</f>
        <v/>
      </c>
      <c r="Q139" s="8">
        <f>IF(L139&gt;0,(F139+2*0.1)*(G139+2*0.1)*L139,0)</f>
        <v/>
      </c>
      <c r="R139" s="8">
        <f>(F139+0.2)*(G139+0.2)*0.1</f>
        <v/>
      </c>
      <c r="S139" s="8">
        <f>(F139+0.2)*(G139+0.2)*0.05</f>
        <v/>
      </c>
      <c r="T139" s="8">
        <f>INDEX('2-ฐานราก เหล็กเสริม'!$S:$S,MATCH(B139,'2-ฐานราก เหล็กเสริม'!$A:$A,0))</f>
        <v/>
      </c>
      <c r="U139" s="8" t="inlineStr">
        <is>
          <t>M24</t>
        </is>
      </c>
      <c r="V139" s="10" t="inlineStr">
        <is>
          <t>แบบ S201 (ตำแหน่ง) / ระดับรอยืนยัน</t>
        </is>
      </c>
    </row>
    <row r="140">
      <c r="A140" s="8" t="inlineStr">
        <is>
          <t>F1P-091</t>
        </is>
      </c>
      <c r="B140" s="8" t="inlineStr">
        <is>
          <t>F1P</t>
        </is>
      </c>
      <c r="C140" s="8" t="inlineStr">
        <is>
          <t>6+1.49/C+1.51</t>
        </is>
      </c>
      <c r="D140" s="9" t="n">
        <v>31.488</v>
      </c>
      <c r="E140" s="9" t="n">
        <v>13.512</v>
      </c>
      <c r="F140" s="9" t="n">
        <v>1</v>
      </c>
      <c r="G140" s="9" t="n">
        <v>1</v>
      </c>
      <c r="H140" s="9" t="n">
        <v>0.2</v>
      </c>
      <c r="I140" s="9" t="n">
        <v>0.3</v>
      </c>
      <c r="J140" s="9" t="n">
        <v>0.1</v>
      </c>
      <c r="K140" s="9" t="n">
        <v>-0.05</v>
      </c>
      <c r="L140" s="9" t="n">
        <v>0.05</v>
      </c>
      <c r="M140" s="8" t="n">
        <v>1</v>
      </c>
      <c r="N140" s="8" t="inlineStr">
        <is>
          <t>1x I-350 ยาว 22 ม.</t>
        </is>
      </c>
      <c r="O140" s="8">
        <f>F140*G140*H140</f>
        <v/>
      </c>
      <c r="P140" s="8">
        <f>2*(F140+G140)*H140</f>
        <v/>
      </c>
      <c r="Q140" s="8">
        <f>IF(L140&gt;0,(F140+2*0.1)*(G140+2*0.1)*L140,0)</f>
        <v/>
      </c>
      <c r="R140" s="8">
        <f>(F140+0.2)*(G140+0.2)*0.1</f>
        <v/>
      </c>
      <c r="S140" s="8">
        <f>(F140+0.2)*(G140+0.2)*0.05</f>
        <v/>
      </c>
      <c r="T140" s="8">
        <f>INDEX('2-ฐานราก เหล็กเสริม'!$S:$S,MATCH(B140,'2-ฐานราก เหล็กเสริม'!$A:$A,0))</f>
        <v/>
      </c>
      <c r="U140" s="8" t="inlineStr">
        <is>
          <t>M24</t>
        </is>
      </c>
      <c r="V140" s="10" t="inlineStr">
        <is>
          <t>แบบ S201 (ตำแหน่ง) / ระดับรอยืนยัน</t>
        </is>
      </c>
    </row>
    <row r="141">
      <c r="A141" s="8" t="inlineStr">
        <is>
          <t>F1P-092</t>
        </is>
      </c>
      <c r="B141" s="8" t="inlineStr">
        <is>
          <t>F1P</t>
        </is>
      </c>
      <c r="C141" s="8" t="inlineStr">
        <is>
          <t>7-1.51/C+1.51</t>
        </is>
      </c>
      <c r="D141" s="9" t="n">
        <v>34.493</v>
      </c>
      <c r="E141" s="9" t="n">
        <v>13.512</v>
      </c>
      <c r="F141" s="9" t="n">
        <v>1</v>
      </c>
      <c r="G141" s="9" t="n">
        <v>1</v>
      </c>
      <c r="H141" s="9" t="n">
        <v>0.2</v>
      </c>
      <c r="I141" s="9" t="n">
        <v>0.3</v>
      </c>
      <c r="J141" s="9" t="n">
        <v>0.1</v>
      </c>
      <c r="K141" s="9" t="n">
        <v>-0.05</v>
      </c>
      <c r="L141" s="9" t="n">
        <v>0.05</v>
      </c>
      <c r="M141" s="8" t="n">
        <v>1</v>
      </c>
      <c r="N141" s="8" t="inlineStr">
        <is>
          <t>1x I-350 ยาว 22 ม.</t>
        </is>
      </c>
      <c r="O141" s="8">
        <f>F141*G141*H141</f>
        <v/>
      </c>
      <c r="P141" s="8">
        <f>2*(F141+G141)*H141</f>
        <v/>
      </c>
      <c r="Q141" s="8">
        <f>IF(L141&gt;0,(F141+2*0.1)*(G141+2*0.1)*L141,0)</f>
        <v/>
      </c>
      <c r="R141" s="8">
        <f>(F141+0.2)*(G141+0.2)*0.1</f>
        <v/>
      </c>
      <c r="S141" s="8">
        <f>(F141+0.2)*(G141+0.2)*0.05</f>
        <v/>
      </c>
      <c r="T141" s="8">
        <f>INDEX('2-ฐานราก เหล็กเสริม'!$S:$S,MATCH(B141,'2-ฐานราก เหล็กเสริม'!$A:$A,0))</f>
        <v/>
      </c>
      <c r="U141" s="8" t="inlineStr">
        <is>
          <t>M24</t>
        </is>
      </c>
      <c r="V141" s="10" t="inlineStr">
        <is>
          <t>แบบ S201 (ตำแหน่ง) / ระดับรอยืนยัน</t>
        </is>
      </c>
    </row>
    <row r="142">
      <c r="A142" s="8" t="inlineStr">
        <is>
          <t>F1P-093</t>
        </is>
      </c>
      <c r="B142" s="8" t="inlineStr">
        <is>
          <t>F1P</t>
        </is>
      </c>
      <c r="C142" s="8" t="inlineStr">
        <is>
          <t>7+1.49/C+1.51</t>
        </is>
      </c>
      <c r="D142" s="9" t="n">
        <v>37.492</v>
      </c>
      <c r="E142" s="9" t="n">
        <v>13.512</v>
      </c>
      <c r="F142" s="9" t="n">
        <v>1</v>
      </c>
      <c r="G142" s="9" t="n">
        <v>1</v>
      </c>
      <c r="H142" s="9" t="n">
        <v>0.2</v>
      </c>
      <c r="I142" s="9" t="n">
        <v>0.3</v>
      </c>
      <c r="J142" s="9" t="n">
        <v>0.1</v>
      </c>
      <c r="K142" s="9" t="n">
        <v>-0.05</v>
      </c>
      <c r="L142" s="9" t="n">
        <v>0.05</v>
      </c>
      <c r="M142" s="8" t="n">
        <v>1</v>
      </c>
      <c r="N142" s="8" t="inlineStr">
        <is>
          <t>1x I-350 ยาว 22 ม.</t>
        </is>
      </c>
      <c r="O142" s="8">
        <f>F142*G142*H142</f>
        <v/>
      </c>
      <c r="P142" s="8">
        <f>2*(F142+G142)*H142</f>
        <v/>
      </c>
      <c r="Q142" s="8">
        <f>IF(L142&gt;0,(F142+2*0.1)*(G142+2*0.1)*L142,0)</f>
        <v/>
      </c>
      <c r="R142" s="8">
        <f>(F142+0.2)*(G142+0.2)*0.1</f>
        <v/>
      </c>
      <c r="S142" s="8">
        <f>(F142+0.2)*(G142+0.2)*0.05</f>
        <v/>
      </c>
      <c r="T142" s="8">
        <f>INDEX('2-ฐานราก เหล็กเสริม'!$S:$S,MATCH(B142,'2-ฐานราก เหล็กเสริม'!$A:$A,0))</f>
        <v/>
      </c>
      <c r="U142" s="8" t="inlineStr">
        <is>
          <t>M24</t>
        </is>
      </c>
      <c r="V142" s="10" t="inlineStr">
        <is>
          <t>แบบ S201 (ตำแหน่ง) / ระดับรอยืนยัน</t>
        </is>
      </c>
    </row>
    <row r="143">
      <c r="A143" s="8" t="inlineStr">
        <is>
          <t>F1P-094</t>
        </is>
      </c>
      <c r="B143" s="8" t="inlineStr">
        <is>
          <t>F1P</t>
        </is>
      </c>
      <c r="C143" s="8" t="inlineStr">
        <is>
          <t>8-1.51/C+1.51</t>
        </is>
      </c>
      <c r="D143" s="9" t="n">
        <v>40.491</v>
      </c>
      <c r="E143" s="9" t="n">
        <v>13.512</v>
      </c>
      <c r="F143" s="9" t="n">
        <v>1</v>
      </c>
      <c r="G143" s="9" t="n">
        <v>1</v>
      </c>
      <c r="H143" s="9" t="n">
        <v>0.2</v>
      </c>
      <c r="I143" s="9" t="n">
        <v>0.3</v>
      </c>
      <c r="J143" s="9" t="n">
        <v>0.1</v>
      </c>
      <c r="K143" s="9" t="n">
        <v>-0.05</v>
      </c>
      <c r="L143" s="9" t="n">
        <v>0.05</v>
      </c>
      <c r="M143" s="8" t="n">
        <v>1</v>
      </c>
      <c r="N143" s="8" t="inlineStr">
        <is>
          <t>1x I-350 ยาว 22 ม.</t>
        </is>
      </c>
      <c r="O143" s="8">
        <f>F143*G143*H143</f>
        <v/>
      </c>
      <c r="P143" s="8">
        <f>2*(F143+G143)*H143</f>
        <v/>
      </c>
      <c r="Q143" s="8">
        <f>IF(L143&gt;0,(F143+2*0.1)*(G143+2*0.1)*L143,0)</f>
        <v/>
      </c>
      <c r="R143" s="8">
        <f>(F143+0.2)*(G143+0.2)*0.1</f>
        <v/>
      </c>
      <c r="S143" s="8">
        <f>(F143+0.2)*(G143+0.2)*0.05</f>
        <v/>
      </c>
      <c r="T143" s="8">
        <f>INDEX('2-ฐานราก เหล็กเสริม'!$S:$S,MATCH(B143,'2-ฐานราก เหล็กเสริม'!$A:$A,0))</f>
        <v/>
      </c>
      <c r="U143" s="8" t="inlineStr">
        <is>
          <t>M24</t>
        </is>
      </c>
      <c r="V143" s="10" t="inlineStr">
        <is>
          <t>แบบ S201 (ตำแหน่ง) / ระดับรอยืนยัน</t>
        </is>
      </c>
    </row>
    <row r="144">
      <c r="A144" s="8" t="inlineStr">
        <is>
          <t>F1P-095</t>
        </is>
      </c>
      <c r="B144" s="8" t="inlineStr">
        <is>
          <t>F1P</t>
        </is>
      </c>
      <c r="C144" s="8" t="inlineStr">
        <is>
          <t>8+1.49/C+1.51</t>
        </is>
      </c>
      <c r="D144" s="9" t="n">
        <v>43.49</v>
      </c>
      <c r="E144" s="9" t="n">
        <v>13.512</v>
      </c>
      <c r="F144" s="9" t="n">
        <v>1</v>
      </c>
      <c r="G144" s="9" t="n">
        <v>1</v>
      </c>
      <c r="H144" s="9" t="n">
        <v>0.2</v>
      </c>
      <c r="I144" s="9" t="n">
        <v>0.3</v>
      </c>
      <c r="J144" s="9" t="n">
        <v>0.1</v>
      </c>
      <c r="K144" s="9" t="n">
        <v>-0.05</v>
      </c>
      <c r="L144" s="9" t="n">
        <v>0.05</v>
      </c>
      <c r="M144" s="8" t="n">
        <v>1</v>
      </c>
      <c r="N144" s="8" t="inlineStr">
        <is>
          <t>1x I-350 ยาว 22 ม.</t>
        </is>
      </c>
      <c r="O144" s="8">
        <f>F144*G144*H144</f>
        <v/>
      </c>
      <c r="P144" s="8">
        <f>2*(F144+G144)*H144</f>
        <v/>
      </c>
      <c r="Q144" s="8">
        <f>IF(L144&gt;0,(F144+2*0.1)*(G144+2*0.1)*L144,0)</f>
        <v/>
      </c>
      <c r="R144" s="8">
        <f>(F144+0.2)*(G144+0.2)*0.1</f>
        <v/>
      </c>
      <c r="S144" s="8">
        <f>(F144+0.2)*(G144+0.2)*0.05</f>
        <v/>
      </c>
      <c r="T144" s="8">
        <f>INDEX('2-ฐานราก เหล็กเสริม'!$S:$S,MATCH(B144,'2-ฐานราก เหล็กเสริม'!$A:$A,0))</f>
        <v/>
      </c>
      <c r="U144" s="8" t="inlineStr">
        <is>
          <t>M24</t>
        </is>
      </c>
      <c r="V144" s="10" t="inlineStr">
        <is>
          <t>แบบ S201 (ตำแหน่ง) / ระดับรอยืนยัน</t>
        </is>
      </c>
    </row>
    <row r="145">
      <c r="A145" s="8" t="inlineStr">
        <is>
          <t>F1P-096</t>
        </is>
      </c>
      <c r="B145" s="8" t="inlineStr">
        <is>
          <t>F1P</t>
        </is>
      </c>
      <c r="C145" s="8" t="inlineStr">
        <is>
          <t>9-1.51/C+1.51</t>
        </is>
      </c>
      <c r="D145" s="9" t="n">
        <v>46.495</v>
      </c>
      <c r="E145" s="9" t="n">
        <v>13.512</v>
      </c>
      <c r="F145" s="9" t="n">
        <v>1</v>
      </c>
      <c r="G145" s="9" t="n">
        <v>1</v>
      </c>
      <c r="H145" s="9" t="n">
        <v>0.2</v>
      </c>
      <c r="I145" s="9" t="n">
        <v>0.3</v>
      </c>
      <c r="J145" s="9" t="n">
        <v>0.1</v>
      </c>
      <c r="K145" s="9" t="n">
        <v>-0.05</v>
      </c>
      <c r="L145" s="9" t="n">
        <v>0.05</v>
      </c>
      <c r="M145" s="8" t="n">
        <v>1</v>
      </c>
      <c r="N145" s="8" t="inlineStr">
        <is>
          <t>1x I-350 ยาว 22 ม.</t>
        </is>
      </c>
      <c r="O145" s="8">
        <f>F145*G145*H145</f>
        <v/>
      </c>
      <c r="P145" s="8">
        <f>2*(F145+G145)*H145</f>
        <v/>
      </c>
      <c r="Q145" s="8">
        <f>IF(L145&gt;0,(F145+2*0.1)*(G145+2*0.1)*L145,0)</f>
        <v/>
      </c>
      <c r="R145" s="8">
        <f>(F145+0.2)*(G145+0.2)*0.1</f>
        <v/>
      </c>
      <c r="S145" s="8">
        <f>(F145+0.2)*(G145+0.2)*0.05</f>
        <v/>
      </c>
      <c r="T145" s="8">
        <f>INDEX('2-ฐานราก เหล็กเสริม'!$S:$S,MATCH(B145,'2-ฐานราก เหล็กเสริม'!$A:$A,0))</f>
        <v/>
      </c>
      <c r="U145" s="8" t="inlineStr">
        <is>
          <t>M24</t>
        </is>
      </c>
      <c r="V145" s="10" t="inlineStr">
        <is>
          <t>แบบ S201 (ตำแหน่ง) / ระดับรอยืนยัน</t>
        </is>
      </c>
    </row>
    <row r="146">
      <c r="A146" s="8" t="inlineStr">
        <is>
          <t>F1P-097</t>
        </is>
      </c>
      <c r="B146" s="8" t="inlineStr">
        <is>
          <t>F1P</t>
        </is>
      </c>
      <c r="C146" s="8" t="inlineStr">
        <is>
          <t>9+1.49/C+1.51</t>
        </is>
      </c>
      <c r="D146" s="9" t="n">
        <v>49.494</v>
      </c>
      <c r="E146" s="9" t="n">
        <v>13.512</v>
      </c>
      <c r="F146" s="9" t="n">
        <v>1</v>
      </c>
      <c r="G146" s="9" t="n">
        <v>1</v>
      </c>
      <c r="H146" s="9" t="n">
        <v>0.2</v>
      </c>
      <c r="I146" s="9" t="n">
        <v>0.3</v>
      </c>
      <c r="J146" s="9" t="n">
        <v>0.1</v>
      </c>
      <c r="K146" s="9" t="n">
        <v>-0.05</v>
      </c>
      <c r="L146" s="9" t="n">
        <v>0.05</v>
      </c>
      <c r="M146" s="8" t="n">
        <v>1</v>
      </c>
      <c r="N146" s="8" t="inlineStr">
        <is>
          <t>1x I-350 ยาว 22 ม.</t>
        </is>
      </c>
      <c r="O146" s="8">
        <f>F146*G146*H146</f>
        <v/>
      </c>
      <c r="P146" s="8">
        <f>2*(F146+G146)*H146</f>
        <v/>
      </c>
      <c r="Q146" s="8">
        <f>IF(L146&gt;0,(F146+2*0.1)*(G146+2*0.1)*L146,0)</f>
        <v/>
      </c>
      <c r="R146" s="8">
        <f>(F146+0.2)*(G146+0.2)*0.1</f>
        <v/>
      </c>
      <c r="S146" s="8">
        <f>(F146+0.2)*(G146+0.2)*0.05</f>
        <v/>
      </c>
      <c r="T146" s="8">
        <f>INDEX('2-ฐานราก เหล็กเสริม'!$S:$S,MATCH(B146,'2-ฐานราก เหล็กเสริม'!$A:$A,0))</f>
        <v/>
      </c>
      <c r="U146" s="8" t="inlineStr">
        <is>
          <t>M24</t>
        </is>
      </c>
      <c r="V146" s="10" t="inlineStr">
        <is>
          <t>แบบ S201 (ตำแหน่ง) / ระดับรอยืนยัน</t>
        </is>
      </c>
    </row>
    <row r="147">
      <c r="A147" s="8" t="inlineStr">
        <is>
          <t>F1P-098</t>
        </is>
      </c>
      <c r="B147" s="8" t="inlineStr">
        <is>
          <t>F1P</t>
        </is>
      </c>
      <c r="C147" s="8" t="inlineStr">
        <is>
          <t>10-1.51/C+1.51</t>
        </is>
      </c>
      <c r="D147" s="9" t="n">
        <v>52.493</v>
      </c>
      <c r="E147" s="9" t="n">
        <v>13.512</v>
      </c>
      <c r="F147" s="9" t="n">
        <v>1</v>
      </c>
      <c r="G147" s="9" t="n">
        <v>1</v>
      </c>
      <c r="H147" s="9" t="n">
        <v>0.2</v>
      </c>
      <c r="I147" s="9" t="n">
        <v>0.3</v>
      </c>
      <c r="J147" s="9" t="n">
        <v>0.1</v>
      </c>
      <c r="K147" s="9" t="n">
        <v>-0.05</v>
      </c>
      <c r="L147" s="9" t="n">
        <v>0.05</v>
      </c>
      <c r="M147" s="8" t="n">
        <v>1</v>
      </c>
      <c r="N147" s="8" t="inlineStr">
        <is>
          <t>1x I-350 ยาว 22 ม.</t>
        </is>
      </c>
      <c r="O147" s="8">
        <f>F147*G147*H147</f>
        <v/>
      </c>
      <c r="P147" s="8">
        <f>2*(F147+G147)*H147</f>
        <v/>
      </c>
      <c r="Q147" s="8">
        <f>IF(L147&gt;0,(F147+2*0.1)*(G147+2*0.1)*L147,0)</f>
        <v/>
      </c>
      <c r="R147" s="8">
        <f>(F147+0.2)*(G147+0.2)*0.1</f>
        <v/>
      </c>
      <c r="S147" s="8">
        <f>(F147+0.2)*(G147+0.2)*0.05</f>
        <v/>
      </c>
      <c r="T147" s="8">
        <f>INDEX('2-ฐานราก เหล็กเสริม'!$S:$S,MATCH(B147,'2-ฐานราก เหล็กเสริม'!$A:$A,0))</f>
        <v/>
      </c>
      <c r="U147" s="8" t="inlineStr">
        <is>
          <t>M24</t>
        </is>
      </c>
      <c r="V147" s="10" t="inlineStr">
        <is>
          <t>แบบ S201 (ตำแหน่ง) / ระดับรอยืนยัน</t>
        </is>
      </c>
    </row>
    <row r="148">
      <c r="A148" s="8" t="inlineStr">
        <is>
          <t>F1P-099</t>
        </is>
      </c>
      <c r="B148" s="8" t="inlineStr">
        <is>
          <t>F1P</t>
        </is>
      </c>
      <c r="C148" s="8" t="inlineStr">
        <is>
          <t>10+1.49/C+1.51</t>
        </is>
      </c>
      <c r="D148" s="9" t="n">
        <v>55.492</v>
      </c>
      <c r="E148" s="9" t="n">
        <v>13.512</v>
      </c>
      <c r="F148" s="9" t="n">
        <v>1</v>
      </c>
      <c r="G148" s="9" t="n">
        <v>1</v>
      </c>
      <c r="H148" s="9" t="n">
        <v>0.2</v>
      </c>
      <c r="I148" s="9" t="n">
        <v>0.3</v>
      </c>
      <c r="J148" s="9" t="n">
        <v>0.1</v>
      </c>
      <c r="K148" s="9" t="n">
        <v>-0.05</v>
      </c>
      <c r="L148" s="9" t="n">
        <v>0.05</v>
      </c>
      <c r="M148" s="8" t="n">
        <v>1</v>
      </c>
      <c r="N148" s="8" t="inlineStr">
        <is>
          <t>1x I-350 ยาว 22 ม.</t>
        </is>
      </c>
      <c r="O148" s="8">
        <f>F148*G148*H148</f>
        <v/>
      </c>
      <c r="P148" s="8">
        <f>2*(F148+G148)*H148</f>
        <v/>
      </c>
      <c r="Q148" s="8">
        <f>IF(L148&gt;0,(F148+2*0.1)*(G148+2*0.1)*L148,0)</f>
        <v/>
      </c>
      <c r="R148" s="8">
        <f>(F148+0.2)*(G148+0.2)*0.1</f>
        <v/>
      </c>
      <c r="S148" s="8">
        <f>(F148+0.2)*(G148+0.2)*0.05</f>
        <v/>
      </c>
      <c r="T148" s="8">
        <f>INDEX('2-ฐานราก เหล็กเสริม'!$S:$S,MATCH(B148,'2-ฐานราก เหล็กเสริม'!$A:$A,0))</f>
        <v/>
      </c>
      <c r="U148" s="8" t="inlineStr">
        <is>
          <t>M24</t>
        </is>
      </c>
      <c r="V148" s="10" t="inlineStr">
        <is>
          <t>แบบ S201 (ตำแหน่ง) / ระดับรอยืนยัน</t>
        </is>
      </c>
    </row>
    <row r="149">
      <c r="A149" s="8" t="inlineStr">
        <is>
          <t>F1P-100</t>
        </is>
      </c>
      <c r="B149" s="8" t="inlineStr">
        <is>
          <t>F1P</t>
        </is>
      </c>
      <c r="C149" s="8" t="inlineStr">
        <is>
          <t>11-1.51/C+1.51</t>
        </is>
      </c>
      <c r="D149" s="9" t="n">
        <v>58.49</v>
      </c>
      <c r="E149" s="9" t="n">
        <v>13.512</v>
      </c>
      <c r="F149" s="9" t="n">
        <v>1</v>
      </c>
      <c r="G149" s="9" t="n">
        <v>1</v>
      </c>
      <c r="H149" s="9" t="n">
        <v>0.2</v>
      </c>
      <c r="I149" s="9" t="n">
        <v>0.3</v>
      </c>
      <c r="J149" s="9" t="n">
        <v>0.1</v>
      </c>
      <c r="K149" s="9" t="n">
        <v>-0.05</v>
      </c>
      <c r="L149" s="9" t="n">
        <v>0.05</v>
      </c>
      <c r="M149" s="8" t="n">
        <v>1</v>
      </c>
      <c r="N149" s="8" t="inlineStr">
        <is>
          <t>1x I-350 ยาว 22 ม.</t>
        </is>
      </c>
      <c r="O149" s="8">
        <f>F149*G149*H149</f>
        <v/>
      </c>
      <c r="P149" s="8">
        <f>2*(F149+G149)*H149</f>
        <v/>
      </c>
      <c r="Q149" s="8">
        <f>IF(L149&gt;0,(F149+2*0.1)*(G149+2*0.1)*L149,0)</f>
        <v/>
      </c>
      <c r="R149" s="8">
        <f>(F149+0.2)*(G149+0.2)*0.1</f>
        <v/>
      </c>
      <c r="S149" s="8">
        <f>(F149+0.2)*(G149+0.2)*0.05</f>
        <v/>
      </c>
      <c r="T149" s="8">
        <f>INDEX('2-ฐานราก เหล็กเสริม'!$S:$S,MATCH(B149,'2-ฐานราก เหล็กเสริม'!$A:$A,0))</f>
        <v/>
      </c>
      <c r="U149" s="8" t="inlineStr">
        <is>
          <t>M24</t>
        </is>
      </c>
      <c r="V149" s="10" t="inlineStr">
        <is>
          <t>แบบ S201 (ตำแหน่ง) / ระดับรอยืนยัน</t>
        </is>
      </c>
    </row>
    <row r="150">
      <c r="A150" s="8" t="inlineStr">
        <is>
          <t>F1P-101</t>
        </is>
      </c>
      <c r="B150" s="8" t="inlineStr">
        <is>
          <t>F1P</t>
        </is>
      </c>
      <c r="C150" s="8" t="inlineStr">
        <is>
          <t>1+1.49/D-1.49</t>
        </is>
      </c>
      <c r="D150" s="9" t="n">
        <v>1.487</v>
      </c>
      <c r="E150" s="9" t="n">
        <v>16.511</v>
      </c>
      <c r="F150" s="9" t="n">
        <v>1</v>
      </c>
      <c r="G150" s="9" t="n">
        <v>1</v>
      </c>
      <c r="H150" s="9" t="n">
        <v>0.2</v>
      </c>
      <c r="I150" s="9" t="n">
        <v>0.3</v>
      </c>
      <c r="J150" s="9" t="n">
        <v>0.1</v>
      </c>
      <c r="K150" s="9" t="n">
        <v>-0.05</v>
      </c>
      <c r="L150" s="9" t="n">
        <v>0.05</v>
      </c>
      <c r="M150" s="8" t="n">
        <v>1</v>
      </c>
      <c r="N150" s="8" t="inlineStr">
        <is>
          <t>1x I-350 ยาว 22 ม.</t>
        </is>
      </c>
      <c r="O150" s="8">
        <f>F150*G150*H150</f>
        <v/>
      </c>
      <c r="P150" s="8">
        <f>2*(F150+G150)*H150</f>
        <v/>
      </c>
      <c r="Q150" s="8">
        <f>IF(L150&gt;0,(F150+2*0.1)*(G150+2*0.1)*L150,0)</f>
        <v/>
      </c>
      <c r="R150" s="8">
        <f>(F150+0.2)*(G150+0.2)*0.1</f>
        <v/>
      </c>
      <c r="S150" s="8">
        <f>(F150+0.2)*(G150+0.2)*0.05</f>
        <v/>
      </c>
      <c r="T150" s="8">
        <f>INDEX('2-ฐานราก เหล็กเสริม'!$S:$S,MATCH(B150,'2-ฐานราก เหล็กเสริม'!$A:$A,0))</f>
        <v/>
      </c>
      <c r="U150" s="8" t="inlineStr">
        <is>
          <t>M24</t>
        </is>
      </c>
      <c r="V150" s="10" t="inlineStr">
        <is>
          <t>แบบ S201 (ตำแหน่ง) / ระดับรอยืนยัน</t>
        </is>
      </c>
    </row>
    <row r="151">
      <c r="A151" s="8" t="inlineStr">
        <is>
          <t>F1P-102</t>
        </is>
      </c>
      <c r="B151" s="8" t="inlineStr">
        <is>
          <t>F1P</t>
        </is>
      </c>
      <c r="C151" s="8" t="inlineStr">
        <is>
          <t>2-1.51/D-1.49</t>
        </is>
      </c>
      <c r="D151" s="9" t="n">
        <v>4.485</v>
      </c>
      <c r="E151" s="9" t="n">
        <v>16.511</v>
      </c>
      <c r="F151" s="9" t="n">
        <v>1</v>
      </c>
      <c r="G151" s="9" t="n">
        <v>1</v>
      </c>
      <c r="H151" s="9" t="n">
        <v>0.2</v>
      </c>
      <c r="I151" s="9" t="n">
        <v>0.3</v>
      </c>
      <c r="J151" s="9" t="n">
        <v>0.1</v>
      </c>
      <c r="K151" s="9" t="n">
        <v>-0.05</v>
      </c>
      <c r="L151" s="9" t="n">
        <v>0.05</v>
      </c>
      <c r="M151" s="8" t="n">
        <v>1</v>
      </c>
      <c r="N151" s="8" t="inlineStr">
        <is>
          <t>1x I-350 ยาว 22 ม.</t>
        </is>
      </c>
      <c r="O151" s="8">
        <f>F151*G151*H151</f>
        <v/>
      </c>
      <c r="P151" s="8">
        <f>2*(F151+G151)*H151</f>
        <v/>
      </c>
      <c r="Q151" s="8">
        <f>IF(L151&gt;0,(F151+2*0.1)*(G151+2*0.1)*L151,0)</f>
        <v/>
      </c>
      <c r="R151" s="8">
        <f>(F151+0.2)*(G151+0.2)*0.1</f>
        <v/>
      </c>
      <c r="S151" s="8">
        <f>(F151+0.2)*(G151+0.2)*0.05</f>
        <v/>
      </c>
      <c r="T151" s="8">
        <f>INDEX('2-ฐานราก เหล็กเสริม'!$S:$S,MATCH(B151,'2-ฐานราก เหล็กเสริม'!$A:$A,0))</f>
        <v/>
      </c>
      <c r="U151" s="8" t="inlineStr">
        <is>
          <t>M24</t>
        </is>
      </c>
      <c r="V151" s="10" t="inlineStr">
        <is>
          <t>แบบ S201 (ตำแหน่ง) / ระดับรอยืนยัน</t>
        </is>
      </c>
    </row>
    <row r="152">
      <c r="A152" s="8" t="inlineStr">
        <is>
          <t>F1P-103</t>
        </is>
      </c>
      <c r="B152" s="8" t="inlineStr">
        <is>
          <t>F1P</t>
        </is>
      </c>
      <c r="C152" s="8" t="inlineStr">
        <is>
          <t>2+1.49/D-1.49</t>
        </is>
      </c>
      <c r="D152" s="9" t="n">
        <v>7.491</v>
      </c>
      <c r="E152" s="9" t="n">
        <v>16.511</v>
      </c>
      <c r="F152" s="9" t="n">
        <v>1</v>
      </c>
      <c r="G152" s="9" t="n">
        <v>1</v>
      </c>
      <c r="H152" s="9" t="n">
        <v>0.2</v>
      </c>
      <c r="I152" s="9" t="n">
        <v>0.3</v>
      </c>
      <c r="J152" s="9" t="n">
        <v>0.1</v>
      </c>
      <c r="K152" s="9" t="n">
        <v>-0.05</v>
      </c>
      <c r="L152" s="9" t="n">
        <v>0.05</v>
      </c>
      <c r="M152" s="8" t="n">
        <v>1</v>
      </c>
      <c r="N152" s="8" t="inlineStr">
        <is>
          <t>1x I-350 ยาว 22 ม.</t>
        </is>
      </c>
      <c r="O152" s="8">
        <f>F152*G152*H152</f>
        <v/>
      </c>
      <c r="P152" s="8">
        <f>2*(F152+G152)*H152</f>
        <v/>
      </c>
      <c r="Q152" s="8">
        <f>IF(L152&gt;0,(F152+2*0.1)*(G152+2*0.1)*L152,0)</f>
        <v/>
      </c>
      <c r="R152" s="8">
        <f>(F152+0.2)*(G152+0.2)*0.1</f>
        <v/>
      </c>
      <c r="S152" s="8">
        <f>(F152+0.2)*(G152+0.2)*0.05</f>
        <v/>
      </c>
      <c r="T152" s="8">
        <f>INDEX('2-ฐานราก เหล็กเสริม'!$S:$S,MATCH(B152,'2-ฐานราก เหล็กเสริม'!$A:$A,0))</f>
        <v/>
      </c>
      <c r="U152" s="8" t="inlineStr">
        <is>
          <t>M24</t>
        </is>
      </c>
      <c r="V152" s="10" t="inlineStr">
        <is>
          <t>แบบ S201 (ตำแหน่ง) / ระดับรอยืนยัน</t>
        </is>
      </c>
    </row>
    <row r="153">
      <c r="A153" s="8" t="inlineStr">
        <is>
          <t>F1P-104</t>
        </is>
      </c>
      <c r="B153" s="8" t="inlineStr">
        <is>
          <t>F1P</t>
        </is>
      </c>
      <c r="C153" s="8" t="inlineStr">
        <is>
          <t>3-1.51/D-1.49</t>
        </is>
      </c>
      <c r="D153" s="9" t="n">
        <v>10.49</v>
      </c>
      <c r="E153" s="9" t="n">
        <v>16.511</v>
      </c>
      <c r="F153" s="9" t="n">
        <v>1</v>
      </c>
      <c r="G153" s="9" t="n">
        <v>1</v>
      </c>
      <c r="H153" s="9" t="n">
        <v>0.2</v>
      </c>
      <c r="I153" s="9" t="n">
        <v>0.3</v>
      </c>
      <c r="J153" s="9" t="n">
        <v>0.1</v>
      </c>
      <c r="K153" s="9" t="n">
        <v>-0.05</v>
      </c>
      <c r="L153" s="9" t="n">
        <v>0.05</v>
      </c>
      <c r="M153" s="8" t="n">
        <v>1</v>
      </c>
      <c r="N153" s="8" t="inlineStr">
        <is>
          <t>1x I-350 ยาว 22 ม.</t>
        </is>
      </c>
      <c r="O153" s="8">
        <f>F153*G153*H153</f>
        <v/>
      </c>
      <c r="P153" s="8">
        <f>2*(F153+G153)*H153</f>
        <v/>
      </c>
      <c r="Q153" s="8">
        <f>IF(L153&gt;0,(F153+2*0.1)*(G153+2*0.1)*L153,0)</f>
        <v/>
      </c>
      <c r="R153" s="8">
        <f>(F153+0.2)*(G153+0.2)*0.1</f>
        <v/>
      </c>
      <c r="S153" s="8">
        <f>(F153+0.2)*(G153+0.2)*0.05</f>
        <v/>
      </c>
      <c r="T153" s="8">
        <f>INDEX('2-ฐานราก เหล็กเสริม'!$S:$S,MATCH(B153,'2-ฐานราก เหล็กเสริม'!$A:$A,0))</f>
        <v/>
      </c>
      <c r="U153" s="8" t="inlineStr">
        <is>
          <t>M24</t>
        </is>
      </c>
      <c r="V153" s="10" t="inlineStr">
        <is>
          <t>แบบ S201 (ตำแหน่ง) / ระดับรอยืนยัน</t>
        </is>
      </c>
    </row>
    <row r="154">
      <c r="A154" s="8" t="inlineStr">
        <is>
          <t>F1P-105</t>
        </is>
      </c>
      <c r="B154" s="8" t="inlineStr">
        <is>
          <t>F1P</t>
        </is>
      </c>
      <c r="C154" s="8" t="inlineStr">
        <is>
          <t>3+1.49/D-1.49</t>
        </is>
      </c>
      <c r="D154" s="9" t="n">
        <v>13.488</v>
      </c>
      <c r="E154" s="9" t="n">
        <v>16.511</v>
      </c>
      <c r="F154" s="9" t="n">
        <v>1</v>
      </c>
      <c r="G154" s="9" t="n">
        <v>1</v>
      </c>
      <c r="H154" s="9" t="n">
        <v>0.2</v>
      </c>
      <c r="I154" s="9" t="n">
        <v>0.3</v>
      </c>
      <c r="J154" s="9" t="n">
        <v>0.1</v>
      </c>
      <c r="K154" s="9" t="n">
        <v>-0.05</v>
      </c>
      <c r="L154" s="9" t="n">
        <v>0.05</v>
      </c>
      <c r="M154" s="8" t="n">
        <v>1</v>
      </c>
      <c r="N154" s="8" t="inlineStr">
        <is>
          <t>1x I-350 ยาว 22 ม.</t>
        </is>
      </c>
      <c r="O154" s="8">
        <f>F154*G154*H154</f>
        <v/>
      </c>
      <c r="P154" s="8">
        <f>2*(F154+G154)*H154</f>
        <v/>
      </c>
      <c r="Q154" s="8">
        <f>IF(L154&gt;0,(F154+2*0.1)*(G154+2*0.1)*L154,0)</f>
        <v/>
      </c>
      <c r="R154" s="8">
        <f>(F154+0.2)*(G154+0.2)*0.1</f>
        <v/>
      </c>
      <c r="S154" s="8">
        <f>(F154+0.2)*(G154+0.2)*0.05</f>
        <v/>
      </c>
      <c r="T154" s="8">
        <f>INDEX('2-ฐานราก เหล็กเสริม'!$S:$S,MATCH(B154,'2-ฐานราก เหล็กเสริม'!$A:$A,0))</f>
        <v/>
      </c>
      <c r="U154" s="8" t="inlineStr">
        <is>
          <t>M24</t>
        </is>
      </c>
      <c r="V154" s="10" t="inlineStr">
        <is>
          <t>แบบ S201 (ตำแหน่ง) / ระดับรอยืนยัน</t>
        </is>
      </c>
    </row>
    <row r="155">
      <c r="A155" s="8" t="inlineStr">
        <is>
          <t>F1P-106</t>
        </is>
      </c>
      <c r="B155" s="8" t="inlineStr">
        <is>
          <t>F1P</t>
        </is>
      </c>
      <c r="C155" s="8" t="inlineStr">
        <is>
          <t>4-1.51/D-1.49</t>
        </is>
      </c>
      <c r="D155" s="9" t="n">
        <v>16.487</v>
      </c>
      <c r="E155" s="9" t="n">
        <v>16.511</v>
      </c>
      <c r="F155" s="9" t="n">
        <v>1</v>
      </c>
      <c r="G155" s="9" t="n">
        <v>1</v>
      </c>
      <c r="H155" s="9" t="n">
        <v>0.2</v>
      </c>
      <c r="I155" s="9" t="n">
        <v>0.3</v>
      </c>
      <c r="J155" s="9" t="n">
        <v>0.1</v>
      </c>
      <c r="K155" s="9" t="n">
        <v>-0.05</v>
      </c>
      <c r="L155" s="9" t="n">
        <v>0.05</v>
      </c>
      <c r="M155" s="8" t="n">
        <v>1</v>
      </c>
      <c r="N155" s="8" t="inlineStr">
        <is>
          <t>1x I-350 ยาว 22 ม.</t>
        </is>
      </c>
      <c r="O155" s="8">
        <f>F155*G155*H155</f>
        <v/>
      </c>
      <c r="P155" s="8">
        <f>2*(F155+G155)*H155</f>
        <v/>
      </c>
      <c r="Q155" s="8">
        <f>IF(L155&gt;0,(F155+2*0.1)*(G155+2*0.1)*L155,0)</f>
        <v/>
      </c>
      <c r="R155" s="8">
        <f>(F155+0.2)*(G155+0.2)*0.1</f>
        <v/>
      </c>
      <c r="S155" s="8">
        <f>(F155+0.2)*(G155+0.2)*0.05</f>
        <v/>
      </c>
      <c r="T155" s="8">
        <f>INDEX('2-ฐานราก เหล็กเสริม'!$S:$S,MATCH(B155,'2-ฐานราก เหล็กเสริม'!$A:$A,0))</f>
        <v/>
      </c>
      <c r="U155" s="8" t="inlineStr">
        <is>
          <t>M24</t>
        </is>
      </c>
      <c r="V155" s="10" t="inlineStr">
        <is>
          <t>แบบ S201 (ตำแหน่ง) / ระดับรอยืนยัน</t>
        </is>
      </c>
    </row>
    <row r="156">
      <c r="A156" s="8" t="inlineStr">
        <is>
          <t>F1P-107</t>
        </is>
      </c>
      <c r="B156" s="8" t="inlineStr">
        <is>
          <t>F1P</t>
        </is>
      </c>
      <c r="C156" s="8" t="inlineStr">
        <is>
          <t>4+1.49/D-1.49</t>
        </is>
      </c>
      <c r="D156" s="9" t="n">
        <v>19.486</v>
      </c>
      <c r="E156" s="9" t="n">
        <v>16.511</v>
      </c>
      <c r="F156" s="9" t="n">
        <v>1</v>
      </c>
      <c r="G156" s="9" t="n">
        <v>1</v>
      </c>
      <c r="H156" s="9" t="n">
        <v>0.2</v>
      </c>
      <c r="I156" s="9" t="n">
        <v>0.3</v>
      </c>
      <c r="J156" s="9" t="n">
        <v>0.1</v>
      </c>
      <c r="K156" s="9" t="n">
        <v>-0.05</v>
      </c>
      <c r="L156" s="9" t="n">
        <v>0.05</v>
      </c>
      <c r="M156" s="8" t="n">
        <v>1</v>
      </c>
      <c r="N156" s="8" t="inlineStr">
        <is>
          <t>1x I-350 ยาว 22 ม.</t>
        </is>
      </c>
      <c r="O156" s="8">
        <f>F156*G156*H156</f>
        <v/>
      </c>
      <c r="P156" s="8">
        <f>2*(F156+G156)*H156</f>
        <v/>
      </c>
      <c r="Q156" s="8">
        <f>IF(L156&gt;0,(F156+2*0.1)*(G156+2*0.1)*L156,0)</f>
        <v/>
      </c>
      <c r="R156" s="8">
        <f>(F156+0.2)*(G156+0.2)*0.1</f>
        <v/>
      </c>
      <c r="S156" s="8">
        <f>(F156+0.2)*(G156+0.2)*0.05</f>
        <v/>
      </c>
      <c r="T156" s="8">
        <f>INDEX('2-ฐานราก เหล็กเสริม'!$S:$S,MATCH(B156,'2-ฐานราก เหล็กเสริม'!$A:$A,0))</f>
        <v/>
      </c>
      <c r="U156" s="8" t="inlineStr">
        <is>
          <t>M24</t>
        </is>
      </c>
      <c r="V156" s="10" t="inlineStr">
        <is>
          <t>แบบ S201 (ตำแหน่ง) / ระดับรอยืนยัน</t>
        </is>
      </c>
    </row>
    <row r="157">
      <c r="A157" s="8" t="inlineStr">
        <is>
          <t>F1P-108</t>
        </is>
      </c>
      <c r="B157" s="8" t="inlineStr">
        <is>
          <t>F1P</t>
        </is>
      </c>
      <c r="C157" s="8" t="inlineStr">
        <is>
          <t>5-1.51/D-1.49</t>
        </is>
      </c>
      <c r="D157" s="9" t="n">
        <v>22.491</v>
      </c>
      <c r="E157" s="9" t="n">
        <v>16.511</v>
      </c>
      <c r="F157" s="9" t="n">
        <v>1</v>
      </c>
      <c r="G157" s="9" t="n">
        <v>1</v>
      </c>
      <c r="H157" s="9" t="n">
        <v>0.2</v>
      </c>
      <c r="I157" s="9" t="n">
        <v>0.3</v>
      </c>
      <c r="J157" s="9" t="n">
        <v>0.1</v>
      </c>
      <c r="K157" s="9" t="n">
        <v>-0.05</v>
      </c>
      <c r="L157" s="9" t="n">
        <v>0.05</v>
      </c>
      <c r="M157" s="8" t="n">
        <v>1</v>
      </c>
      <c r="N157" s="8" t="inlineStr">
        <is>
          <t>1x I-350 ยาว 22 ม.</t>
        </is>
      </c>
      <c r="O157" s="8">
        <f>F157*G157*H157</f>
        <v/>
      </c>
      <c r="P157" s="8">
        <f>2*(F157+G157)*H157</f>
        <v/>
      </c>
      <c r="Q157" s="8">
        <f>IF(L157&gt;0,(F157+2*0.1)*(G157+2*0.1)*L157,0)</f>
        <v/>
      </c>
      <c r="R157" s="8">
        <f>(F157+0.2)*(G157+0.2)*0.1</f>
        <v/>
      </c>
      <c r="S157" s="8">
        <f>(F157+0.2)*(G157+0.2)*0.05</f>
        <v/>
      </c>
      <c r="T157" s="8">
        <f>INDEX('2-ฐานราก เหล็กเสริม'!$S:$S,MATCH(B157,'2-ฐานราก เหล็กเสริม'!$A:$A,0))</f>
        <v/>
      </c>
      <c r="U157" s="8" t="inlineStr">
        <is>
          <t>M24</t>
        </is>
      </c>
      <c r="V157" s="10" t="inlineStr">
        <is>
          <t>แบบ S201 (ตำแหน่ง) / ระดับรอยืนยัน</t>
        </is>
      </c>
    </row>
    <row r="158">
      <c r="A158" s="8" t="inlineStr">
        <is>
          <t>F1P-109</t>
        </is>
      </c>
      <c r="B158" s="8" t="inlineStr">
        <is>
          <t>F1P</t>
        </is>
      </c>
      <c r="C158" s="8" t="inlineStr">
        <is>
          <t>5+1.49/D-1.49</t>
        </is>
      </c>
      <c r="D158" s="9" t="n">
        <v>25.49</v>
      </c>
      <c r="E158" s="9" t="n">
        <v>16.511</v>
      </c>
      <c r="F158" s="9" t="n">
        <v>1</v>
      </c>
      <c r="G158" s="9" t="n">
        <v>1</v>
      </c>
      <c r="H158" s="9" t="n">
        <v>0.2</v>
      </c>
      <c r="I158" s="9" t="n">
        <v>0.3</v>
      </c>
      <c r="J158" s="9" t="n">
        <v>0.1</v>
      </c>
      <c r="K158" s="9" t="n">
        <v>-0.05</v>
      </c>
      <c r="L158" s="9" t="n">
        <v>0.05</v>
      </c>
      <c r="M158" s="8" t="n">
        <v>1</v>
      </c>
      <c r="N158" s="8" t="inlineStr">
        <is>
          <t>1x I-350 ยาว 22 ม.</t>
        </is>
      </c>
      <c r="O158" s="8">
        <f>F158*G158*H158</f>
        <v/>
      </c>
      <c r="P158" s="8">
        <f>2*(F158+G158)*H158</f>
        <v/>
      </c>
      <c r="Q158" s="8">
        <f>IF(L158&gt;0,(F158+2*0.1)*(G158+2*0.1)*L158,0)</f>
        <v/>
      </c>
      <c r="R158" s="8">
        <f>(F158+0.2)*(G158+0.2)*0.1</f>
        <v/>
      </c>
      <c r="S158" s="8">
        <f>(F158+0.2)*(G158+0.2)*0.05</f>
        <v/>
      </c>
      <c r="T158" s="8">
        <f>INDEX('2-ฐานราก เหล็กเสริม'!$S:$S,MATCH(B158,'2-ฐานราก เหล็กเสริม'!$A:$A,0))</f>
        <v/>
      </c>
      <c r="U158" s="8" t="inlineStr">
        <is>
          <t>M24</t>
        </is>
      </c>
      <c r="V158" s="10" t="inlineStr">
        <is>
          <t>แบบ S201 (ตำแหน่ง) / ระดับรอยืนยัน</t>
        </is>
      </c>
    </row>
    <row r="159">
      <c r="A159" s="8" t="inlineStr">
        <is>
          <t>F1P-110</t>
        </is>
      </c>
      <c r="B159" s="8" t="inlineStr">
        <is>
          <t>F1P</t>
        </is>
      </c>
      <c r="C159" s="8" t="inlineStr">
        <is>
          <t>6-1.51/D-1.49</t>
        </is>
      </c>
      <c r="D159" s="9" t="n">
        <v>28.489</v>
      </c>
      <c r="E159" s="9" t="n">
        <v>16.511</v>
      </c>
      <c r="F159" s="9" t="n">
        <v>1</v>
      </c>
      <c r="G159" s="9" t="n">
        <v>1</v>
      </c>
      <c r="H159" s="9" t="n">
        <v>0.2</v>
      </c>
      <c r="I159" s="9" t="n">
        <v>0.3</v>
      </c>
      <c r="J159" s="9" t="n">
        <v>0.1</v>
      </c>
      <c r="K159" s="9" t="n">
        <v>-0.05</v>
      </c>
      <c r="L159" s="9" t="n">
        <v>0.05</v>
      </c>
      <c r="M159" s="8" t="n">
        <v>1</v>
      </c>
      <c r="N159" s="8" t="inlineStr">
        <is>
          <t>1x I-350 ยาว 22 ม.</t>
        </is>
      </c>
      <c r="O159" s="8">
        <f>F159*G159*H159</f>
        <v/>
      </c>
      <c r="P159" s="8">
        <f>2*(F159+G159)*H159</f>
        <v/>
      </c>
      <c r="Q159" s="8">
        <f>IF(L159&gt;0,(F159+2*0.1)*(G159+2*0.1)*L159,0)</f>
        <v/>
      </c>
      <c r="R159" s="8">
        <f>(F159+0.2)*(G159+0.2)*0.1</f>
        <v/>
      </c>
      <c r="S159" s="8">
        <f>(F159+0.2)*(G159+0.2)*0.05</f>
        <v/>
      </c>
      <c r="T159" s="8">
        <f>INDEX('2-ฐานราก เหล็กเสริม'!$S:$S,MATCH(B159,'2-ฐานราก เหล็กเสริม'!$A:$A,0))</f>
        <v/>
      </c>
      <c r="U159" s="8" t="inlineStr">
        <is>
          <t>M24</t>
        </is>
      </c>
      <c r="V159" s="10" t="inlineStr">
        <is>
          <t>แบบ S201 (ตำแหน่ง) / ระดับรอยืนยัน</t>
        </is>
      </c>
    </row>
    <row r="160">
      <c r="A160" s="8" t="inlineStr">
        <is>
          <t>F1P-111</t>
        </is>
      </c>
      <c r="B160" s="8" t="inlineStr">
        <is>
          <t>F1P</t>
        </is>
      </c>
      <c r="C160" s="8" t="inlineStr">
        <is>
          <t>6+1.49/D-1.49</t>
        </is>
      </c>
      <c r="D160" s="9" t="n">
        <v>31.488</v>
      </c>
      <c r="E160" s="9" t="n">
        <v>16.511</v>
      </c>
      <c r="F160" s="9" t="n">
        <v>1</v>
      </c>
      <c r="G160" s="9" t="n">
        <v>1</v>
      </c>
      <c r="H160" s="9" t="n">
        <v>0.2</v>
      </c>
      <c r="I160" s="9" t="n">
        <v>0.3</v>
      </c>
      <c r="J160" s="9" t="n">
        <v>0.1</v>
      </c>
      <c r="K160" s="9" t="n">
        <v>-0.05</v>
      </c>
      <c r="L160" s="9" t="n">
        <v>0.05</v>
      </c>
      <c r="M160" s="8" t="n">
        <v>1</v>
      </c>
      <c r="N160" s="8" t="inlineStr">
        <is>
          <t>1x I-350 ยาว 22 ม.</t>
        </is>
      </c>
      <c r="O160" s="8">
        <f>F160*G160*H160</f>
        <v/>
      </c>
      <c r="P160" s="8">
        <f>2*(F160+G160)*H160</f>
        <v/>
      </c>
      <c r="Q160" s="8">
        <f>IF(L160&gt;0,(F160+2*0.1)*(G160+2*0.1)*L160,0)</f>
        <v/>
      </c>
      <c r="R160" s="8">
        <f>(F160+0.2)*(G160+0.2)*0.1</f>
        <v/>
      </c>
      <c r="S160" s="8">
        <f>(F160+0.2)*(G160+0.2)*0.05</f>
        <v/>
      </c>
      <c r="T160" s="8">
        <f>INDEX('2-ฐานราก เหล็กเสริม'!$S:$S,MATCH(B160,'2-ฐานราก เหล็กเสริม'!$A:$A,0))</f>
        <v/>
      </c>
      <c r="U160" s="8" t="inlineStr">
        <is>
          <t>M24</t>
        </is>
      </c>
      <c r="V160" s="10" t="inlineStr">
        <is>
          <t>แบบ S201 (ตำแหน่ง) / ระดับรอยืนยัน</t>
        </is>
      </c>
    </row>
    <row r="161">
      <c r="A161" s="8" t="inlineStr">
        <is>
          <t>F1P-112</t>
        </is>
      </c>
      <c r="B161" s="8" t="inlineStr">
        <is>
          <t>F1P</t>
        </is>
      </c>
      <c r="C161" s="8" t="inlineStr">
        <is>
          <t>7-1.51/D-1.49</t>
        </is>
      </c>
      <c r="D161" s="9" t="n">
        <v>34.493</v>
      </c>
      <c r="E161" s="9" t="n">
        <v>16.511</v>
      </c>
      <c r="F161" s="9" t="n">
        <v>1</v>
      </c>
      <c r="G161" s="9" t="n">
        <v>1</v>
      </c>
      <c r="H161" s="9" t="n">
        <v>0.2</v>
      </c>
      <c r="I161" s="9" t="n">
        <v>0.3</v>
      </c>
      <c r="J161" s="9" t="n">
        <v>0.1</v>
      </c>
      <c r="K161" s="9" t="n">
        <v>-0.05</v>
      </c>
      <c r="L161" s="9" t="n">
        <v>0.05</v>
      </c>
      <c r="M161" s="8" t="n">
        <v>1</v>
      </c>
      <c r="N161" s="8" t="inlineStr">
        <is>
          <t>1x I-350 ยาว 22 ม.</t>
        </is>
      </c>
      <c r="O161" s="8">
        <f>F161*G161*H161</f>
        <v/>
      </c>
      <c r="P161" s="8">
        <f>2*(F161+G161)*H161</f>
        <v/>
      </c>
      <c r="Q161" s="8">
        <f>IF(L161&gt;0,(F161+2*0.1)*(G161+2*0.1)*L161,0)</f>
        <v/>
      </c>
      <c r="R161" s="8">
        <f>(F161+0.2)*(G161+0.2)*0.1</f>
        <v/>
      </c>
      <c r="S161" s="8">
        <f>(F161+0.2)*(G161+0.2)*0.05</f>
        <v/>
      </c>
      <c r="T161" s="8">
        <f>INDEX('2-ฐานราก เหล็กเสริม'!$S:$S,MATCH(B161,'2-ฐานราก เหล็กเสริม'!$A:$A,0))</f>
        <v/>
      </c>
      <c r="U161" s="8" t="inlineStr">
        <is>
          <t>M24</t>
        </is>
      </c>
      <c r="V161" s="10" t="inlineStr">
        <is>
          <t>แบบ S201 (ตำแหน่ง) / ระดับรอยืนยัน</t>
        </is>
      </c>
    </row>
    <row r="162">
      <c r="A162" s="8" t="inlineStr">
        <is>
          <t>F1P-113</t>
        </is>
      </c>
      <c r="B162" s="8" t="inlineStr">
        <is>
          <t>F1P</t>
        </is>
      </c>
      <c r="C162" s="8" t="inlineStr">
        <is>
          <t>7+1.49/D-1.49</t>
        </is>
      </c>
      <c r="D162" s="9" t="n">
        <v>37.492</v>
      </c>
      <c r="E162" s="9" t="n">
        <v>16.511</v>
      </c>
      <c r="F162" s="9" t="n">
        <v>1</v>
      </c>
      <c r="G162" s="9" t="n">
        <v>1</v>
      </c>
      <c r="H162" s="9" t="n">
        <v>0.2</v>
      </c>
      <c r="I162" s="9" t="n">
        <v>0.3</v>
      </c>
      <c r="J162" s="9" t="n">
        <v>0.1</v>
      </c>
      <c r="K162" s="9" t="n">
        <v>-0.05</v>
      </c>
      <c r="L162" s="9" t="n">
        <v>0.05</v>
      </c>
      <c r="M162" s="8" t="n">
        <v>1</v>
      </c>
      <c r="N162" s="8" t="inlineStr">
        <is>
          <t>1x I-350 ยาว 22 ม.</t>
        </is>
      </c>
      <c r="O162" s="8">
        <f>F162*G162*H162</f>
        <v/>
      </c>
      <c r="P162" s="8">
        <f>2*(F162+G162)*H162</f>
        <v/>
      </c>
      <c r="Q162" s="8">
        <f>IF(L162&gt;0,(F162+2*0.1)*(G162+2*0.1)*L162,0)</f>
        <v/>
      </c>
      <c r="R162" s="8">
        <f>(F162+0.2)*(G162+0.2)*0.1</f>
        <v/>
      </c>
      <c r="S162" s="8">
        <f>(F162+0.2)*(G162+0.2)*0.05</f>
        <v/>
      </c>
      <c r="T162" s="8">
        <f>INDEX('2-ฐานราก เหล็กเสริม'!$S:$S,MATCH(B162,'2-ฐานราก เหล็กเสริม'!$A:$A,0))</f>
        <v/>
      </c>
      <c r="U162" s="8" t="inlineStr">
        <is>
          <t>M24</t>
        </is>
      </c>
      <c r="V162" s="10" t="inlineStr">
        <is>
          <t>แบบ S201 (ตำแหน่ง) / ระดับรอยืนยัน</t>
        </is>
      </c>
    </row>
    <row r="163">
      <c r="A163" s="8" t="inlineStr">
        <is>
          <t>F1P-114</t>
        </is>
      </c>
      <c r="B163" s="8" t="inlineStr">
        <is>
          <t>F1P</t>
        </is>
      </c>
      <c r="C163" s="8" t="inlineStr">
        <is>
          <t>8-1.51/D-1.49</t>
        </is>
      </c>
      <c r="D163" s="9" t="n">
        <v>40.491</v>
      </c>
      <c r="E163" s="9" t="n">
        <v>16.511</v>
      </c>
      <c r="F163" s="9" t="n">
        <v>1</v>
      </c>
      <c r="G163" s="9" t="n">
        <v>1</v>
      </c>
      <c r="H163" s="9" t="n">
        <v>0.2</v>
      </c>
      <c r="I163" s="9" t="n">
        <v>0.3</v>
      </c>
      <c r="J163" s="9" t="n">
        <v>0.1</v>
      </c>
      <c r="K163" s="9" t="n">
        <v>-0.05</v>
      </c>
      <c r="L163" s="9" t="n">
        <v>0.05</v>
      </c>
      <c r="M163" s="8" t="n">
        <v>1</v>
      </c>
      <c r="N163" s="8" t="inlineStr">
        <is>
          <t>1x I-350 ยาว 22 ม.</t>
        </is>
      </c>
      <c r="O163" s="8">
        <f>F163*G163*H163</f>
        <v/>
      </c>
      <c r="P163" s="8">
        <f>2*(F163+G163)*H163</f>
        <v/>
      </c>
      <c r="Q163" s="8">
        <f>IF(L163&gt;0,(F163+2*0.1)*(G163+2*0.1)*L163,0)</f>
        <v/>
      </c>
      <c r="R163" s="8">
        <f>(F163+0.2)*(G163+0.2)*0.1</f>
        <v/>
      </c>
      <c r="S163" s="8">
        <f>(F163+0.2)*(G163+0.2)*0.05</f>
        <v/>
      </c>
      <c r="T163" s="8">
        <f>INDEX('2-ฐานราก เหล็กเสริม'!$S:$S,MATCH(B163,'2-ฐานราก เหล็กเสริม'!$A:$A,0))</f>
        <v/>
      </c>
      <c r="U163" s="8" t="inlineStr">
        <is>
          <t>M24</t>
        </is>
      </c>
      <c r="V163" s="10" t="inlineStr">
        <is>
          <t>แบบ S201 (ตำแหน่ง) / ระดับรอยืนยัน</t>
        </is>
      </c>
    </row>
    <row r="164">
      <c r="A164" s="8" t="inlineStr">
        <is>
          <t>F1P-115</t>
        </is>
      </c>
      <c r="B164" s="8" t="inlineStr">
        <is>
          <t>F1P</t>
        </is>
      </c>
      <c r="C164" s="8" t="inlineStr">
        <is>
          <t>8+1.49/D-1.49</t>
        </is>
      </c>
      <c r="D164" s="9" t="n">
        <v>43.49</v>
      </c>
      <c r="E164" s="9" t="n">
        <v>16.511</v>
      </c>
      <c r="F164" s="9" t="n">
        <v>1</v>
      </c>
      <c r="G164" s="9" t="n">
        <v>1</v>
      </c>
      <c r="H164" s="9" t="n">
        <v>0.2</v>
      </c>
      <c r="I164" s="9" t="n">
        <v>0.3</v>
      </c>
      <c r="J164" s="9" t="n">
        <v>0.1</v>
      </c>
      <c r="K164" s="9" t="n">
        <v>-0.05</v>
      </c>
      <c r="L164" s="9" t="n">
        <v>0.05</v>
      </c>
      <c r="M164" s="8" t="n">
        <v>1</v>
      </c>
      <c r="N164" s="8" t="inlineStr">
        <is>
          <t>1x I-350 ยาว 22 ม.</t>
        </is>
      </c>
      <c r="O164" s="8">
        <f>F164*G164*H164</f>
        <v/>
      </c>
      <c r="P164" s="8">
        <f>2*(F164+G164)*H164</f>
        <v/>
      </c>
      <c r="Q164" s="8">
        <f>IF(L164&gt;0,(F164+2*0.1)*(G164+2*0.1)*L164,0)</f>
        <v/>
      </c>
      <c r="R164" s="8">
        <f>(F164+0.2)*(G164+0.2)*0.1</f>
        <v/>
      </c>
      <c r="S164" s="8">
        <f>(F164+0.2)*(G164+0.2)*0.05</f>
        <v/>
      </c>
      <c r="T164" s="8">
        <f>INDEX('2-ฐานราก เหล็กเสริม'!$S:$S,MATCH(B164,'2-ฐานราก เหล็กเสริม'!$A:$A,0))</f>
        <v/>
      </c>
      <c r="U164" s="8" t="inlineStr">
        <is>
          <t>M24</t>
        </is>
      </c>
      <c r="V164" s="10" t="inlineStr">
        <is>
          <t>แบบ S201 (ตำแหน่ง) / ระดับรอยืนยัน</t>
        </is>
      </c>
    </row>
    <row r="165">
      <c r="A165" s="8" t="inlineStr">
        <is>
          <t>F1P-116</t>
        </is>
      </c>
      <c r="B165" s="8" t="inlineStr">
        <is>
          <t>F1P</t>
        </is>
      </c>
      <c r="C165" s="8" t="inlineStr">
        <is>
          <t>9-1.51/D-1.49</t>
        </is>
      </c>
      <c r="D165" s="9" t="n">
        <v>46.495</v>
      </c>
      <c r="E165" s="9" t="n">
        <v>16.511</v>
      </c>
      <c r="F165" s="9" t="n">
        <v>1</v>
      </c>
      <c r="G165" s="9" t="n">
        <v>1</v>
      </c>
      <c r="H165" s="9" t="n">
        <v>0.2</v>
      </c>
      <c r="I165" s="9" t="n">
        <v>0.3</v>
      </c>
      <c r="J165" s="9" t="n">
        <v>0.1</v>
      </c>
      <c r="K165" s="9" t="n">
        <v>-0.05</v>
      </c>
      <c r="L165" s="9" t="n">
        <v>0.05</v>
      </c>
      <c r="M165" s="8" t="n">
        <v>1</v>
      </c>
      <c r="N165" s="8" t="inlineStr">
        <is>
          <t>1x I-350 ยาว 22 ม.</t>
        </is>
      </c>
      <c r="O165" s="8">
        <f>F165*G165*H165</f>
        <v/>
      </c>
      <c r="P165" s="8">
        <f>2*(F165+G165)*H165</f>
        <v/>
      </c>
      <c r="Q165" s="8">
        <f>IF(L165&gt;0,(F165+2*0.1)*(G165+2*0.1)*L165,0)</f>
        <v/>
      </c>
      <c r="R165" s="8">
        <f>(F165+0.2)*(G165+0.2)*0.1</f>
        <v/>
      </c>
      <c r="S165" s="8">
        <f>(F165+0.2)*(G165+0.2)*0.05</f>
        <v/>
      </c>
      <c r="T165" s="8">
        <f>INDEX('2-ฐานราก เหล็กเสริม'!$S:$S,MATCH(B165,'2-ฐานราก เหล็กเสริม'!$A:$A,0))</f>
        <v/>
      </c>
      <c r="U165" s="8" t="inlineStr">
        <is>
          <t>M24</t>
        </is>
      </c>
      <c r="V165" s="10" t="inlineStr">
        <is>
          <t>แบบ S201 (ตำแหน่ง) / ระดับรอยืนยัน</t>
        </is>
      </c>
    </row>
    <row r="166">
      <c r="A166" s="8" t="inlineStr">
        <is>
          <t>F1P-117</t>
        </is>
      </c>
      <c r="B166" s="8" t="inlineStr">
        <is>
          <t>F1P</t>
        </is>
      </c>
      <c r="C166" s="8" t="inlineStr">
        <is>
          <t>9+1.49/D-1.49</t>
        </is>
      </c>
      <c r="D166" s="9" t="n">
        <v>49.494</v>
      </c>
      <c r="E166" s="9" t="n">
        <v>16.511</v>
      </c>
      <c r="F166" s="9" t="n">
        <v>1</v>
      </c>
      <c r="G166" s="9" t="n">
        <v>1</v>
      </c>
      <c r="H166" s="9" t="n">
        <v>0.2</v>
      </c>
      <c r="I166" s="9" t="n">
        <v>0.3</v>
      </c>
      <c r="J166" s="9" t="n">
        <v>0.1</v>
      </c>
      <c r="K166" s="9" t="n">
        <v>-0.05</v>
      </c>
      <c r="L166" s="9" t="n">
        <v>0.05</v>
      </c>
      <c r="M166" s="8" t="n">
        <v>1</v>
      </c>
      <c r="N166" s="8" t="inlineStr">
        <is>
          <t>1x I-350 ยาว 22 ม.</t>
        </is>
      </c>
      <c r="O166" s="8">
        <f>F166*G166*H166</f>
        <v/>
      </c>
      <c r="P166" s="8">
        <f>2*(F166+G166)*H166</f>
        <v/>
      </c>
      <c r="Q166" s="8">
        <f>IF(L166&gt;0,(F166+2*0.1)*(G166+2*0.1)*L166,0)</f>
        <v/>
      </c>
      <c r="R166" s="8">
        <f>(F166+0.2)*(G166+0.2)*0.1</f>
        <v/>
      </c>
      <c r="S166" s="8">
        <f>(F166+0.2)*(G166+0.2)*0.05</f>
        <v/>
      </c>
      <c r="T166" s="8">
        <f>INDEX('2-ฐานราก เหล็กเสริม'!$S:$S,MATCH(B166,'2-ฐานราก เหล็กเสริม'!$A:$A,0))</f>
        <v/>
      </c>
      <c r="U166" s="8" t="inlineStr">
        <is>
          <t>M24</t>
        </is>
      </c>
      <c r="V166" s="10" t="inlineStr">
        <is>
          <t>แบบ S201 (ตำแหน่ง) / ระดับรอยืนยัน</t>
        </is>
      </c>
    </row>
    <row r="167">
      <c r="A167" s="8" t="inlineStr">
        <is>
          <t>F1P-118</t>
        </is>
      </c>
      <c r="B167" s="8" t="inlineStr">
        <is>
          <t>F1P</t>
        </is>
      </c>
      <c r="C167" s="8" t="inlineStr">
        <is>
          <t>10-1.51/D-1.49</t>
        </is>
      </c>
      <c r="D167" s="9" t="n">
        <v>52.493</v>
      </c>
      <c r="E167" s="9" t="n">
        <v>16.511</v>
      </c>
      <c r="F167" s="9" t="n">
        <v>1</v>
      </c>
      <c r="G167" s="9" t="n">
        <v>1</v>
      </c>
      <c r="H167" s="9" t="n">
        <v>0.2</v>
      </c>
      <c r="I167" s="9" t="n">
        <v>0.3</v>
      </c>
      <c r="J167" s="9" t="n">
        <v>0.1</v>
      </c>
      <c r="K167" s="9" t="n">
        <v>-0.05</v>
      </c>
      <c r="L167" s="9" t="n">
        <v>0.05</v>
      </c>
      <c r="M167" s="8" t="n">
        <v>1</v>
      </c>
      <c r="N167" s="8" t="inlineStr">
        <is>
          <t>1x I-350 ยาว 22 ม.</t>
        </is>
      </c>
      <c r="O167" s="8">
        <f>F167*G167*H167</f>
        <v/>
      </c>
      <c r="P167" s="8">
        <f>2*(F167+G167)*H167</f>
        <v/>
      </c>
      <c r="Q167" s="8">
        <f>IF(L167&gt;0,(F167+2*0.1)*(G167+2*0.1)*L167,0)</f>
        <v/>
      </c>
      <c r="R167" s="8">
        <f>(F167+0.2)*(G167+0.2)*0.1</f>
        <v/>
      </c>
      <c r="S167" s="8">
        <f>(F167+0.2)*(G167+0.2)*0.05</f>
        <v/>
      </c>
      <c r="T167" s="8">
        <f>INDEX('2-ฐานราก เหล็กเสริม'!$S:$S,MATCH(B167,'2-ฐานราก เหล็กเสริม'!$A:$A,0))</f>
        <v/>
      </c>
      <c r="U167" s="8" t="inlineStr">
        <is>
          <t>M24</t>
        </is>
      </c>
      <c r="V167" s="10" t="inlineStr">
        <is>
          <t>แบบ S201 (ตำแหน่ง) / ระดับรอยืนยัน</t>
        </is>
      </c>
    </row>
    <row r="168">
      <c r="A168" s="8" t="inlineStr">
        <is>
          <t>F1P-119</t>
        </is>
      </c>
      <c r="B168" s="8" t="inlineStr">
        <is>
          <t>F1P</t>
        </is>
      </c>
      <c r="C168" s="8" t="inlineStr">
        <is>
          <t>10+1.49/D-1.49</t>
        </is>
      </c>
      <c r="D168" s="9" t="n">
        <v>55.492</v>
      </c>
      <c r="E168" s="9" t="n">
        <v>16.511</v>
      </c>
      <c r="F168" s="9" t="n">
        <v>1</v>
      </c>
      <c r="G168" s="9" t="n">
        <v>1</v>
      </c>
      <c r="H168" s="9" t="n">
        <v>0.2</v>
      </c>
      <c r="I168" s="9" t="n">
        <v>0.3</v>
      </c>
      <c r="J168" s="9" t="n">
        <v>0.1</v>
      </c>
      <c r="K168" s="9" t="n">
        <v>-0.05</v>
      </c>
      <c r="L168" s="9" t="n">
        <v>0.05</v>
      </c>
      <c r="M168" s="8" t="n">
        <v>1</v>
      </c>
      <c r="N168" s="8" t="inlineStr">
        <is>
          <t>1x I-350 ยาว 22 ม.</t>
        </is>
      </c>
      <c r="O168" s="8">
        <f>F168*G168*H168</f>
        <v/>
      </c>
      <c r="P168" s="8">
        <f>2*(F168+G168)*H168</f>
        <v/>
      </c>
      <c r="Q168" s="8">
        <f>IF(L168&gt;0,(F168+2*0.1)*(G168+2*0.1)*L168,0)</f>
        <v/>
      </c>
      <c r="R168" s="8">
        <f>(F168+0.2)*(G168+0.2)*0.1</f>
        <v/>
      </c>
      <c r="S168" s="8">
        <f>(F168+0.2)*(G168+0.2)*0.05</f>
        <v/>
      </c>
      <c r="T168" s="8">
        <f>INDEX('2-ฐานราก เหล็กเสริม'!$S:$S,MATCH(B168,'2-ฐานราก เหล็กเสริม'!$A:$A,0))</f>
        <v/>
      </c>
      <c r="U168" s="8" t="inlineStr">
        <is>
          <t>M24</t>
        </is>
      </c>
      <c r="V168" s="10" t="inlineStr">
        <is>
          <t>แบบ S201 (ตำแหน่ง) / ระดับรอยืนยัน</t>
        </is>
      </c>
    </row>
    <row r="169">
      <c r="A169" s="8" t="inlineStr">
        <is>
          <t>F1P-120</t>
        </is>
      </c>
      <c r="B169" s="8" t="inlineStr">
        <is>
          <t>F1P</t>
        </is>
      </c>
      <c r="C169" s="8" t="inlineStr">
        <is>
          <t>11-1.51/D-1.49</t>
        </is>
      </c>
      <c r="D169" s="9" t="n">
        <v>58.49</v>
      </c>
      <c r="E169" s="9" t="n">
        <v>16.511</v>
      </c>
      <c r="F169" s="9" t="n">
        <v>1</v>
      </c>
      <c r="G169" s="9" t="n">
        <v>1</v>
      </c>
      <c r="H169" s="9" t="n">
        <v>0.2</v>
      </c>
      <c r="I169" s="9" t="n">
        <v>0.3</v>
      </c>
      <c r="J169" s="9" t="n">
        <v>0.1</v>
      </c>
      <c r="K169" s="9" t="n">
        <v>-0.05</v>
      </c>
      <c r="L169" s="9" t="n">
        <v>0.05</v>
      </c>
      <c r="M169" s="8" t="n">
        <v>1</v>
      </c>
      <c r="N169" s="8" t="inlineStr">
        <is>
          <t>1x I-350 ยาว 22 ม.</t>
        </is>
      </c>
      <c r="O169" s="8">
        <f>F169*G169*H169</f>
        <v/>
      </c>
      <c r="P169" s="8">
        <f>2*(F169+G169)*H169</f>
        <v/>
      </c>
      <c r="Q169" s="8">
        <f>IF(L169&gt;0,(F169+2*0.1)*(G169+2*0.1)*L169,0)</f>
        <v/>
      </c>
      <c r="R169" s="8">
        <f>(F169+0.2)*(G169+0.2)*0.1</f>
        <v/>
      </c>
      <c r="S169" s="8">
        <f>(F169+0.2)*(G169+0.2)*0.05</f>
        <v/>
      </c>
      <c r="T169" s="8">
        <f>INDEX('2-ฐานราก เหล็กเสริม'!$S:$S,MATCH(B169,'2-ฐานราก เหล็กเสริม'!$A:$A,0))</f>
        <v/>
      </c>
      <c r="U169" s="8" t="inlineStr">
        <is>
          <t>M24</t>
        </is>
      </c>
      <c r="V169" s="10" t="inlineStr">
        <is>
          <t>แบบ S201 (ตำแหน่ง) / ระดับรอยืนยัน</t>
        </is>
      </c>
    </row>
    <row r="170">
      <c r="A170" s="8" t="inlineStr">
        <is>
          <t>F1P-121</t>
        </is>
      </c>
      <c r="B170" s="8" t="inlineStr">
        <is>
          <t>F1P</t>
        </is>
      </c>
      <c r="C170" s="8" t="inlineStr">
        <is>
          <t>1+1.49/D+1.51</t>
        </is>
      </c>
      <c r="D170" s="9" t="n">
        <v>1.487</v>
      </c>
      <c r="E170" s="9" t="n">
        <v>19.51</v>
      </c>
      <c r="F170" s="9" t="n">
        <v>1</v>
      </c>
      <c r="G170" s="9" t="n">
        <v>1</v>
      </c>
      <c r="H170" s="9" t="n">
        <v>0.2</v>
      </c>
      <c r="I170" s="9" t="n">
        <v>0.3</v>
      </c>
      <c r="J170" s="9" t="n">
        <v>0.1</v>
      </c>
      <c r="K170" s="9" t="n">
        <v>-0.05</v>
      </c>
      <c r="L170" s="9" t="n">
        <v>0.05</v>
      </c>
      <c r="M170" s="8" t="n">
        <v>1</v>
      </c>
      <c r="N170" s="8" t="inlineStr">
        <is>
          <t>1x I-350 ยาว 22 ม.</t>
        </is>
      </c>
      <c r="O170" s="8">
        <f>F170*G170*H170</f>
        <v/>
      </c>
      <c r="P170" s="8">
        <f>2*(F170+G170)*H170</f>
        <v/>
      </c>
      <c r="Q170" s="8">
        <f>IF(L170&gt;0,(F170+2*0.1)*(G170+2*0.1)*L170,0)</f>
        <v/>
      </c>
      <c r="R170" s="8">
        <f>(F170+0.2)*(G170+0.2)*0.1</f>
        <v/>
      </c>
      <c r="S170" s="8">
        <f>(F170+0.2)*(G170+0.2)*0.05</f>
        <v/>
      </c>
      <c r="T170" s="8">
        <f>INDEX('2-ฐานราก เหล็กเสริม'!$S:$S,MATCH(B170,'2-ฐานราก เหล็กเสริม'!$A:$A,0))</f>
        <v/>
      </c>
      <c r="U170" s="8" t="inlineStr">
        <is>
          <t>M24</t>
        </is>
      </c>
      <c r="V170" s="10" t="inlineStr">
        <is>
          <t>แบบ S201 (ตำแหน่ง) / ระดับรอยืนยัน</t>
        </is>
      </c>
    </row>
    <row r="171">
      <c r="A171" s="8" t="inlineStr">
        <is>
          <t>F1P-122</t>
        </is>
      </c>
      <c r="B171" s="8" t="inlineStr">
        <is>
          <t>F1P</t>
        </is>
      </c>
      <c r="C171" s="8" t="inlineStr">
        <is>
          <t>2-1.51/D+1.51</t>
        </is>
      </c>
      <c r="D171" s="9" t="n">
        <v>4.485</v>
      </c>
      <c r="E171" s="9" t="n">
        <v>19.51</v>
      </c>
      <c r="F171" s="9" t="n">
        <v>1</v>
      </c>
      <c r="G171" s="9" t="n">
        <v>1</v>
      </c>
      <c r="H171" s="9" t="n">
        <v>0.2</v>
      </c>
      <c r="I171" s="9" t="n">
        <v>0.3</v>
      </c>
      <c r="J171" s="9" t="n">
        <v>0.1</v>
      </c>
      <c r="K171" s="9" t="n">
        <v>-0.05</v>
      </c>
      <c r="L171" s="9" t="n">
        <v>0.05</v>
      </c>
      <c r="M171" s="8" t="n">
        <v>1</v>
      </c>
      <c r="N171" s="8" t="inlineStr">
        <is>
          <t>1x I-350 ยาว 22 ม.</t>
        </is>
      </c>
      <c r="O171" s="8">
        <f>F171*G171*H171</f>
        <v/>
      </c>
      <c r="P171" s="8">
        <f>2*(F171+G171)*H171</f>
        <v/>
      </c>
      <c r="Q171" s="8">
        <f>IF(L171&gt;0,(F171+2*0.1)*(G171+2*0.1)*L171,0)</f>
        <v/>
      </c>
      <c r="R171" s="8">
        <f>(F171+0.2)*(G171+0.2)*0.1</f>
        <v/>
      </c>
      <c r="S171" s="8">
        <f>(F171+0.2)*(G171+0.2)*0.05</f>
        <v/>
      </c>
      <c r="T171" s="8">
        <f>INDEX('2-ฐานราก เหล็กเสริม'!$S:$S,MATCH(B171,'2-ฐานราก เหล็กเสริม'!$A:$A,0))</f>
        <v/>
      </c>
      <c r="U171" s="8" t="inlineStr">
        <is>
          <t>M24</t>
        </is>
      </c>
      <c r="V171" s="10" t="inlineStr">
        <is>
          <t>แบบ S201 (ตำแหน่ง) / ระดับรอยืนยัน</t>
        </is>
      </c>
    </row>
    <row r="172">
      <c r="A172" s="8" t="inlineStr">
        <is>
          <t>F1P-123</t>
        </is>
      </c>
      <c r="B172" s="8" t="inlineStr">
        <is>
          <t>F1P</t>
        </is>
      </c>
      <c r="C172" s="8" t="inlineStr">
        <is>
          <t>2+1.49/D+1.51</t>
        </is>
      </c>
      <c r="D172" s="9" t="n">
        <v>7.491</v>
      </c>
      <c r="E172" s="9" t="n">
        <v>19.51</v>
      </c>
      <c r="F172" s="9" t="n">
        <v>1</v>
      </c>
      <c r="G172" s="9" t="n">
        <v>1</v>
      </c>
      <c r="H172" s="9" t="n">
        <v>0.2</v>
      </c>
      <c r="I172" s="9" t="n">
        <v>0.3</v>
      </c>
      <c r="J172" s="9" t="n">
        <v>0.1</v>
      </c>
      <c r="K172" s="9" t="n">
        <v>-0.05</v>
      </c>
      <c r="L172" s="9" t="n">
        <v>0.05</v>
      </c>
      <c r="M172" s="8" t="n">
        <v>1</v>
      </c>
      <c r="N172" s="8" t="inlineStr">
        <is>
          <t>1x I-350 ยาว 22 ม.</t>
        </is>
      </c>
      <c r="O172" s="8">
        <f>F172*G172*H172</f>
        <v/>
      </c>
      <c r="P172" s="8">
        <f>2*(F172+G172)*H172</f>
        <v/>
      </c>
      <c r="Q172" s="8">
        <f>IF(L172&gt;0,(F172+2*0.1)*(G172+2*0.1)*L172,0)</f>
        <v/>
      </c>
      <c r="R172" s="8">
        <f>(F172+0.2)*(G172+0.2)*0.1</f>
        <v/>
      </c>
      <c r="S172" s="8">
        <f>(F172+0.2)*(G172+0.2)*0.05</f>
        <v/>
      </c>
      <c r="T172" s="8">
        <f>INDEX('2-ฐานราก เหล็กเสริม'!$S:$S,MATCH(B172,'2-ฐานราก เหล็กเสริม'!$A:$A,0))</f>
        <v/>
      </c>
      <c r="U172" s="8" t="inlineStr">
        <is>
          <t>M24</t>
        </is>
      </c>
      <c r="V172" s="10" t="inlineStr">
        <is>
          <t>แบบ S201 (ตำแหน่ง) / ระดับรอยืนยัน</t>
        </is>
      </c>
    </row>
    <row r="173">
      <c r="A173" s="8" t="inlineStr">
        <is>
          <t>F1P-124</t>
        </is>
      </c>
      <c r="B173" s="8" t="inlineStr">
        <is>
          <t>F1P</t>
        </is>
      </c>
      <c r="C173" s="8" t="inlineStr">
        <is>
          <t>3-1.51/D+1.51</t>
        </is>
      </c>
      <c r="D173" s="9" t="n">
        <v>10.49</v>
      </c>
      <c r="E173" s="9" t="n">
        <v>19.51</v>
      </c>
      <c r="F173" s="9" t="n">
        <v>1</v>
      </c>
      <c r="G173" s="9" t="n">
        <v>1</v>
      </c>
      <c r="H173" s="9" t="n">
        <v>0.2</v>
      </c>
      <c r="I173" s="9" t="n">
        <v>0.3</v>
      </c>
      <c r="J173" s="9" t="n">
        <v>0.1</v>
      </c>
      <c r="K173" s="9" t="n">
        <v>-0.05</v>
      </c>
      <c r="L173" s="9" t="n">
        <v>0.05</v>
      </c>
      <c r="M173" s="8" t="n">
        <v>1</v>
      </c>
      <c r="N173" s="8" t="inlineStr">
        <is>
          <t>1x I-350 ยาว 22 ม.</t>
        </is>
      </c>
      <c r="O173" s="8">
        <f>F173*G173*H173</f>
        <v/>
      </c>
      <c r="P173" s="8">
        <f>2*(F173+G173)*H173</f>
        <v/>
      </c>
      <c r="Q173" s="8">
        <f>IF(L173&gt;0,(F173+2*0.1)*(G173+2*0.1)*L173,0)</f>
        <v/>
      </c>
      <c r="R173" s="8">
        <f>(F173+0.2)*(G173+0.2)*0.1</f>
        <v/>
      </c>
      <c r="S173" s="8">
        <f>(F173+0.2)*(G173+0.2)*0.05</f>
        <v/>
      </c>
      <c r="T173" s="8">
        <f>INDEX('2-ฐานราก เหล็กเสริม'!$S:$S,MATCH(B173,'2-ฐานราก เหล็กเสริม'!$A:$A,0))</f>
        <v/>
      </c>
      <c r="U173" s="8" t="inlineStr">
        <is>
          <t>M24</t>
        </is>
      </c>
      <c r="V173" s="10" t="inlineStr">
        <is>
          <t>แบบ S201 (ตำแหน่ง) / ระดับรอยืนยัน</t>
        </is>
      </c>
    </row>
    <row r="174">
      <c r="A174" s="8" t="inlineStr">
        <is>
          <t>F1P-125</t>
        </is>
      </c>
      <c r="B174" s="8" t="inlineStr">
        <is>
          <t>F1P</t>
        </is>
      </c>
      <c r="C174" s="8" t="inlineStr">
        <is>
          <t>3+1.49/D+1.51</t>
        </is>
      </c>
      <c r="D174" s="9" t="n">
        <v>13.488</v>
      </c>
      <c r="E174" s="9" t="n">
        <v>19.51</v>
      </c>
      <c r="F174" s="9" t="n">
        <v>1</v>
      </c>
      <c r="G174" s="9" t="n">
        <v>1</v>
      </c>
      <c r="H174" s="9" t="n">
        <v>0.2</v>
      </c>
      <c r="I174" s="9" t="n">
        <v>0.3</v>
      </c>
      <c r="J174" s="9" t="n">
        <v>0.1</v>
      </c>
      <c r="K174" s="9" t="n">
        <v>-0.05</v>
      </c>
      <c r="L174" s="9" t="n">
        <v>0.05</v>
      </c>
      <c r="M174" s="8" t="n">
        <v>1</v>
      </c>
      <c r="N174" s="8" t="inlineStr">
        <is>
          <t>1x I-350 ยาว 22 ม.</t>
        </is>
      </c>
      <c r="O174" s="8">
        <f>F174*G174*H174</f>
        <v/>
      </c>
      <c r="P174" s="8">
        <f>2*(F174+G174)*H174</f>
        <v/>
      </c>
      <c r="Q174" s="8">
        <f>IF(L174&gt;0,(F174+2*0.1)*(G174+2*0.1)*L174,0)</f>
        <v/>
      </c>
      <c r="R174" s="8">
        <f>(F174+0.2)*(G174+0.2)*0.1</f>
        <v/>
      </c>
      <c r="S174" s="8">
        <f>(F174+0.2)*(G174+0.2)*0.05</f>
        <v/>
      </c>
      <c r="T174" s="8">
        <f>INDEX('2-ฐานราก เหล็กเสริม'!$S:$S,MATCH(B174,'2-ฐานราก เหล็กเสริม'!$A:$A,0))</f>
        <v/>
      </c>
      <c r="U174" s="8" t="inlineStr">
        <is>
          <t>M24</t>
        </is>
      </c>
      <c r="V174" s="10" t="inlineStr">
        <is>
          <t>แบบ S201 (ตำแหน่ง) / ระดับรอยืนยัน</t>
        </is>
      </c>
    </row>
    <row r="175">
      <c r="A175" s="8" t="inlineStr">
        <is>
          <t>F1P-126</t>
        </is>
      </c>
      <c r="B175" s="8" t="inlineStr">
        <is>
          <t>F1P</t>
        </is>
      </c>
      <c r="C175" s="8" t="inlineStr">
        <is>
          <t>4-1.51/D+1.51</t>
        </is>
      </c>
      <c r="D175" s="9" t="n">
        <v>16.487</v>
      </c>
      <c r="E175" s="9" t="n">
        <v>19.51</v>
      </c>
      <c r="F175" s="9" t="n">
        <v>1</v>
      </c>
      <c r="G175" s="9" t="n">
        <v>1</v>
      </c>
      <c r="H175" s="9" t="n">
        <v>0.2</v>
      </c>
      <c r="I175" s="9" t="n">
        <v>0.3</v>
      </c>
      <c r="J175" s="9" t="n">
        <v>0.1</v>
      </c>
      <c r="K175" s="9" t="n">
        <v>-0.05</v>
      </c>
      <c r="L175" s="9" t="n">
        <v>0.05</v>
      </c>
      <c r="M175" s="8" t="n">
        <v>1</v>
      </c>
      <c r="N175" s="8" t="inlineStr">
        <is>
          <t>1x I-350 ยาว 22 ม.</t>
        </is>
      </c>
      <c r="O175" s="8">
        <f>F175*G175*H175</f>
        <v/>
      </c>
      <c r="P175" s="8">
        <f>2*(F175+G175)*H175</f>
        <v/>
      </c>
      <c r="Q175" s="8">
        <f>IF(L175&gt;0,(F175+2*0.1)*(G175+2*0.1)*L175,0)</f>
        <v/>
      </c>
      <c r="R175" s="8">
        <f>(F175+0.2)*(G175+0.2)*0.1</f>
        <v/>
      </c>
      <c r="S175" s="8">
        <f>(F175+0.2)*(G175+0.2)*0.05</f>
        <v/>
      </c>
      <c r="T175" s="8">
        <f>INDEX('2-ฐานราก เหล็กเสริม'!$S:$S,MATCH(B175,'2-ฐานราก เหล็กเสริม'!$A:$A,0))</f>
        <v/>
      </c>
      <c r="U175" s="8" t="inlineStr">
        <is>
          <t>M24</t>
        </is>
      </c>
      <c r="V175" s="10" t="inlineStr">
        <is>
          <t>แบบ S201 (ตำแหน่ง) / ระดับรอยืนยัน</t>
        </is>
      </c>
    </row>
    <row r="176">
      <c r="A176" s="8" t="inlineStr">
        <is>
          <t>F1P-127</t>
        </is>
      </c>
      <c r="B176" s="8" t="inlineStr">
        <is>
          <t>F1P</t>
        </is>
      </c>
      <c r="C176" s="8" t="inlineStr">
        <is>
          <t>4+1.49/D+1.51</t>
        </is>
      </c>
      <c r="D176" s="9" t="n">
        <v>19.486</v>
      </c>
      <c r="E176" s="9" t="n">
        <v>19.51</v>
      </c>
      <c r="F176" s="9" t="n">
        <v>1</v>
      </c>
      <c r="G176" s="9" t="n">
        <v>1</v>
      </c>
      <c r="H176" s="9" t="n">
        <v>0.2</v>
      </c>
      <c r="I176" s="9" t="n">
        <v>0.3</v>
      </c>
      <c r="J176" s="9" t="n">
        <v>0.1</v>
      </c>
      <c r="K176" s="9" t="n">
        <v>-0.05</v>
      </c>
      <c r="L176" s="9" t="n">
        <v>0.05</v>
      </c>
      <c r="M176" s="8" t="n">
        <v>1</v>
      </c>
      <c r="N176" s="8" t="inlineStr">
        <is>
          <t>1x I-350 ยาว 22 ม.</t>
        </is>
      </c>
      <c r="O176" s="8">
        <f>F176*G176*H176</f>
        <v/>
      </c>
      <c r="P176" s="8">
        <f>2*(F176+G176)*H176</f>
        <v/>
      </c>
      <c r="Q176" s="8">
        <f>IF(L176&gt;0,(F176+2*0.1)*(G176+2*0.1)*L176,0)</f>
        <v/>
      </c>
      <c r="R176" s="8">
        <f>(F176+0.2)*(G176+0.2)*0.1</f>
        <v/>
      </c>
      <c r="S176" s="8">
        <f>(F176+0.2)*(G176+0.2)*0.05</f>
        <v/>
      </c>
      <c r="T176" s="8">
        <f>INDEX('2-ฐานราก เหล็กเสริม'!$S:$S,MATCH(B176,'2-ฐานราก เหล็กเสริม'!$A:$A,0))</f>
        <v/>
      </c>
      <c r="U176" s="8" t="inlineStr">
        <is>
          <t>M24</t>
        </is>
      </c>
      <c r="V176" s="10" t="inlineStr">
        <is>
          <t>แบบ S201 (ตำแหน่ง) / ระดับรอยืนยัน</t>
        </is>
      </c>
    </row>
    <row r="177">
      <c r="A177" s="8" t="inlineStr">
        <is>
          <t>F1P-128</t>
        </is>
      </c>
      <c r="B177" s="8" t="inlineStr">
        <is>
          <t>F1P</t>
        </is>
      </c>
      <c r="C177" s="8" t="inlineStr">
        <is>
          <t>5-1.51/D+1.51</t>
        </is>
      </c>
      <c r="D177" s="9" t="n">
        <v>22.491</v>
      </c>
      <c r="E177" s="9" t="n">
        <v>19.51</v>
      </c>
      <c r="F177" s="9" t="n">
        <v>1</v>
      </c>
      <c r="G177" s="9" t="n">
        <v>1</v>
      </c>
      <c r="H177" s="9" t="n">
        <v>0.2</v>
      </c>
      <c r="I177" s="9" t="n">
        <v>0.3</v>
      </c>
      <c r="J177" s="9" t="n">
        <v>0.1</v>
      </c>
      <c r="K177" s="9" t="n">
        <v>-0.05</v>
      </c>
      <c r="L177" s="9" t="n">
        <v>0.05</v>
      </c>
      <c r="M177" s="8" t="n">
        <v>1</v>
      </c>
      <c r="N177" s="8" t="inlineStr">
        <is>
          <t>1x I-350 ยาว 22 ม.</t>
        </is>
      </c>
      <c r="O177" s="8">
        <f>F177*G177*H177</f>
        <v/>
      </c>
      <c r="P177" s="8">
        <f>2*(F177+G177)*H177</f>
        <v/>
      </c>
      <c r="Q177" s="8">
        <f>IF(L177&gt;0,(F177+2*0.1)*(G177+2*0.1)*L177,0)</f>
        <v/>
      </c>
      <c r="R177" s="8">
        <f>(F177+0.2)*(G177+0.2)*0.1</f>
        <v/>
      </c>
      <c r="S177" s="8">
        <f>(F177+0.2)*(G177+0.2)*0.05</f>
        <v/>
      </c>
      <c r="T177" s="8">
        <f>INDEX('2-ฐานราก เหล็กเสริม'!$S:$S,MATCH(B177,'2-ฐานราก เหล็กเสริม'!$A:$A,0))</f>
        <v/>
      </c>
      <c r="U177" s="8" t="inlineStr">
        <is>
          <t>M24</t>
        </is>
      </c>
      <c r="V177" s="10" t="inlineStr">
        <is>
          <t>แบบ S201 (ตำแหน่ง) / ระดับรอยืนยัน</t>
        </is>
      </c>
    </row>
    <row r="178">
      <c r="A178" s="8" t="inlineStr">
        <is>
          <t>F1P-129</t>
        </is>
      </c>
      <c r="B178" s="8" t="inlineStr">
        <is>
          <t>F1P</t>
        </is>
      </c>
      <c r="C178" s="8" t="inlineStr">
        <is>
          <t>5+1.49/D+1.51</t>
        </is>
      </c>
      <c r="D178" s="9" t="n">
        <v>25.49</v>
      </c>
      <c r="E178" s="9" t="n">
        <v>19.51</v>
      </c>
      <c r="F178" s="9" t="n">
        <v>1</v>
      </c>
      <c r="G178" s="9" t="n">
        <v>1</v>
      </c>
      <c r="H178" s="9" t="n">
        <v>0.2</v>
      </c>
      <c r="I178" s="9" t="n">
        <v>0.3</v>
      </c>
      <c r="J178" s="9" t="n">
        <v>0.1</v>
      </c>
      <c r="K178" s="9" t="n">
        <v>-0.05</v>
      </c>
      <c r="L178" s="9" t="n">
        <v>0.05</v>
      </c>
      <c r="M178" s="8" t="n">
        <v>1</v>
      </c>
      <c r="N178" s="8" t="inlineStr">
        <is>
          <t>1x I-350 ยาว 22 ม.</t>
        </is>
      </c>
      <c r="O178" s="8">
        <f>F178*G178*H178</f>
        <v/>
      </c>
      <c r="P178" s="8">
        <f>2*(F178+G178)*H178</f>
        <v/>
      </c>
      <c r="Q178" s="8">
        <f>IF(L178&gt;0,(F178+2*0.1)*(G178+2*0.1)*L178,0)</f>
        <v/>
      </c>
      <c r="R178" s="8">
        <f>(F178+0.2)*(G178+0.2)*0.1</f>
        <v/>
      </c>
      <c r="S178" s="8">
        <f>(F178+0.2)*(G178+0.2)*0.05</f>
        <v/>
      </c>
      <c r="T178" s="8">
        <f>INDEX('2-ฐานราก เหล็กเสริม'!$S:$S,MATCH(B178,'2-ฐานราก เหล็กเสริม'!$A:$A,0))</f>
        <v/>
      </c>
      <c r="U178" s="8" t="inlineStr">
        <is>
          <t>M24</t>
        </is>
      </c>
      <c r="V178" s="10" t="inlineStr">
        <is>
          <t>แบบ S201 (ตำแหน่ง) / ระดับรอยืนยัน</t>
        </is>
      </c>
    </row>
    <row r="179">
      <c r="A179" s="8" t="inlineStr">
        <is>
          <t>F1P-130</t>
        </is>
      </c>
      <c r="B179" s="8" t="inlineStr">
        <is>
          <t>F1P</t>
        </is>
      </c>
      <c r="C179" s="8" t="inlineStr">
        <is>
          <t>6-1.51/D+1.51</t>
        </is>
      </c>
      <c r="D179" s="9" t="n">
        <v>28.489</v>
      </c>
      <c r="E179" s="9" t="n">
        <v>19.51</v>
      </c>
      <c r="F179" s="9" t="n">
        <v>1</v>
      </c>
      <c r="G179" s="9" t="n">
        <v>1</v>
      </c>
      <c r="H179" s="9" t="n">
        <v>0.2</v>
      </c>
      <c r="I179" s="9" t="n">
        <v>0.3</v>
      </c>
      <c r="J179" s="9" t="n">
        <v>0.1</v>
      </c>
      <c r="K179" s="9" t="n">
        <v>-0.05</v>
      </c>
      <c r="L179" s="9" t="n">
        <v>0.05</v>
      </c>
      <c r="M179" s="8" t="n">
        <v>1</v>
      </c>
      <c r="N179" s="8" t="inlineStr">
        <is>
          <t>1x I-350 ยาว 22 ม.</t>
        </is>
      </c>
      <c r="O179" s="8">
        <f>F179*G179*H179</f>
        <v/>
      </c>
      <c r="P179" s="8">
        <f>2*(F179+G179)*H179</f>
        <v/>
      </c>
      <c r="Q179" s="8">
        <f>IF(L179&gt;0,(F179+2*0.1)*(G179+2*0.1)*L179,0)</f>
        <v/>
      </c>
      <c r="R179" s="8">
        <f>(F179+0.2)*(G179+0.2)*0.1</f>
        <v/>
      </c>
      <c r="S179" s="8">
        <f>(F179+0.2)*(G179+0.2)*0.05</f>
        <v/>
      </c>
      <c r="T179" s="8">
        <f>INDEX('2-ฐานราก เหล็กเสริม'!$S:$S,MATCH(B179,'2-ฐานราก เหล็กเสริม'!$A:$A,0))</f>
        <v/>
      </c>
      <c r="U179" s="8" t="inlineStr">
        <is>
          <t>M24</t>
        </is>
      </c>
      <c r="V179" s="10" t="inlineStr">
        <is>
          <t>แบบ S201 (ตำแหน่ง) / ระดับรอยืนยัน</t>
        </is>
      </c>
    </row>
    <row r="180">
      <c r="A180" s="8" t="inlineStr">
        <is>
          <t>F1P-131</t>
        </is>
      </c>
      <c r="B180" s="8" t="inlineStr">
        <is>
          <t>F1P</t>
        </is>
      </c>
      <c r="C180" s="8" t="inlineStr">
        <is>
          <t>6+1.49/D+1.51</t>
        </is>
      </c>
      <c r="D180" s="9" t="n">
        <v>31.488</v>
      </c>
      <c r="E180" s="9" t="n">
        <v>19.51</v>
      </c>
      <c r="F180" s="9" t="n">
        <v>1</v>
      </c>
      <c r="G180" s="9" t="n">
        <v>1</v>
      </c>
      <c r="H180" s="9" t="n">
        <v>0.2</v>
      </c>
      <c r="I180" s="9" t="n">
        <v>0.3</v>
      </c>
      <c r="J180" s="9" t="n">
        <v>0.1</v>
      </c>
      <c r="K180" s="9" t="n">
        <v>-0.05</v>
      </c>
      <c r="L180" s="9" t="n">
        <v>0.05</v>
      </c>
      <c r="M180" s="8" t="n">
        <v>1</v>
      </c>
      <c r="N180" s="8" t="inlineStr">
        <is>
          <t>1x I-350 ยาว 22 ม.</t>
        </is>
      </c>
      <c r="O180" s="8">
        <f>F180*G180*H180</f>
        <v/>
      </c>
      <c r="P180" s="8">
        <f>2*(F180+G180)*H180</f>
        <v/>
      </c>
      <c r="Q180" s="8">
        <f>IF(L180&gt;0,(F180+2*0.1)*(G180+2*0.1)*L180,0)</f>
        <v/>
      </c>
      <c r="R180" s="8">
        <f>(F180+0.2)*(G180+0.2)*0.1</f>
        <v/>
      </c>
      <c r="S180" s="8">
        <f>(F180+0.2)*(G180+0.2)*0.05</f>
        <v/>
      </c>
      <c r="T180" s="8">
        <f>INDEX('2-ฐานราก เหล็กเสริม'!$S:$S,MATCH(B180,'2-ฐานราก เหล็กเสริม'!$A:$A,0))</f>
        <v/>
      </c>
      <c r="U180" s="8" t="inlineStr">
        <is>
          <t>M24</t>
        </is>
      </c>
      <c r="V180" s="10" t="inlineStr">
        <is>
          <t>แบบ S201 (ตำแหน่ง) / ระดับรอยืนยัน</t>
        </is>
      </c>
    </row>
    <row r="181">
      <c r="A181" s="8" t="inlineStr">
        <is>
          <t>F1P-132</t>
        </is>
      </c>
      <c r="B181" s="8" t="inlineStr">
        <is>
          <t>F1P</t>
        </is>
      </c>
      <c r="C181" s="8" t="inlineStr">
        <is>
          <t>7-1.51/D+1.51</t>
        </is>
      </c>
      <c r="D181" s="9" t="n">
        <v>34.493</v>
      </c>
      <c r="E181" s="9" t="n">
        <v>19.51</v>
      </c>
      <c r="F181" s="9" t="n">
        <v>1</v>
      </c>
      <c r="G181" s="9" t="n">
        <v>1</v>
      </c>
      <c r="H181" s="9" t="n">
        <v>0.2</v>
      </c>
      <c r="I181" s="9" t="n">
        <v>0.3</v>
      </c>
      <c r="J181" s="9" t="n">
        <v>0.1</v>
      </c>
      <c r="K181" s="9" t="n">
        <v>-0.05</v>
      </c>
      <c r="L181" s="9" t="n">
        <v>0.05</v>
      </c>
      <c r="M181" s="8" t="n">
        <v>1</v>
      </c>
      <c r="N181" s="8" t="inlineStr">
        <is>
          <t>1x I-350 ยาว 22 ม.</t>
        </is>
      </c>
      <c r="O181" s="8">
        <f>F181*G181*H181</f>
        <v/>
      </c>
      <c r="P181" s="8">
        <f>2*(F181+G181)*H181</f>
        <v/>
      </c>
      <c r="Q181" s="8">
        <f>IF(L181&gt;0,(F181+2*0.1)*(G181+2*0.1)*L181,0)</f>
        <v/>
      </c>
      <c r="R181" s="8">
        <f>(F181+0.2)*(G181+0.2)*0.1</f>
        <v/>
      </c>
      <c r="S181" s="8">
        <f>(F181+0.2)*(G181+0.2)*0.05</f>
        <v/>
      </c>
      <c r="T181" s="8">
        <f>INDEX('2-ฐานราก เหล็กเสริม'!$S:$S,MATCH(B181,'2-ฐานราก เหล็กเสริม'!$A:$A,0))</f>
        <v/>
      </c>
      <c r="U181" s="8" t="inlineStr">
        <is>
          <t>M24</t>
        </is>
      </c>
      <c r="V181" s="10" t="inlineStr">
        <is>
          <t>แบบ S201 (ตำแหน่ง) / ระดับรอยืนยัน</t>
        </is>
      </c>
    </row>
    <row r="182">
      <c r="A182" s="8" t="inlineStr">
        <is>
          <t>F1P-133</t>
        </is>
      </c>
      <c r="B182" s="8" t="inlineStr">
        <is>
          <t>F1P</t>
        </is>
      </c>
      <c r="C182" s="8" t="inlineStr">
        <is>
          <t>7+1.49/D+1.51</t>
        </is>
      </c>
      <c r="D182" s="9" t="n">
        <v>37.492</v>
      </c>
      <c r="E182" s="9" t="n">
        <v>19.51</v>
      </c>
      <c r="F182" s="9" t="n">
        <v>1</v>
      </c>
      <c r="G182" s="9" t="n">
        <v>1</v>
      </c>
      <c r="H182" s="9" t="n">
        <v>0.2</v>
      </c>
      <c r="I182" s="9" t="n">
        <v>0.3</v>
      </c>
      <c r="J182" s="9" t="n">
        <v>0.1</v>
      </c>
      <c r="K182" s="9" t="n">
        <v>-0.05</v>
      </c>
      <c r="L182" s="9" t="n">
        <v>0.05</v>
      </c>
      <c r="M182" s="8" t="n">
        <v>1</v>
      </c>
      <c r="N182" s="8" t="inlineStr">
        <is>
          <t>1x I-350 ยาว 22 ม.</t>
        </is>
      </c>
      <c r="O182" s="8">
        <f>F182*G182*H182</f>
        <v/>
      </c>
      <c r="P182" s="8">
        <f>2*(F182+G182)*H182</f>
        <v/>
      </c>
      <c r="Q182" s="8">
        <f>IF(L182&gt;0,(F182+2*0.1)*(G182+2*0.1)*L182,0)</f>
        <v/>
      </c>
      <c r="R182" s="8">
        <f>(F182+0.2)*(G182+0.2)*0.1</f>
        <v/>
      </c>
      <c r="S182" s="8">
        <f>(F182+0.2)*(G182+0.2)*0.05</f>
        <v/>
      </c>
      <c r="T182" s="8">
        <f>INDEX('2-ฐานราก เหล็กเสริม'!$S:$S,MATCH(B182,'2-ฐานราก เหล็กเสริม'!$A:$A,0))</f>
        <v/>
      </c>
      <c r="U182" s="8" t="inlineStr">
        <is>
          <t>M24</t>
        </is>
      </c>
      <c r="V182" s="10" t="inlineStr">
        <is>
          <t>แบบ S201 (ตำแหน่ง) / ระดับรอยืนยัน</t>
        </is>
      </c>
    </row>
    <row r="183">
      <c r="A183" s="8" t="inlineStr">
        <is>
          <t>F1P-134</t>
        </is>
      </c>
      <c r="B183" s="8" t="inlineStr">
        <is>
          <t>F1P</t>
        </is>
      </c>
      <c r="C183" s="8" t="inlineStr">
        <is>
          <t>8-1.51/D+1.51</t>
        </is>
      </c>
      <c r="D183" s="9" t="n">
        <v>40.491</v>
      </c>
      <c r="E183" s="9" t="n">
        <v>19.51</v>
      </c>
      <c r="F183" s="9" t="n">
        <v>1</v>
      </c>
      <c r="G183" s="9" t="n">
        <v>1</v>
      </c>
      <c r="H183" s="9" t="n">
        <v>0.2</v>
      </c>
      <c r="I183" s="9" t="n">
        <v>0.3</v>
      </c>
      <c r="J183" s="9" t="n">
        <v>0.1</v>
      </c>
      <c r="K183" s="9" t="n">
        <v>-0.05</v>
      </c>
      <c r="L183" s="9" t="n">
        <v>0.05</v>
      </c>
      <c r="M183" s="8" t="n">
        <v>1</v>
      </c>
      <c r="N183" s="8" t="inlineStr">
        <is>
          <t>1x I-350 ยาว 22 ม.</t>
        </is>
      </c>
      <c r="O183" s="8">
        <f>F183*G183*H183</f>
        <v/>
      </c>
      <c r="P183" s="8">
        <f>2*(F183+G183)*H183</f>
        <v/>
      </c>
      <c r="Q183" s="8">
        <f>IF(L183&gt;0,(F183+2*0.1)*(G183+2*0.1)*L183,0)</f>
        <v/>
      </c>
      <c r="R183" s="8">
        <f>(F183+0.2)*(G183+0.2)*0.1</f>
        <v/>
      </c>
      <c r="S183" s="8">
        <f>(F183+0.2)*(G183+0.2)*0.05</f>
        <v/>
      </c>
      <c r="T183" s="8">
        <f>INDEX('2-ฐานราก เหล็กเสริม'!$S:$S,MATCH(B183,'2-ฐานราก เหล็กเสริม'!$A:$A,0))</f>
        <v/>
      </c>
      <c r="U183" s="8" t="inlineStr">
        <is>
          <t>M24</t>
        </is>
      </c>
      <c r="V183" s="10" t="inlineStr">
        <is>
          <t>แบบ S201 (ตำแหน่ง) / ระดับรอยืนยัน</t>
        </is>
      </c>
    </row>
    <row r="184">
      <c r="A184" s="8" t="inlineStr">
        <is>
          <t>F1P-135</t>
        </is>
      </c>
      <c r="B184" s="8" t="inlineStr">
        <is>
          <t>F1P</t>
        </is>
      </c>
      <c r="C184" s="8" t="inlineStr">
        <is>
          <t>8+1.49/D+1.51</t>
        </is>
      </c>
      <c r="D184" s="9" t="n">
        <v>43.49</v>
      </c>
      <c r="E184" s="9" t="n">
        <v>19.51</v>
      </c>
      <c r="F184" s="9" t="n">
        <v>1</v>
      </c>
      <c r="G184" s="9" t="n">
        <v>1</v>
      </c>
      <c r="H184" s="9" t="n">
        <v>0.2</v>
      </c>
      <c r="I184" s="9" t="n">
        <v>0.3</v>
      </c>
      <c r="J184" s="9" t="n">
        <v>0.1</v>
      </c>
      <c r="K184" s="9" t="n">
        <v>-0.05</v>
      </c>
      <c r="L184" s="9" t="n">
        <v>0.05</v>
      </c>
      <c r="M184" s="8" t="n">
        <v>1</v>
      </c>
      <c r="N184" s="8" t="inlineStr">
        <is>
          <t>1x I-350 ยาว 22 ม.</t>
        </is>
      </c>
      <c r="O184" s="8">
        <f>F184*G184*H184</f>
        <v/>
      </c>
      <c r="P184" s="8">
        <f>2*(F184+G184)*H184</f>
        <v/>
      </c>
      <c r="Q184" s="8">
        <f>IF(L184&gt;0,(F184+2*0.1)*(G184+2*0.1)*L184,0)</f>
        <v/>
      </c>
      <c r="R184" s="8">
        <f>(F184+0.2)*(G184+0.2)*0.1</f>
        <v/>
      </c>
      <c r="S184" s="8">
        <f>(F184+0.2)*(G184+0.2)*0.05</f>
        <v/>
      </c>
      <c r="T184" s="8">
        <f>INDEX('2-ฐานราก เหล็กเสริม'!$S:$S,MATCH(B184,'2-ฐานราก เหล็กเสริม'!$A:$A,0))</f>
        <v/>
      </c>
      <c r="U184" s="8" t="inlineStr">
        <is>
          <t>M24</t>
        </is>
      </c>
      <c r="V184" s="10" t="inlineStr">
        <is>
          <t>แบบ S201 (ตำแหน่ง) / ระดับรอยืนยัน</t>
        </is>
      </c>
    </row>
    <row r="185">
      <c r="A185" s="8" t="inlineStr">
        <is>
          <t>F1P-136</t>
        </is>
      </c>
      <c r="B185" s="8" t="inlineStr">
        <is>
          <t>F1P</t>
        </is>
      </c>
      <c r="C185" s="8" t="inlineStr">
        <is>
          <t>9-1.51/D+1.51</t>
        </is>
      </c>
      <c r="D185" s="9" t="n">
        <v>46.495</v>
      </c>
      <c r="E185" s="9" t="n">
        <v>19.51</v>
      </c>
      <c r="F185" s="9" t="n">
        <v>1</v>
      </c>
      <c r="G185" s="9" t="n">
        <v>1</v>
      </c>
      <c r="H185" s="9" t="n">
        <v>0.2</v>
      </c>
      <c r="I185" s="9" t="n">
        <v>0.3</v>
      </c>
      <c r="J185" s="9" t="n">
        <v>0.1</v>
      </c>
      <c r="K185" s="9" t="n">
        <v>-0.05</v>
      </c>
      <c r="L185" s="9" t="n">
        <v>0.05</v>
      </c>
      <c r="M185" s="8" t="n">
        <v>1</v>
      </c>
      <c r="N185" s="8" t="inlineStr">
        <is>
          <t>1x I-350 ยาว 22 ม.</t>
        </is>
      </c>
      <c r="O185" s="8">
        <f>F185*G185*H185</f>
        <v/>
      </c>
      <c r="P185" s="8">
        <f>2*(F185+G185)*H185</f>
        <v/>
      </c>
      <c r="Q185" s="8">
        <f>IF(L185&gt;0,(F185+2*0.1)*(G185+2*0.1)*L185,0)</f>
        <v/>
      </c>
      <c r="R185" s="8">
        <f>(F185+0.2)*(G185+0.2)*0.1</f>
        <v/>
      </c>
      <c r="S185" s="8">
        <f>(F185+0.2)*(G185+0.2)*0.05</f>
        <v/>
      </c>
      <c r="T185" s="8">
        <f>INDEX('2-ฐานราก เหล็กเสริม'!$S:$S,MATCH(B185,'2-ฐานราก เหล็กเสริม'!$A:$A,0))</f>
        <v/>
      </c>
      <c r="U185" s="8" t="inlineStr">
        <is>
          <t>M24</t>
        </is>
      </c>
      <c r="V185" s="10" t="inlineStr">
        <is>
          <t>แบบ S201 (ตำแหน่ง) / ระดับรอยืนยัน</t>
        </is>
      </c>
    </row>
    <row r="186">
      <c r="A186" s="8" t="inlineStr">
        <is>
          <t>F1P-137</t>
        </is>
      </c>
      <c r="B186" s="8" t="inlineStr">
        <is>
          <t>F1P</t>
        </is>
      </c>
      <c r="C186" s="8" t="inlineStr">
        <is>
          <t>9+1.49/D+1.51</t>
        </is>
      </c>
      <c r="D186" s="9" t="n">
        <v>49.494</v>
      </c>
      <c r="E186" s="9" t="n">
        <v>19.51</v>
      </c>
      <c r="F186" s="9" t="n">
        <v>1</v>
      </c>
      <c r="G186" s="9" t="n">
        <v>1</v>
      </c>
      <c r="H186" s="9" t="n">
        <v>0.2</v>
      </c>
      <c r="I186" s="9" t="n">
        <v>0.3</v>
      </c>
      <c r="J186" s="9" t="n">
        <v>0.1</v>
      </c>
      <c r="K186" s="9" t="n">
        <v>-0.05</v>
      </c>
      <c r="L186" s="9" t="n">
        <v>0.05</v>
      </c>
      <c r="M186" s="8" t="n">
        <v>1</v>
      </c>
      <c r="N186" s="8" t="inlineStr">
        <is>
          <t>1x I-350 ยาว 22 ม.</t>
        </is>
      </c>
      <c r="O186" s="8">
        <f>F186*G186*H186</f>
        <v/>
      </c>
      <c r="P186" s="8">
        <f>2*(F186+G186)*H186</f>
        <v/>
      </c>
      <c r="Q186" s="8">
        <f>IF(L186&gt;0,(F186+2*0.1)*(G186+2*0.1)*L186,0)</f>
        <v/>
      </c>
      <c r="R186" s="8">
        <f>(F186+0.2)*(G186+0.2)*0.1</f>
        <v/>
      </c>
      <c r="S186" s="8">
        <f>(F186+0.2)*(G186+0.2)*0.05</f>
        <v/>
      </c>
      <c r="T186" s="8">
        <f>INDEX('2-ฐานราก เหล็กเสริม'!$S:$S,MATCH(B186,'2-ฐานราก เหล็กเสริม'!$A:$A,0))</f>
        <v/>
      </c>
      <c r="U186" s="8" t="inlineStr">
        <is>
          <t>M24</t>
        </is>
      </c>
      <c r="V186" s="10" t="inlineStr">
        <is>
          <t>แบบ S201 (ตำแหน่ง) / ระดับรอยืนยัน</t>
        </is>
      </c>
    </row>
    <row r="187">
      <c r="A187" s="8" t="inlineStr">
        <is>
          <t>F1P-138</t>
        </is>
      </c>
      <c r="B187" s="8" t="inlineStr">
        <is>
          <t>F1P</t>
        </is>
      </c>
      <c r="C187" s="8" t="inlineStr">
        <is>
          <t>10-1.51/D+1.51</t>
        </is>
      </c>
      <c r="D187" s="9" t="n">
        <v>52.493</v>
      </c>
      <c r="E187" s="9" t="n">
        <v>19.51</v>
      </c>
      <c r="F187" s="9" t="n">
        <v>1</v>
      </c>
      <c r="G187" s="9" t="n">
        <v>1</v>
      </c>
      <c r="H187" s="9" t="n">
        <v>0.2</v>
      </c>
      <c r="I187" s="9" t="n">
        <v>0.3</v>
      </c>
      <c r="J187" s="9" t="n">
        <v>0.1</v>
      </c>
      <c r="K187" s="9" t="n">
        <v>-0.05</v>
      </c>
      <c r="L187" s="9" t="n">
        <v>0.05</v>
      </c>
      <c r="M187" s="8" t="n">
        <v>1</v>
      </c>
      <c r="N187" s="8" t="inlineStr">
        <is>
          <t>1x I-350 ยาว 22 ม.</t>
        </is>
      </c>
      <c r="O187" s="8">
        <f>F187*G187*H187</f>
        <v/>
      </c>
      <c r="P187" s="8">
        <f>2*(F187+G187)*H187</f>
        <v/>
      </c>
      <c r="Q187" s="8">
        <f>IF(L187&gt;0,(F187+2*0.1)*(G187+2*0.1)*L187,0)</f>
        <v/>
      </c>
      <c r="R187" s="8">
        <f>(F187+0.2)*(G187+0.2)*0.1</f>
        <v/>
      </c>
      <c r="S187" s="8">
        <f>(F187+0.2)*(G187+0.2)*0.05</f>
        <v/>
      </c>
      <c r="T187" s="8">
        <f>INDEX('2-ฐานราก เหล็กเสริม'!$S:$S,MATCH(B187,'2-ฐานราก เหล็กเสริม'!$A:$A,0))</f>
        <v/>
      </c>
      <c r="U187" s="8" t="inlineStr">
        <is>
          <t>M24</t>
        </is>
      </c>
      <c r="V187" s="10" t="inlineStr">
        <is>
          <t>แบบ S201 (ตำแหน่ง) / ระดับรอยืนยัน</t>
        </is>
      </c>
    </row>
    <row r="188">
      <c r="A188" s="8" t="inlineStr">
        <is>
          <t>F1P-139</t>
        </is>
      </c>
      <c r="B188" s="8" t="inlineStr">
        <is>
          <t>F1P</t>
        </is>
      </c>
      <c r="C188" s="8" t="inlineStr">
        <is>
          <t>10+1.49/D+1.51</t>
        </is>
      </c>
      <c r="D188" s="9" t="n">
        <v>55.492</v>
      </c>
      <c r="E188" s="9" t="n">
        <v>19.51</v>
      </c>
      <c r="F188" s="9" t="n">
        <v>1</v>
      </c>
      <c r="G188" s="9" t="n">
        <v>1</v>
      </c>
      <c r="H188" s="9" t="n">
        <v>0.2</v>
      </c>
      <c r="I188" s="9" t="n">
        <v>0.3</v>
      </c>
      <c r="J188" s="9" t="n">
        <v>0.1</v>
      </c>
      <c r="K188" s="9" t="n">
        <v>-0.05</v>
      </c>
      <c r="L188" s="9" t="n">
        <v>0.05</v>
      </c>
      <c r="M188" s="8" t="n">
        <v>1</v>
      </c>
      <c r="N188" s="8" t="inlineStr">
        <is>
          <t>1x I-350 ยาว 22 ม.</t>
        </is>
      </c>
      <c r="O188" s="8">
        <f>F188*G188*H188</f>
        <v/>
      </c>
      <c r="P188" s="8">
        <f>2*(F188+G188)*H188</f>
        <v/>
      </c>
      <c r="Q188" s="8">
        <f>IF(L188&gt;0,(F188+2*0.1)*(G188+2*0.1)*L188,0)</f>
        <v/>
      </c>
      <c r="R188" s="8">
        <f>(F188+0.2)*(G188+0.2)*0.1</f>
        <v/>
      </c>
      <c r="S188" s="8">
        <f>(F188+0.2)*(G188+0.2)*0.05</f>
        <v/>
      </c>
      <c r="T188" s="8">
        <f>INDEX('2-ฐานราก เหล็กเสริม'!$S:$S,MATCH(B188,'2-ฐานราก เหล็กเสริม'!$A:$A,0))</f>
        <v/>
      </c>
      <c r="U188" s="8" t="inlineStr">
        <is>
          <t>M24</t>
        </is>
      </c>
      <c r="V188" s="10" t="inlineStr">
        <is>
          <t>แบบ S201 (ตำแหน่ง) / ระดับรอยืนยัน</t>
        </is>
      </c>
    </row>
    <row r="189">
      <c r="A189" s="8" t="inlineStr">
        <is>
          <t>F1P-140</t>
        </is>
      </c>
      <c r="B189" s="8" t="inlineStr">
        <is>
          <t>F1P</t>
        </is>
      </c>
      <c r="C189" s="8" t="inlineStr">
        <is>
          <t>11-1.51/D+1.51</t>
        </is>
      </c>
      <c r="D189" s="9" t="n">
        <v>58.49</v>
      </c>
      <c r="E189" s="9" t="n">
        <v>19.51</v>
      </c>
      <c r="F189" s="9" t="n">
        <v>1</v>
      </c>
      <c r="G189" s="9" t="n">
        <v>1</v>
      </c>
      <c r="H189" s="9" t="n">
        <v>0.2</v>
      </c>
      <c r="I189" s="9" t="n">
        <v>0.3</v>
      </c>
      <c r="J189" s="9" t="n">
        <v>0.1</v>
      </c>
      <c r="K189" s="9" t="n">
        <v>-0.05</v>
      </c>
      <c r="L189" s="9" t="n">
        <v>0.05</v>
      </c>
      <c r="M189" s="8" t="n">
        <v>1</v>
      </c>
      <c r="N189" s="8" t="inlineStr">
        <is>
          <t>1x I-350 ยาว 22 ม.</t>
        </is>
      </c>
      <c r="O189" s="8">
        <f>F189*G189*H189</f>
        <v/>
      </c>
      <c r="P189" s="8">
        <f>2*(F189+G189)*H189</f>
        <v/>
      </c>
      <c r="Q189" s="8">
        <f>IF(L189&gt;0,(F189+2*0.1)*(G189+2*0.1)*L189,0)</f>
        <v/>
      </c>
      <c r="R189" s="8">
        <f>(F189+0.2)*(G189+0.2)*0.1</f>
        <v/>
      </c>
      <c r="S189" s="8">
        <f>(F189+0.2)*(G189+0.2)*0.05</f>
        <v/>
      </c>
      <c r="T189" s="8">
        <f>INDEX('2-ฐานราก เหล็กเสริม'!$S:$S,MATCH(B189,'2-ฐานราก เหล็กเสริม'!$A:$A,0))</f>
        <v/>
      </c>
      <c r="U189" s="8" t="inlineStr">
        <is>
          <t>M24</t>
        </is>
      </c>
      <c r="V189" s="10" t="inlineStr">
        <is>
          <t>แบบ S201 (ตำแหน่ง) / ระดับรอยืนยัน</t>
        </is>
      </c>
    </row>
    <row r="190">
      <c r="A190" s="8" t="inlineStr">
        <is>
          <t>F1P-141</t>
        </is>
      </c>
      <c r="B190" s="8" t="inlineStr">
        <is>
          <t>F1P</t>
        </is>
      </c>
      <c r="C190" s="8" t="inlineStr">
        <is>
          <t>1+1.49/E-1.49</t>
        </is>
      </c>
      <c r="D190" s="9" t="n">
        <v>1.487</v>
      </c>
      <c r="E190" s="9" t="n">
        <v>22.509</v>
      </c>
      <c r="F190" s="9" t="n">
        <v>1</v>
      </c>
      <c r="G190" s="9" t="n">
        <v>1</v>
      </c>
      <c r="H190" s="9" t="n">
        <v>0.2</v>
      </c>
      <c r="I190" s="9" t="n">
        <v>0.3</v>
      </c>
      <c r="J190" s="9" t="n">
        <v>0.1</v>
      </c>
      <c r="K190" s="9" t="n">
        <v>-0.05</v>
      </c>
      <c r="L190" s="9" t="n">
        <v>0.05</v>
      </c>
      <c r="M190" s="8" t="n">
        <v>1</v>
      </c>
      <c r="N190" s="8" t="inlineStr">
        <is>
          <t>1x I-350 ยาว 22 ม.</t>
        </is>
      </c>
      <c r="O190" s="8">
        <f>F190*G190*H190</f>
        <v/>
      </c>
      <c r="P190" s="8">
        <f>2*(F190+G190)*H190</f>
        <v/>
      </c>
      <c r="Q190" s="8">
        <f>IF(L190&gt;0,(F190+2*0.1)*(G190+2*0.1)*L190,0)</f>
        <v/>
      </c>
      <c r="R190" s="8">
        <f>(F190+0.2)*(G190+0.2)*0.1</f>
        <v/>
      </c>
      <c r="S190" s="8">
        <f>(F190+0.2)*(G190+0.2)*0.05</f>
        <v/>
      </c>
      <c r="T190" s="8">
        <f>INDEX('2-ฐานราก เหล็กเสริม'!$S:$S,MATCH(B190,'2-ฐานราก เหล็กเสริม'!$A:$A,0))</f>
        <v/>
      </c>
      <c r="U190" s="8" t="inlineStr">
        <is>
          <t>M24</t>
        </is>
      </c>
      <c r="V190" s="10" t="inlineStr">
        <is>
          <t>แบบ S201 (ตำแหน่ง) / ระดับรอยืนยัน</t>
        </is>
      </c>
    </row>
    <row r="191">
      <c r="A191" s="8" t="inlineStr">
        <is>
          <t>F1P-142</t>
        </is>
      </c>
      <c r="B191" s="8" t="inlineStr">
        <is>
          <t>F1P</t>
        </is>
      </c>
      <c r="C191" s="8" t="inlineStr">
        <is>
          <t>2-1.51/E-1.49</t>
        </is>
      </c>
      <c r="D191" s="9" t="n">
        <v>4.485</v>
      </c>
      <c r="E191" s="9" t="n">
        <v>22.509</v>
      </c>
      <c r="F191" s="9" t="n">
        <v>1</v>
      </c>
      <c r="G191" s="9" t="n">
        <v>1</v>
      </c>
      <c r="H191" s="9" t="n">
        <v>0.2</v>
      </c>
      <c r="I191" s="9" t="n">
        <v>0.3</v>
      </c>
      <c r="J191" s="9" t="n">
        <v>0.1</v>
      </c>
      <c r="K191" s="9" t="n">
        <v>-0.05</v>
      </c>
      <c r="L191" s="9" t="n">
        <v>0.05</v>
      </c>
      <c r="M191" s="8" t="n">
        <v>1</v>
      </c>
      <c r="N191" s="8" t="inlineStr">
        <is>
          <t>1x I-350 ยาว 22 ม.</t>
        </is>
      </c>
      <c r="O191" s="8">
        <f>F191*G191*H191</f>
        <v/>
      </c>
      <c r="P191" s="8">
        <f>2*(F191+G191)*H191</f>
        <v/>
      </c>
      <c r="Q191" s="8">
        <f>IF(L191&gt;0,(F191+2*0.1)*(G191+2*0.1)*L191,0)</f>
        <v/>
      </c>
      <c r="R191" s="8">
        <f>(F191+0.2)*(G191+0.2)*0.1</f>
        <v/>
      </c>
      <c r="S191" s="8">
        <f>(F191+0.2)*(G191+0.2)*0.05</f>
        <v/>
      </c>
      <c r="T191" s="8">
        <f>INDEX('2-ฐานราก เหล็กเสริม'!$S:$S,MATCH(B191,'2-ฐานราก เหล็กเสริม'!$A:$A,0))</f>
        <v/>
      </c>
      <c r="U191" s="8" t="inlineStr">
        <is>
          <t>M24</t>
        </is>
      </c>
      <c r="V191" s="10" t="inlineStr">
        <is>
          <t>แบบ S201 (ตำแหน่ง) / ระดับรอยืนยัน</t>
        </is>
      </c>
    </row>
    <row r="192">
      <c r="A192" s="8" t="inlineStr">
        <is>
          <t>F1P-143</t>
        </is>
      </c>
      <c r="B192" s="8" t="inlineStr">
        <is>
          <t>F1P</t>
        </is>
      </c>
      <c r="C192" s="8" t="inlineStr">
        <is>
          <t>2+1.49/E-1.49</t>
        </is>
      </c>
      <c r="D192" s="9" t="n">
        <v>7.491</v>
      </c>
      <c r="E192" s="9" t="n">
        <v>22.509</v>
      </c>
      <c r="F192" s="9" t="n">
        <v>1</v>
      </c>
      <c r="G192" s="9" t="n">
        <v>1</v>
      </c>
      <c r="H192" s="9" t="n">
        <v>0.2</v>
      </c>
      <c r="I192" s="9" t="n">
        <v>0.3</v>
      </c>
      <c r="J192" s="9" t="n">
        <v>0.1</v>
      </c>
      <c r="K192" s="9" t="n">
        <v>-0.05</v>
      </c>
      <c r="L192" s="9" t="n">
        <v>0.05</v>
      </c>
      <c r="M192" s="8" t="n">
        <v>1</v>
      </c>
      <c r="N192" s="8" t="inlineStr">
        <is>
          <t>1x I-350 ยาว 22 ม.</t>
        </is>
      </c>
      <c r="O192" s="8">
        <f>F192*G192*H192</f>
        <v/>
      </c>
      <c r="P192" s="8">
        <f>2*(F192+G192)*H192</f>
        <v/>
      </c>
      <c r="Q192" s="8">
        <f>IF(L192&gt;0,(F192+2*0.1)*(G192+2*0.1)*L192,0)</f>
        <v/>
      </c>
      <c r="R192" s="8">
        <f>(F192+0.2)*(G192+0.2)*0.1</f>
        <v/>
      </c>
      <c r="S192" s="8">
        <f>(F192+0.2)*(G192+0.2)*0.05</f>
        <v/>
      </c>
      <c r="T192" s="8">
        <f>INDEX('2-ฐานราก เหล็กเสริม'!$S:$S,MATCH(B192,'2-ฐานราก เหล็กเสริม'!$A:$A,0))</f>
        <v/>
      </c>
      <c r="U192" s="8" t="inlineStr">
        <is>
          <t>M24</t>
        </is>
      </c>
      <c r="V192" s="10" t="inlineStr">
        <is>
          <t>แบบ S201 (ตำแหน่ง) / ระดับรอยืนยัน</t>
        </is>
      </c>
    </row>
    <row r="193">
      <c r="A193" s="8" t="inlineStr">
        <is>
          <t>F1P-144</t>
        </is>
      </c>
      <c r="B193" s="8" t="inlineStr">
        <is>
          <t>F1P</t>
        </is>
      </c>
      <c r="C193" s="8" t="inlineStr">
        <is>
          <t>3-1.51/E-1.49</t>
        </is>
      </c>
      <c r="D193" s="9" t="n">
        <v>10.49</v>
      </c>
      <c r="E193" s="9" t="n">
        <v>22.509</v>
      </c>
      <c r="F193" s="9" t="n">
        <v>1</v>
      </c>
      <c r="G193" s="9" t="n">
        <v>1</v>
      </c>
      <c r="H193" s="9" t="n">
        <v>0.2</v>
      </c>
      <c r="I193" s="9" t="n">
        <v>0.3</v>
      </c>
      <c r="J193" s="9" t="n">
        <v>0.1</v>
      </c>
      <c r="K193" s="9" t="n">
        <v>-0.05</v>
      </c>
      <c r="L193" s="9" t="n">
        <v>0.05</v>
      </c>
      <c r="M193" s="8" t="n">
        <v>1</v>
      </c>
      <c r="N193" s="8" t="inlineStr">
        <is>
          <t>1x I-350 ยาว 22 ม.</t>
        </is>
      </c>
      <c r="O193" s="8">
        <f>F193*G193*H193</f>
        <v/>
      </c>
      <c r="P193" s="8">
        <f>2*(F193+G193)*H193</f>
        <v/>
      </c>
      <c r="Q193" s="8">
        <f>IF(L193&gt;0,(F193+2*0.1)*(G193+2*0.1)*L193,0)</f>
        <v/>
      </c>
      <c r="R193" s="8">
        <f>(F193+0.2)*(G193+0.2)*0.1</f>
        <v/>
      </c>
      <c r="S193" s="8">
        <f>(F193+0.2)*(G193+0.2)*0.05</f>
        <v/>
      </c>
      <c r="T193" s="8">
        <f>INDEX('2-ฐานราก เหล็กเสริม'!$S:$S,MATCH(B193,'2-ฐานราก เหล็กเสริม'!$A:$A,0))</f>
        <v/>
      </c>
      <c r="U193" s="8" t="inlineStr">
        <is>
          <t>M24</t>
        </is>
      </c>
      <c r="V193" s="10" t="inlineStr">
        <is>
          <t>แบบ S201 (ตำแหน่ง) / ระดับรอยืนยัน</t>
        </is>
      </c>
    </row>
    <row r="194">
      <c r="A194" s="8" t="inlineStr">
        <is>
          <t>F1P-145</t>
        </is>
      </c>
      <c r="B194" s="8" t="inlineStr">
        <is>
          <t>F1P</t>
        </is>
      </c>
      <c r="C194" s="8" t="inlineStr">
        <is>
          <t>3+1.49/E-1.49</t>
        </is>
      </c>
      <c r="D194" s="9" t="n">
        <v>13.488</v>
      </c>
      <c r="E194" s="9" t="n">
        <v>22.509</v>
      </c>
      <c r="F194" s="9" t="n">
        <v>1</v>
      </c>
      <c r="G194" s="9" t="n">
        <v>1</v>
      </c>
      <c r="H194" s="9" t="n">
        <v>0.2</v>
      </c>
      <c r="I194" s="9" t="n">
        <v>0.3</v>
      </c>
      <c r="J194" s="9" t="n">
        <v>0.1</v>
      </c>
      <c r="K194" s="9" t="n">
        <v>-0.05</v>
      </c>
      <c r="L194" s="9" t="n">
        <v>0.05</v>
      </c>
      <c r="M194" s="8" t="n">
        <v>1</v>
      </c>
      <c r="N194" s="8" t="inlineStr">
        <is>
          <t>1x I-350 ยาว 22 ม.</t>
        </is>
      </c>
      <c r="O194" s="8">
        <f>F194*G194*H194</f>
        <v/>
      </c>
      <c r="P194" s="8">
        <f>2*(F194+G194)*H194</f>
        <v/>
      </c>
      <c r="Q194" s="8">
        <f>IF(L194&gt;0,(F194+2*0.1)*(G194+2*0.1)*L194,0)</f>
        <v/>
      </c>
      <c r="R194" s="8">
        <f>(F194+0.2)*(G194+0.2)*0.1</f>
        <v/>
      </c>
      <c r="S194" s="8">
        <f>(F194+0.2)*(G194+0.2)*0.05</f>
        <v/>
      </c>
      <c r="T194" s="8">
        <f>INDEX('2-ฐานราก เหล็กเสริม'!$S:$S,MATCH(B194,'2-ฐานราก เหล็กเสริม'!$A:$A,0))</f>
        <v/>
      </c>
      <c r="U194" s="8" t="inlineStr">
        <is>
          <t>M24</t>
        </is>
      </c>
      <c r="V194" s="10" t="inlineStr">
        <is>
          <t>แบบ S201 (ตำแหน่ง) / ระดับรอยืนยัน</t>
        </is>
      </c>
    </row>
    <row r="195">
      <c r="A195" s="8" t="inlineStr">
        <is>
          <t>F1P-146</t>
        </is>
      </c>
      <c r="B195" s="8" t="inlineStr">
        <is>
          <t>F1P</t>
        </is>
      </c>
      <c r="C195" s="8" t="inlineStr">
        <is>
          <t>4-1.51/E-1.49</t>
        </is>
      </c>
      <c r="D195" s="9" t="n">
        <v>16.487</v>
      </c>
      <c r="E195" s="9" t="n">
        <v>22.509</v>
      </c>
      <c r="F195" s="9" t="n">
        <v>1</v>
      </c>
      <c r="G195" s="9" t="n">
        <v>1</v>
      </c>
      <c r="H195" s="9" t="n">
        <v>0.2</v>
      </c>
      <c r="I195" s="9" t="n">
        <v>0.3</v>
      </c>
      <c r="J195" s="9" t="n">
        <v>0.1</v>
      </c>
      <c r="K195" s="9" t="n">
        <v>-0.05</v>
      </c>
      <c r="L195" s="9" t="n">
        <v>0.05</v>
      </c>
      <c r="M195" s="8" t="n">
        <v>1</v>
      </c>
      <c r="N195" s="8" t="inlineStr">
        <is>
          <t>1x I-350 ยาว 22 ม.</t>
        </is>
      </c>
      <c r="O195" s="8">
        <f>F195*G195*H195</f>
        <v/>
      </c>
      <c r="P195" s="8">
        <f>2*(F195+G195)*H195</f>
        <v/>
      </c>
      <c r="Q195" s="8">
        <f>IF(L195&gt;0,(F195+2*0.1)*(G195+2*0.1)*L195,0)</f>
        <v/>
      </c>
      <c r="R195" s="8">
        <f>(F195+0.2)*(G195+0.2)*0.1</f>
        <v/>
      </c>
      <c r="S195" s="8">
        <f>(F195+0.2)*(G195+0.2)*0.05</f>
        <v/>
      </c>
      <c r="T195" s="8">
        <f>INDEX('2-ฐานราก เหล็กเสริม'!$S:$S,MATCH(B195,'2-ฐานราก เหล็กเสริม'!$A:$A,0))</f>
        <v/>
      </c>
      <c r="U195" s="8" t="inlineStr">
        <is>
          <t>M24</t>
        </is>
      </c>
      <c r="V195" s="10" t="inlineStr">
        <is>
          <t>แบบ S201 (ตำแหน่ง) / ระดับรอยืนยัน</t>
        </is>
      </c>
    </row>
    <row r="196">
      <c r="A196" s="8" t="inlineStr">
        <is>
          <t>F1P-147</t>
        </is>
      </c>
      <c r="B196" s="8" t="inlineStr">
        <is>
          <t>F1P</t>
        </is>
      </c>
      <c r="C196" s="8" t="inlineStr">
        <is>
          <t>4+1.49/E-1.49</t>
        </is>
      </c>
      <c r="D196" s="9" t="n">
        <v>19.486</v>
      </c>
      <c r="E196" s="9" t="n">
        <v>22.509</v>
      </c>
      <c r="F196" s="9" t="n">
        <v>1</v>
      </c>
      <c r="G196" s="9" t="n">
        <v>1</v>
      </c>
      <c r="H196" s="9" t="n">
        <v>0.2</v>
      </c>
      <c r="I196" s="9" t="n">
        <v>0.3</v>
      </c>
      <c r="J196" s="9" t="n">
        <v>0.1</v>
      </c>
      <c r="K196" s="9" t="n">
        <v>-0.05</v>
      </c>
      <c r="L196" s="9" t="n">
        <v>0.05</v>
      </c>
      <c r="M196" s="8" t="n">
        <v>1</v>
      </c>
      <c r="N196" s="8" t="inlineStr">
        <is>
          <t>1x I-350 ยาว 22 ม.</t>
        </is>
      </c>
      <c r="O196" s="8">
        <f>F196*G196*H196</f>
        <v/>
      </c>
      <c r="P196" s="8">
        <f>2*(F196+G196)*H196</f>
        <v/>
      </c>
      <c r="Q196" s="8">
        <f>IF(L196&gt;0,(F196+2*0.1)*(G196+2*0.1)*L196,0)</f>
        <v/>
      </c>
      <c r="R196" s="8">
        <f>(F196+0.2)*(G196+0.2)*0.1</f>
        <v/>
      </c>
      <c r="S196" s="8">
        <f>(F196+0.2)*(G196+0.2)*0.05</f>
        <v/>
      </c>
      <c r="T196" s="8">
        <f>INDEX('2-ฐานราก เหล็กเสริม'!$S:$S,MATCH(B196,'2-ฐานราก เหล็กเสริม'!$A:$A,0))</f>
        <v/>
      </c>
      <c r="U196" s="8" t="inlineStr">
        <is>
          <t>M24</t>
        </is>
      </c>
      <c r="V196" s="10" t="inlineStr">
        <is>
          <t>แบบ S201 (ตำแหน่ง) / ระดับรอยืนยัน</t>
        </is>
      </c>
    </row>
    <row r="197">
      <c r="A197" s="8" t="inlineStr">
        <is>
          <t>F1P-148</t>
        </is>
      </c>
      <c r="B197" s="8" t="inlineStr">
        <is>
          <t>F1P</t>
        </is>
      </c>
      <c r="C197" s="8" t="inlineStr">
        <is>
          <t>5-1.51/E-1.49</t>
        </is>
      </c>
      <c r="D197" s="9" t="n">
        <v>22.491</v>
      </c>
      <c r="E197" s="9" t="n">
        <v>22.509</v>
      </c>
      <c r="F197" s="9" t="n">
        <v>1</v>
      </c>
      <c r="G197" s="9" t="n">
        <v>1</v>
      </c>
      <c r="H197" s="9" t="n">
        <v>0.2</v>
      </c>
      <c r="I197" s="9" t="n">
        <v>0.3</v>
      </c>
      <c r="J197" s="9" t="n">
        <v>0.1</v>
      </c>
      <c r="K197" s="9" t="n">
        <v>-0.05</v>
      </c>
      <c r="L197" s="9" t="n">
        <v>0.05</v>
      </c>
      <c r="M197" s="8" t="n">
        <v>1</v>
      </c>
      <c r="N197" s="8" t="inlineStr">
        <is>
          <t>1x I-350 ยาว 22 ม.</t>
        </is>
      </c>
      <c r="O197" s="8">
        <f>F197*G197*H197</f>
        <v/>
      </c>
      <c r="P197" s="8">
        <f>2*(F197+G197)*H197</f>
        <v/>
      </c>
      <c r="Q197" s="8">
        <f>IF(L197&gt;0,(F197+2*0.1)*(G197+2*0.1)*L197,0)</f>
        <v/>
      </c>
      <c r="R197" s="8">
        <f>(F197+0.2)*(G197+0.2)*0.1</f>
        <v/>
      </c>
      <c r="S197" s="8">
        <f>(F197+0.2)*(G197+0.2)*0.05</f>
        <v/>
      </c>
      <c r="T197" s="8">
        <f>INDEX('2-ฐานราก เหล็กเสริม'!$S:$S,MATCH(B197,'2-ฐานราก เหล็กเสริม'!$A:$A,0))</f>
        <v/>
      </c>
      <c r="U197" s="8" t="inlineStr">
        <is>
          <t>M24</t>
        </is>
      </c>
      <c r="V197" s="10" t="inlineStr">
        <is>
          <t>แบบ S201 (ตำแหน่ง) / ระดับรอยืนยัน</t>
        </is>
      </c>
    </row>
    <row r="198">
      <c r="A198" s="8" t="inlineStr">
        <is>
          <t>F1P-149</t>
        </is>
      </c>
      <c r="B198" s="8" t="inlineStr">
        <is>
          <t>F1P</t>
        </is>
      </c>
      <c r="C198" s="8" t="inlineStr">
        <is>
          <t>5+1.49/E-1.49</t>
        </is>
      </c>
      <c r="D198" s="9" t="n">
        <v>25.49</v>
      </c>
      <c r="E198" s="9" t="n">
        <v>22.509</v>
      </c>
      <c r="F198" s="9" t="n">
        <v>1</v>
      </c>
      <c r="G198" s="9" t="n">
        <v>1</v>
      </c>
      <c r="H198" s="9" t="n">
        <v>0.2</v>
      </c>
      <c r="I198" s="9" t="n">
        <v>0.3</v>
      </c>
      <c r="J198" s="9" t="n">
        <v>0.1</v>
      </c>
      <c r="K198" s="9" t="n">
        <v>-0.05</v>
      </c>
      <c r="L198" s="9" t="n">
        <v>0.05</v>
      </c>
      <c r="M198" s="8" t="n">
        <v>1</v>
      </c>
      <c r="N198" s="8" t="inlineStr">
        <is>
          <t>1x I-350 ยาว 22 ม.</t>
        </is>
      </c>
      <c r="O198" s="8">
        <f>F198*G198*H198</f>
        <v/>
      </c>
      <c r="P198" s="8">
        <f>2*(F198+G198)*H198</f>
        <v/>
      </c>
      <c r="Q198" s="8">
        <f>IF(L198&gt;0,(F198+2*0.1)*(G198+2*0.1)*L198,0)</f>
        <v/>
      </c>
      <c r="R198" s="8">
        <f>(F198+0.2)*(G198+0.2)*0.1</f>
        <v/>
      </c>
      <c r="S198" s="8">
        <f>(F198+0.2)*(G198+0.2)*0.05</f>
        <v/>
      </c>
      <c r="T198" s="8">
        <f>INDEX('2-ฐานราก เหล็กเสริม'!$S:$S,MATCH(B198,'2-ฐานราก เหล็กเสริม'!$A:$A,0))</f>
        <v/>
      </c>
      <c r="U198" s="8" t="inlineStr">
        <is>
          <t>M24</t>
        </is>
      </c>
      <c r="V198" s="10" t="inlineStr">
        <is>
          <t>แบบ S201 (ตำแหน่ง) / ระดับรอยืนยัน</t>
        </is>
      </c>
    </row>
    <row r="199">
      <c r="A199" s="8" t="inlineStr">
        <is>
          <t>F1P-150</t>
        </is>
      </c>
      <c r="B199" s="8" t="inlineStr">
        <is>
          <t>F1P</t>
        </is>
      </c>
      <c r="C199" s="8" t="inlineStr">
        <is>
          <t>6-1.51/E-1.49</t>
        </is>
      </c>
      <c r="D199" s="9" t="n">
        <v>28.489</v>
      </c>
      <c r="E199" s="9" t="n">
        <v>22.509</v>
      </c>
      <c r="F199" s="9" t="n">
        <v>1</v>
      </c>
      <c r="G199" s="9" t="n">
        <v>1</v>
      </c>
      <c r="H199" s="9" t="n">
        <v>0.2</v>
      </c>
      <c r="I199" s="9" t="n">
        <v>0.3</v>
      </c>
      <c r="J199" s="9" t="n">
        <v>0.1</v>
      </c>
      <c r="K199" s="9" t="n">
        <v>-0.05</v>
      </c>
      <c r="L199" s="9" t="n">
        <v>0.05</v>
      </c>
      <c r="M199" s="8" t="n">
        <v>1</v>
      </c>
      <c r="N199" s="8" t="inlineStr">
        <is>
          <t>1x I-350 ยาว 22 ม.</t>
        </is>
      </c>
      <c r="O199" s="8">
        <f>F199*G199*H199</f>
        <v/>
      </c>
      <c r="P199" s="8">
        <f>2*(F199+G199)*H199</f>
        <v/>
      </c>
      <c r="Q199" s="8">
        <f>IF(L199&gt;0,(F199+2*0.1)*(G199+2*0.1)*L199,0)</f>
        <v/>
      </c>
      <c r="R199" s="8">
        <f>(F199+0.2)*(G199+0.2)*0.1</f>
        <v/>
      </c>
      <c r="S199" s="8">
        <f>(F199+0.2)*(G199+0.2)*0.05</f>
        <v/>
      </c>
      <c r="T199" s="8">
        <f>INDEX('2-ฐานราก เหล็กเสริม'!$S:$S,MATCH(B199,'2-ฐานราก เหล็กเสริม'!$A:$A,0))</f>
        <v/>
      </c>
      <c r="U199" s="8" t="inlineStr">
        <is>
          <t>M24</t>
        </is>
      </c>
      <c r="V199" s="10" t="inlineStr">
        <is>
          <t>แบบ S201 (ตำแหน่ง) / ระดับรอยืนยัน</t>
        </is>
      </c>
    </row>
    <row r="200">
      <c r="A200" s="8" t="inlineStr">
        <is>
          <t>F1P-151</t>
        </is>
      </c>
      <c r="B200" s="8" t="inlineStr">
        <is>
          <t>F1P</t>
        </is>
      </c>
      <c r="C200" s="8" t="inlineStr">
        <is>
          <t>6+1.49/E-1.49</t>
        </is>
      </c>
      <c r="D200" s="9" t="n">
        <v>31.488</v>
      </c>
      <c r="E200" s="9" t="n">
        <v>22.509</v>
      </c>
      <c r="F200" s="9" t="n">
        <v>1</v>
      </c>
      <c r="G200" s="9" t="n">
        <v>1</v>
      </c>
      <c r="H200" s="9" t="n">
        <v>0.2</v>
      </c>
      <c r="I200" s="9" t="n">
        <v>0.3</v>
      </c>
      <c r="J200" s="9" t="n">
        <v>0.1</v>
      </c>
      <c r="K200" s="9" t="n">
        <v>-0.05</v>
      </c>
      <c r="L200" s="9" t="n">
        <v>0.05</v>
      </c>
      <c r="M200" s="8" t="n">
        <v>1</v>
      </c>
      <c r="N200" s="8" t="inlineStr">
        <is>
          <t>1x I-350 ยาว 22 ม.</t>
        </is>
      </c>
      <c r="O200" s="8">
        <f>F200*G200*H200</f>
        <v/>
      </c>
      <c r="P200" s="8">
        <f>2*(F200+G200)*H200</f>
        <v/>
      </c>
      <c r="Q200" s="8">
        <f>IF(L200&gt;0,(F200+2*0.1)*(G200+2*0.1)*L200,0)</f>
        <v/>
      </c>
      <c r="R200" s="8">
        <f>(F200+0.2)*(G200+0.2)*0.1</f>
        <v/>
      </c>
      <c r="S200" s="8">
        <f>(F200+0.2)*(G200+0.2)*0.05</f>
        <v/>
      </c>
      <c r="T200" s="8">
        <f>INDEX('2-ฐานราก เหล็กเสริม'!$S:$S,MATCH(B200,'2-ฐานราก เหล็กเสริม'!$A:$A,0))</f>
        <v/>
      </c>
      <c r="U200" s="8" t="inlineStr">
        <is>
          <t>M24</t>
        </is>
      </c>
      <c r="V200" s="10" t="inlineStr">
        <is>
          <t>แบบ S201 (ตำแหน่ง) / ระดับรอยืนยัน</t>
        </is>
      </c>
    </row>
    <row r="201">
      <c r="A201" s="8" t="inlineStr">
        <is>
          <t>F1P-152</t>
        </is>
      </c>
      <c r="B201" s="8" t="inlineStr">
        <is>
          <t>F1P</t>
        </is>
      </c>
      <c r="C201" s="8" t="inlineStr">
        <is>
          <t>7-1.51/E-1.49</t>
        </is>
      </c>
      <c r="D201" s="9" t="n">
        <v>34.493</v>
      </c>
      <c r="E201" s="9" t="n">
        <v>22.509</v>
      </c>
      <c r="F201" s="9" t="n">
        <v>1</v>
      </c>
      <c r="G201" s="9" t="n">
        <v>1</v>
      </c>
      <c r="H201" s="9" t="n">
        <v>0.2</v>
      </c>
      <c r="I201" s="9" t="n">
        <v>0.3</v>
      </c>
      <c r="J201" s="9" t="n">
        <v>0.1</v>
      </c>
      <c r="K201" s="9" t="n">
        <v>-0.05</v>
      </c>
      <c r="L201" s="9" t="n">
        <v>0.05</v>
      </c>
      <c r="M201" s="8" t="n">
        <v>1</v>
      </c>
      <c r="N201" s="8" t="inlineStr">
        <is>
          <t>1x I-350 ยาว 22 ม.</t>
        </is>
      </c>
      <c r="O201" s="8">
        <f>F201*G201*H201</f>
        <v/>
      </c>
      <c r="P201" s="8">
        <f>2*(F201+G201)*H201</f>
        <v/>
      </c>
      <c r="Q201" s="8">
        <f>IF(L201&gt;0,(F201+2*0.1)*(G201+2*0.1)*L201,0)</f>
        <v/>
      </c>
      <c r="R201" s="8">
        <f>(F201+0.2)*(G201+0.2)*0.1</f>
        <v/>
      </c>
      <c r="S201" s="8">
        <f>(F201+0.2)*(G201+0.2)*0.05</f>
        <v/>
      </c>
      <c r="T201" s="8">
        <f>INDEX('2-ฐานราก เหล็กเสริม'!$S:$S,MATCH(B201,'2-ฐานราก เหล็กเสริม'!$A:$A,0))</f>
        <v/>
      </c>
      <c r="U201" s="8" t="inlineStr">
        <is>
          <t>M24</t>
        </is>
      </c>
      <c r="V201" s="10" t="inlineStr">
        <is>
          <t>แบบ S201 (ตำแหน่ง) / ระดับรอยืนยัน</t>
        </is>
      </c>
    </row>
    <row r="202">
      <c r="A202" s="8" t="inlineStr">
        <is>
          <t>F1P-153</t>
        </is>
      </c>
      <c r="B202" s="8" t="inlineStr">
        <is>
          <t>F1P</t>
        </is>
      </c>
      <c r="C202" s="8" t="inlineStr">
        <is>
          <t>7+1.49/E-1.49</t>
        </is>
      </c>
      <c r="D202" s="9" t="n">
        <v>37.492</v>
      </c>
      <c r="E202" s="9" t="n">
        <v>22.509</v>
      </c>
      <c r="F202" s="9" t="n">
        <v>1</v>
      </c>
      <c r="G202" s="9" t="n">
        <v>1</v>
      </c>
      <c r="H202" s="9" t="n">
        <v>0.2</v>
      </c>
      <c r="I202" s="9" t="n">
        <v>0.3</v>
      </c>
      <c r="J202" s="9" t="n">
        <v>0.1</v>
      </c>
      <c r="K202" s="9" t="n">
        <v>-0.05</v>
      </c>
      <c r="L202" s="9" t="n">
        <v>0.05</v>
      </c>
      <c r="M202" s="8" t="n">
        <v>1</v>
      </c>
      <c r="N202" s="8" t="inlineStr">
        <is>
          <t>1x I-350 ยาว 22 ม.</t>
        </is>
      </c>
      <c r="O202" s="8">
        <f>F202*G202*H202</f>
        <v/>
      </c>
      <c r="P202" s="8">
        <f>2*(F202+G202)*H202</f>
        <v/>
      </c>
      <c r="Q202" s="8">
        <f>IF(L202&gt;0,(F202+2*0.1)*(G202+2*0.1)*L202,0)</f>
        <v/>
      </c>
      <c r="R202" s="8">
        <f>(F202+0.2)*(G202+0.2)*0.1</f>
        <v/>
      </c>
      <c r="S202" s="8">
        <f>(F202+0.2)*(G202+0.2)*0.05</f>
        <v/>
      </c>
      <c r="T202" s="8">
        <f>INDEX('2-ฐานราก เหล็กเสริม'!$S:$S,MATCH(B202,'2-ฐานราก เหล็กเสริม'!$A:$A,0))</f>
        <v/>
      </c>
      <c r="U202" s="8" t="inlineStr">
        <is>
          <t>M24</t>
        </is>
      </c>
      <c r="V202" s="10" t="inlineStr">
        <is>
          <t>แบบ S201 (ตำแหน่ง) / ระดับรอยืนยัน</t>
        </is>
      </c>
    </row>
    <row r="203">
      <c r="A203" s="8" t="inlineStr">
        <is>
          <t>F1P-154</t>
        </is>
      </c>
      <c r="B203" s="8" t="inlineStr">
        <is>
          <t>F1P</t>
        </is>
      </c>
      <c r="C203" s="8" t="inlineStr">
        <is>
          <t>8-1.51/E-1.49</t>
        </is>
      </c>
      <c r="D203" s="9" t="n">
        <v>40.491</v>
      </c>
      <c r="E203" s="9" t="n">
        <v>22.509</v>
      </c>
      <c r="F203" s="9" t="n">
        <v>1</v>
      </c>
      <c r="G203" s="9" t="n">
        <v>1</v>
      </c>
      <c r="H203" s="9" t="n">
        <v>0.2</v>
      </c>
      <c r="I203" s="9" t="n">
        <v>0.3</v>
      </c>
      <c r="J203" s="9" t="n">
        <v>0.1</v>
      </c>
      <c r="K203" s="9" t="n">
        <v>-0.05</v>
      </c>
      <c r="L203" s="9" t="n">
        <v>0.05</v>
      </c>
      <c r="M203" s="8" t="n">
        <v>1</v>
      </c>
      <c r="N203" s="8" t="inlineStr">
        <is>
          <t>1x I-350 ยาว 22 ม.</t>
        </is>
      </c>
      <c r="O203" s="8">
        <f>F203*G203*H203</f>
        <v/>
      </c>
      <c r="P203" s="8">
        <f>2*(F203+G203)*H203</f>
        <v/>
      </c>
      <c r="Q203" s="8">
        <f>IF(L203&gt;0,(F203+2*0.1)*(G203+2*0.1)*L203,0)</f>
        <v/>
      </c>
      <c r="R203" s="8">
        <f>(F203+0.2)*(G203+0.2)*0.1</f>
        <v/>
      </c>
      <c r="S203" s="8">
        <f>(F203+0.2)*(G203+0.2)*0.05</f>
        <v/>
      </c>
      <c r="T203" s="8">
        <f>INDEX('2-ฐานราก เหล็กเสริม'!$S:$S,MATCH(B203,'2-ฐานราก เหล็กเสริม'!$A:$A,0))</f>
        <v/>
      </c>
      <c r="U203" s="8" t="inlineStr">
        <is>
          <t>M24</t>
        </is>
      </c>
      <c r="V203" s="10" t="inlineStr">
        <is>
          <t>แบบ S201 (ตำแหน่ง) / ระดับรอยืนยัน</t>
        </is>
      </c>
    </row>
    <row r="204">
      <c r="A204" s="8" t="inlineStr">
        <is>
          <t>F1P-155</t>
        </is>
      </c>
      <c r="B204" s="8" t="inlineStr">
        <is>
          <t>F1P</t>
        </is>
      </c>
      <c r="C204" s="8" t="inlineStr">
        <is>
          <t>8+1.49/E-1.49</t>
        </is>
      </c>
      <c r="D204" s="9" t="n">
        <v>43.49</v>
      </c>
      <c r="E204" s="9" t="n">
        <v>22.509</v>
      </c>
      <c r="F204" s="9" t="n">
        <v>1</v>
      </c>
      <c r="G204" s="9" t="n">
        <v>1</v>
      </c>
      <c r="H204" s="9" t="n">
        <v>0.2</v>
      </c>
      <c r="I204" s="9" t="n">
        <v>0.3</v>
      </c>
      <c r="J204" s="9" t="n">
        <v>0.1</v>
      </c>
      <c r="K204" s="9" t="n">
        <v>-0.05</v>
      </c>
      <c r="L204" s="9" t="n">
        <v>0.05</v>
      </c>
      <c r="M204" s="8" t="n">
        <v>1</v>
      </c>
      <c r="N204" s="8" t="inlineStr">
        <is>
          <t>1x I-350 ยาว 22 ม.</t>
        </is>
      </c>
      <c r="O204" s="8">
        <f>F204*G204*H204</f>
        <v/>
      </c>
      <c r="P204" s="8">
        <f>2*(F204+G204)*H204</f>
        <v/>
      </c>
      <c r="Q204" s="8">
        <f>IF(L204&gt;0,(F204+2*0.1)*(G204+2*0.1)*L204,0)</f>
        <v/>
      </c>
      <c r="R204" s="8">
        <f>(F204+0.2)*(G204+0.2)*0.1</f>
        <v/>
      </c>
      <c r="S204" s="8">
        <f>(F204+0.2)*(G204+0.2)*0.05</f>
        <v/>
      </c>
      <c r="T204" s="8">
        <f>INDEX('2-ฐานราก เหล็กเสริม'!$S:$S,MATCH(B204,'2-ฐานราก เหล็กเสริม'!$A:$A,0))</f>
        <v/>
      </c>
      <c r="U204" s="8" t="inlineStr">
        <is>
          <t>M24</t>
        </is>
      </c>
      <c r="V204" s="10" t="inlineStr">
        <is>
          <t>แบบ S201 (ตำแหน่ง) / ระดับรอยืนยัน</t>
        </is>
      </c>
    </row>
    <row r="205">
      <c r="A205" s="8" t="inlineStr">
        <is>
          <t>F1P-156</t>
        </is>
      </c>
      <c r="B205" s="8" t="inlineStr">
        <is>
          <t>F1P</t>
        </is>
      </c>
      <c r="C205" s="8" t="inlineStr">
        <is>
          <t>9-1.51/E-1.49</t>
        </is>
      </c>
      <c r="D205" s="9" t="n">
        <v>46.495</v>
      </c>
      <c r="E205" s="9" t="n">
        <v>22.509</v>
      </c>
      <c r="F205" s="9" t="n">
        <v>1</v>
      </c>
      <c r="G205" s="9" t="n">
        <v>1</v>
      </c>
      <c r="H205" s="9" t="n">
        <v>0.2</v>
      </c>
      <c r="I205" s="9" t="n">
        <v>0.3</v>
      </c>
      <c r="J205" s="9" t="n">
        <v>0.1</v>
      </c>
      <c r="K205" s="9" t="n">
        <v>-0.05</v>
      </c>
      <c r="L205" s="9" t="n">
        <v>0.05</v>
      </c>
      <c r="M205" s="8" t="n">
        <v>1</v>
      </c>
      <c r="N205" s="8" t="inlineStr">
        <is>
          <t>1x I-350 ยาว 22 ม.</t>
        </is>
      </c>
      <c r="O205" s="8">
        <f>F205*G205*H205</f>
        <v/>
      </c>
      <c r="P205" s="8">
        <f>2*(F205+G205)*H205</f>
        <v/>
      </c>
      <c r="Q205" s="8">
        <f>IF(L205&gt;0,(F205+2*0.1)*(G205+2*0.1)*L205,0)</f>
        <v/>
      </c>
      <c r="R205" s="8">
        <f>(F205+0.2)*(G205+0.2)*0.1</f>
        <v/>
      </c>
      <c r="S205" s="8">
        <f>(F205+0.2)*(G205+0.2)*0.05</f>
        <v/>
      </c>
      <c r="T205" s="8">
        <f>INDEX('2-ฐานราก เหล็กเสริม'!$S:$S,MATCH(B205,'2-ฐานราก เหล็กเสริม'!$A:$A,0))</f>
        <v/>
      </c>
      <c r="U205" s="8" t="inlineStr">
        <is>
          <t>M24</t>
        </is>
      </c>
      <c r="V205" s="10" t="inlineStr">
        <is>
          <t>แบบ S201 (ตำแหน่ง) / ระดับรอยืนยัน</t>
        </is>
      </c>
    </row>
    <row r="206">
      <c r="A206" s="8" t="inlineStr">
        <is>
          <t>F1P-157</t>
        </is>
      </c>
      <c r="B206" s="8" t="inlineStr">
        <is>
          <t>F1P</t>
        </is>
      </c>
      <c r="C206" s="8" t="inlineStr">
        <is>
          <t>9+1.49/E-1.49</t>
        </is>
      </c>
      <c r="D206" s="9" t="n">
        <v>49.494</v>
      </c>
      <c r="E206" s="9" t="n">
        <v>22.509</v>
      </c>
      <c r="F206" s="9" t="n">
        <v>1</v>
      </c>
      <c r="G206" s="9" t="n">
        <v>1</v>
      </c>
      <c r="H206" s="9" t="n">
        <v>0.2</v>
      </c>
      <c r="I206" s="9" t="n">
        <v>0.3</v>
      </c>
      <c r="J206" s="9" t="n">
        <v>0.1</v>
      </c>
      <c r="K206" s="9" t="n">
        <v>-0.05</v>
      </c>
      <c r="L206" s="9" t="n">
        <v>0.05</v>
      </c>
      <c r="M206" s="8" t="n">
        <v>1</v>
      </c>
      <c r="N206" s="8" t="inlineStr">
        <is>
          <t>1x I-350 ยาว 22 ม.</t>
        </is>
      </c>
      <c r="O206" s="8">
        <f>F206*G206*H206</f>
        <v/>
      </c>
      <c r="P206" s="8">
        <f>2*(F206+G206)*H206</f>
        <v/>
      </c>
      <c r="Q206" s="8">
        <f>IF(L206&gt;0,(F206+2*0.1)*(G206+2*0.1)*L206,0)</f>
        <v/>
      </c>
      <c r="R206" s="8">
        <f>(F206+0.2)*(G206+0.2)*0.1</f>
        <v/>
      </c>
      <c r="S206" s="8">
        <f>(F206+0.2)*(G206+0.2)*0.05</f>
        <v/>
      </c>
      <c r="T206" s="8">
        <f>INDEX('2-ฐานราก เหล็กเสริม'!$S:$S,MATCH(B206,'2-ฐานราก เหล็กเสริม'!$A:$A,0))</f>
        <v/>
      </c>
      <c r="U206" s="8" t="inlineStr">
        <is>
          <t>M24</t>
        </is>
      </c>
      <c r="V206" s="10" t="inlineStr">
        <is>
          <t>แบบ S201 (ตำแหน่ง) / ระดับรอยืนยัน</t>
        </is>
      </c>
    </row>
    <row r="207">
      <c r="A207" s="8" t="inlineStr">
        <is>
          <t>F1P-158</t>
        </is>
      </c>
      <c r="B207" s="8" t="inlineStr">
        <is>
          <t>F1P</t>
        </is>
      </c>
      <c r="C207" s="8" t="inlineStr">
        <is>
          <t>10-1.51/E-1.49</t>
        </is>
      </c>
      <c r="D207" s="9" t="n">
        <v>52.493</v>
      </c>
      <c r="E207" s="9" t="n">
        <v>22.509</v>
      </c>
      <c r="F207" s="9" t="n">
        <v>1</v>
      </c>
      <c r="G207" s="9" t="n">
        <v>1</v>
      </c>
      <c r="H207" s="9" t="n">
        <v>0.2</v>
      </c>
      <c r="I207" s="9" t="n">
        <v>0.3</v>
      </c>
      <c r="J207" s="9" t="n">
        <v>0.1</v>
      </c>
      <c r="K207" s="9" t="n">
        <v>-0.05</v>
      </c>
      <c r="L207" s="9" t="n">
        <v>0.05</v>
      </c>
      <c r="M207" s="8" t="n">
        <v>1</v>
      </c>
      <c r="N207" s="8" t="inlineStr">
        <is>
          <t>1x I-350 ยาว 22 ม.</t>
        </is>
      </c>
      <c r="O207" s="8">
        <f>F207*G207*H207</f>
        <v/>
      </c>
      <c r="P207" s="8">
        <f>2*(F207+G207)*H207</f>
        <v/>
      </c>
      <c r="Q207" s="8">
        <f>IF(L207&gt;0,(F207+2*0.1)*(G207+2*0.1)*L207,0)</f>
        <v/>
      </c>
      <c r="R207" s="8">
        <f>(F207+0.2)*(G207+0.2)*0.1</f>
        <v/>
      </c>
      <c r="S207" s="8">
        <f>(F207+0.2)*(G207+0.2)*0.05</f>
        <v/>
      </c>
      <c r="T207" s="8">
        <f>INDEX('2-ฐานราก เหล็กเสริม'!$S:$S,MATCH(B207,'2-ฐานราก เหล็กเสริม'!$A:$A,0))</f>
        <v/>
      </c>
      <c r="U207" s="8" t="inlineStr">
        <is>
          <t>M24</t>
        </is>
      </c>
      <c r="V207" s="10" t="inlineStr">
        <is>
          <t>แบบ S201 (ตำแหน่ง) / ระดับรอยืนยัน</t>
        </is>
      </c>
    </row>
    <row r="208">
      <c r="A208" s="8" t="inlineStr">
        <is>
          <t>F1P-159</t>
        </is>
      </c>
      <c r="B208" s="8" t="inlineStr">
        <is>
          <t>F1P</t>
        </is>
      </c>
      <c r="C208" s="8" t="inlineStr">
        <is>
          <t>10+1.49/E-1.49</t>
        </is>
      </c>
      <c r="D208" s="9" t="n">
        <v>55.492</v>
      </c>
      <c r="E208" s="9" t="n">
        <v>22.509</v>
      </c>
      <c r="F208" s="9" t="n">
        <v>1</v>
      </c>
      <c r="G208" s="9" t="n">
        <v>1</v>
      </c>
      <c r="H208" s="9" t="n">
        <v>0.2</v>
      </c>
      <c r="I208" s="9" t="n">
        <v>0.3</v>
      </c>
      <c r="J208" s="9" t="n">
        <v>0.1</v>
      </c>
      <c r="K208" s="9" t="n">
        <v>-0.05</v>
      </c>
      <c r="L208" s="9" t="n">
        <v>0.05</v>
      </c>
      <c r="M208" s="8" t="n">
        <v>1</v>
      </c>
      <c r="N208" s="8" t="inlineStr">
        <is>
          <t>1x I-350 ยาว 22 ม.</t>
        </is>
      </c>
      <c r="O208" s="8">
        <f>F208*G208*H208</f>
        <v/>
      </c>
      <c r="P208" s="8">
        <f>2*(F208+G208)*H208</f>
        <v/>
      </c>
      <c r="Q208" s="8">
        <f>IF(L208&gt;0,(F208+2*0.1)*(G208+2*0.1)*L208,0)</f>
        <v/>
      </c>
      <c r="R208" s="8">
        <f>(F208+0.2)*(G208+0.2)*0.1</f>
        <v/>
      </c>
      <c r="S208" s="8">
        <f>(F208+0.2)*(G208+0.2)*0.05</f>
        <v/>
      </c>
      <c r="T208" s="8">
        <f>INDEX('2-ฐานราก เหล็กเสริม'!$S:$S,MATCH(B208,'2-ฐานราก เหล็กเสริม'!$A:$A,0))</f>
        <v/>
      </c>
      <c r="U208" s="8" t="inlineStr">
        <is>
          <t>M24</t>
        </is>
      </c>
      <c r="V208" s="10" t="inlineStr">
        <is>
          <t>แบบ S201 (ตำแหน่ง) / ระดับรอยืนยัน</t>
        </is>
      </c>
    </row>
    <row r="209">
      <c r="A209" s="8" t="inlineStr">
        <is>
          <t>F1P-160</t>
        </is>
      </c>
      <c r="B209" s="8" t="inlineStr">
        <is>
          <t>F1P</t>
        </is>
      </c>
      <c r="C209" s="8" t="inlineStr">
        <is>
          <t>11-1.51/E-1.49</t>
        </is>
      </c>
      <c r="D209" s="9" t="n">
        <v>58.49</v>
      </c>
      <c r="E209" s="9" t="n">
        <v>22.509</v>
      </c>
      <c r="F209" s="9" t="n">
        <v>1</v>
      </c>
      <c r="G209" s="9" t="n">
        <v>1</v>
      </c>
      <c r="H209" s="9" t="n">
        <v>0.2</v>
      </c>
      <c r="I209" s="9" t="n">
        <v>0.3</v>
      </c>
      <c r="J209" s="9" t="n">
        <v>0.1</v>
      </c>
      <c r="K209" s="9" t="n">
        <v>-0.05</v>
      </c>
      <c r="L209" s="9" t="n">
        <v>0.05</v>
      </c>
      <c r="M209" s="8" t="n">
        <v>1</v>
      </c>
      <c r="N209" s="8" t="inlineStr">
        <is>
          <t>1x I-350 ยาว 22 ม.</t>
        </is>
      </c>
      <c r="O209" s="8">
        <f>F209*G209*H209</f>
        <v/>
      </c>
      <c r="P209" s="8">
        <f>2*(F209+G209)*H209</f>
        <v/>
      </c>
      <c r="Q209" s="8">
        <f>IF(L209&gt;0,(F209+2*0.1)*(G209+2*0.1)*L209,0)</f>
        <v/>
      </c>
      <c r="R209" s="8">
        <f>(F209+0.2)*(G209+0.2)*0.1</f>
        <v/>
      </c>
      <c r="S209" s="8">
        <f>(F209+0.2)*(G209+0.2)*0.05</f>
        <v/>
      </c>
      <c r="T209" s="8">
        <f>INDEX('2-ฐานราก เหล็กเสริม'!$S:$S,MATCH(B209,'2-ฐานราก เหล็กเสริม'!$A:$A,0))</f>
        <v/>
      </c>
      <c r="U209" s="8" t="inlineStr">
        <is>
          <t>M24</t>
        </is>
      </c>
      <c r="V209" s="10" t="inlineStr">
        <is>
          <t>แบบ S201 (ตำแหน่ง) / ระดับรอยืนยัน</t>
        </is>
      </c>
    </row>
    <row r="210">
      <c r="A210" s="8" t="inlineStr">
        <is>
          <t>F1P-161</t>
        </is>
      </c>
      <c r="B210" s="8" t="inlineStr">
        <is>
          <t>F1P</t>
        </is>
      </c>
      <c r="C210" s="8" t="inlineStr">
        <is>
          <t>1+1.49/E+1.51</t>
        </is>
      </c>
      <c r="D210" s="9" t="n">
        <v>1.487</v>
      </c>
      <c r="E210" s="9" t="n">
        <v>25.508</v>
      </c>
      <c r="F210" s="9" t="n">
        <v>1</v>
      </c>
      <c r="G210" s="9" t="n">
        <v>1</v>
      </c>
      <c r="H210" s="9" t="n">
        <v>0.2</v>
      </c>
      <c r="I210" s="9" t="n">
        <v>0.3</v>
      </c>
      <c r="J210" s="9" t="n">
        <v>0.1</v>
      </c>
      <c r="K210" s="9" t="n">
        <v>-0.05</v>
      </c>
      <c r="L210" s="9" t="n">
        <v>0.05</v>
      </c>
      <c r="M210" s="8" t="n">
        <v>1</v>
      </c>
      <c r="N210" s="8" t="inlineStr">
        <is>
          <t>1x I-350 ยาว 22 ม.</t>
        </is>
      </c>
      <c r="O210" s="8">
        <f>F210*G210*H210</f>
        <v/>
      </c>
      <c r="P210" s="8">
        <f>2*(F210+G210)*H210</f>
        <v/>
      </c>
      <c r="Q210" s="8">
        <f>IF(L210&gt;0,(F210+2*0.1)*(G210+2*0.1)*L210,0)</f>
        <v/>
      </c>
      <c r="R210" s="8">
        <f>(F210+0.2)*(G210+0.2)*0.1</f>
        <v/>
      </c>
      <c r="S210" s="8">
        <f>(F210+0.2)*(G210+0.2)*0.05</f>
        <v/>
      </c>
      <c r="T210" s="8">
        <f>INDEX('2-ฐานราก เหล็กเสริม'!$S:$S,MATCH(B210,'2-ฐานราก เหล็กเสริม'!$A:$A,0))</f>
        <v/>
      </c>
      <c r="U210" s="8" t="inlineStr">
        <is>
          <t>M24</t>
        </is>
      </c>
      <c r="V210" s="10" t="inlineStr">
        <is>
          <t>แบบ S201 (ตำแหน่ง) / ระดับรอยืนยัน</t>
        </is>
      </c>
    </row>
    <row r="211">
      <c r="A211" s="8" t="inlineStr">
        <is>
          <t>F1P-162</t>
        </is>
      </c>
      <c r="B211" s="8" t="inlineStr">
        <is>
          <t>F1P</t>
        </is>
      </c>
      <c r="C211" s="8" t="inlineStr">
        <is>
          <t>2-1.51/E+1.51</t>
        </is>
      </c>
      <c r="D211" s="9" t="n">
        <v>4.485</v>
      </c>
      <c r="E211" s="9" t="n">
        <v>25.508</v>
      </c>
      <c r="F211" s="9" t="n">
        <v>1</v>
      </c>
      <c r="G211" s="9" t="n">
        <v>1</v>
      </c>
      <c r="H211" s="9" t="n">
        <v>0.2</v>
      </c>
      <c r="I211" s="9" t="n">
        <v>0.3</v>
      </c>
      <c r="J211" s="9" t="n">
        <v>0.1</v>
      </c>
      <c r="K211" s="9" t="n">
        <v>-0.05</v>
      </c>
      <c r="L211" s="9" t="n">
        <v>0.05</v>
      </c>
      <c r="M211" s="8" t="n">
        <v>1</v>
      </c>
      <c r="N211" s="8" t="inlineStr">
        <is>
          <t>1x I-350 ยาว 22 ม.</t>
        </is>
      </c>
      <c r="O211" s="8">
        <f>F211*G211*H211</f>
        <v/>
      </c>
      <c r="P211" s="8">
        <f>2*(F211+G211)*H211</f>
        <v/>
      </c>
      <c r="Q211" s="8">
        <f>IF(L211&gt;0,(F211+2*0.1)*(G211+2*0.1)*L211,0)</f>
        <v/>
      </c>
      <c r="R211" s="8">
        <f>(F211+0.2)*(G211+0.2)*0.1</f>
        <v/>
      </c>
      <c r="S211" s="8">
        <f>(F211+0.2)*(G211+0.2)*0.05</f>
        <v/>
      </c>
      <c r="T211" s="8">
        <f>INDEX('2-ฐานราก เหล็กเสริม'!$S:$S,MATCH(B211,'2-ฐานราก เหล็กเสริม'!$A:$A,0))</f>
        <v/>
      </c>
      <c r="U211" s="8" t="inlineStr">
        <is>
          <t>M24</t>
        </is>
      </c>
      <c r="V211" s="10" t="inlineStr">
        <is>
          <t>แบบ S201 (ตำแหน่ง) / ระดับรอยืนยัน</t>
        </is>
      </c>
    </row>
    <row r="212">
      <c r="A212" s="8" t="inlineStr">
        <is>
          <t>F1P-163</t>
        </is>
      </c>
      <c r="B212" s="8" t="inlineStr">
        <is>
          <t>F1P</t>
        </is>
      </c>
      <c r="C212" s="8" t="inlineStr">
        <is>
          <t>2+1.49/E+1.51</t>
        </is>
      </c>
      <c r="D212" s="9" t="n">
        <v>7.491</v>
      </c>
      <c r="E212" s="9" t="n">
        <v>25.508</v>
      </c>
      <c r="F212" s="9" t="n">
        <v>1</v>
      </c>
      <c r="G212" s="9" t="n">
        <v>1</v>
      </c>
      <c r="H212" s="9" t="n">
        <v>0.2</v>
      </c>
      <c r="I212" s="9" t="n">
        <v>0.3</v>
      </c>
      <c r="J212" s="9" t="n">
        <v>0.1</v>
      </c>
      <c r="K212" s="9" t="n">
        <v>-0.05</v>
      </c>
      <c r="L212" s="9" t="n">
        <v>0.05</v>
      </c>
      <c r="M212" s="8" t="n">
        <v>1</v>
      </c>
      <c r="N212" s="8" t="inlineStr">
        <is>
          <t>1x I-350 ยาว 22 ม.</t>
        </is>
      </c>
      <c r="O212" s="8">
        <f>F212*G212*H212</f>
        <v/>
      </c>
      <c r="P212" s="8">
        <f>2*(F212+G212)*H212</f>
        <v/>
      </c>
      <c r="Q212" s="8">
        <f>IF(L212&gt;0,(F212+2*0.1)*(G212+2*0.1)*L212,0)</f>
        <v/>
      </c>
      <c r="R212" s="8">
        <f>(F212+0.2)*(G212+0.2)*0.1</f>
        <v/>
      </c>
      <c r="S212" s="8">
        <f>(F212+0.2)*(G212+0.2)*0.05</f>
        <v/>
      </c>
      <c r="T212" s="8">
        <f>INDEX('2-ฐานราก เหล็กเสริม'!$S:$S,MATCH(B212,'2-ฐานราก เหล็กเสริม'!$A:$A,0))</f>
        <v/>
      </c>
      <c r="U212" s="8" t="inlineStr">
        <is>
          <t>M24</t>
        </is>
      </c>
      <c r="V212" s="10" t="inlineStr">
        <is>
          <t>แบบ S201 (ตำแหน่ง) / ระดับรอยืนยัน</t>
        </is>
      </c>
    </row>
    <row r="213">
      <c r="A213" s="8" t="inlineStr">
        <is>
          <t>F1P-164</t>
        </is>
      </c>
      <c r="B213" s="8" t="inlineStr">
        <is>
          <t>F1P</t>
        </is>
      </c>
      <c r="C213" s="8" t="inlineStr">
        <is>
          <t>3-1.51/E+1.51</t>
        </is>
      </c>
      <c r="D213" s="9" t="n">
        <v>10.49</v>
      </c>
      <c r="E213" s="9" t="n">
        <v>25.508</v>
      </c>
      <c r="F213" s="9" t="n">
        <v>1</v>
      </c>
      <c r="G213" s="9" t="n">
        <v>1</v>
      </c>
      <c r="H213" s="9" t="n">
        <v>0.2</v>
      </c>
      <c r="I213" s="9" t="n">
        <v>0.3</v>
      </c>
      <c r="J213" s="9" t="n">
        <v>0.1</v>
      </c>
      <c r="K213" s="9" t="n">
        <v>-0.05</v>
      </c>
      <c r="L213" s="9" t="n">
        <v>0.05</v>
      </c>
      <c r="M213" s="8" t="n">
        <v>1</v>
      </c>
      <c r="N213" s="8" t="inlineStr">
        <is>
          <t>1x I-350 ยาว 22 ม.</t>
        </is>
      </c>
      <c r="O213" s="8">
        <f>F213*G213*H213</f>
        <v/>
      </c>
      <c r="P213" s="8">
        <f>2*(F213+G213)*H213</f>
        <v/>
      </c>
      <c r="Q213" s="8">
        <f>IF(L213&gt;0,(F213+2*0.1)*(G213+2*0.1)*L213,0)</f>
        <v/>
      </c>
      <c r="R213" s="8">
        <f>(F213+0.2)*(G213+0.2)*0.1</f>
        <v/>
      </c>
      <c r="S213" s="8">
        <f>(F213+0.2)*(G213+0.2)*0.05</f>
        <v/>
      </c>
      <c r="T213" s="8">
        <f>INDEX('2-ฐานราก เหล็กเสริม'!$S:$S,MATCH(B213,'2-ฐานราก เหล็กเสริม'!$A:$A,0))</f>
        <v/>
      </c>
      <c r="U213" s="8" t="inlineStr">
        <is>
          <t>M24</t>
        </is>
      </c>
      <c r="V213" s="10" t="inlineStr">
        <is>
          <t>แบบ S201 (ตำแหน่ง) / ระดับรอยืนยัน</t>
        </is>
      </c>
    </row>
    <row r="214">
      <c r="A214" s="8" t="inlineStr">
        <is>
          <t>F1P-165</t>
        </is>
      </c>
      <c r="B214" s="8" t="inlineStr">
        <is>
          <t>F1P</t>
        </is>
      </c>
      <c r="C214" s="8" t="inlineStr">
        <is>
          <t>3+1.49/E+1.51</t>
        </is>
      </c>
      <c r="D214" s="9" t="n">
        <v>13.488</v>
      </c>
      <c r="E214" s="9" t="n">
        <v>25.508</v>
      </c>
      <c r="F214" s="9" t="n">
        <v>1</v>
      </c>
      <c r="G214" s="9" t="n">
        <v>1</v>
      </c>
      <c r="H214" s="9" t="n">
        <v>0.2</v>
      </c>
      <c r="I214" s="9" t="n">
        <v>0.3</v>
      </c>
      <c r="J214" s="9" t="n">
        <v>0.1</v>
      </c>
      <c r="K214" s="9" t="n">
        <v>-0.05</v>
      </c>
      <c r="L214" s="9" t="n">
        <v>0.05</v>
      </c>
      <c r="M214" s="8" t="n">
        <v>1</v>
      </c>
      <c r="N214" s="8" t="inlineStr">
        <is>
          <t>1x I-350 ยาว 22 ม.</t>
        </is>
      </c>
      <c r="O214" s="8">
        <f>F214*G214*H214</f>
        <v/>
      </c>
      <c r="P214" s="8">
        <f>2*(F214+G214)*H214</f>
        <v/>
      </c>
      <c r="Q214" s="8">
        <f>IF(L214&gt;0,(F214+2*0.1)*(G214+2*0.1)*L214,0)</f>
        <v/>
      </c>
      <c r="R214" s="8">
        <f>(F214+0.2)*(G214+0.2)*0.1</f>
        <v/>
      </c>
      <c r="S214" s="8">
        <f>(F214+0.2)*(G214+0.2)*0.05</f>
        <v/>
      </c>
      <c r="T214" s="8">
        <f>INDEX('2-ฐานราก เหล็กเสริม'!$S:$S,MATCH(B214,'2-ฐานราก เหล็กเสริม'!$A:$A,0))</f>
        <v/>
      </c>
      <c r="U214" s="8" t="inlineStr">
        <is>
          <t>M24</t>
        </is>
      </c>
      <c r="V214" s="10" t="inlineStr">
        <is>
          <t>แบบ S201 (ตำแหน่ง) / ระดับรอยืนยัน</t>
        </is>
      </c>
    </row>
    <row r="215">
      <c r="A215" s="8" t="inlineStr">
        <is>
          <t>F1P-166</t>
        </is>
      </c>
      <c r="B215" s="8" t="inlineStr">
        <is>
          <t>F1P</t>
        </is>
      </c>
      <c r="C215" s="8" t="inlineStr">
        <is>
          <t>4-1.51/E+1.51</t>
        </is>
      </c>
      <c r="D215" s="9" t="n">
        <v>16.487</v>
      </c>
      <c r="E215" s="9" t="n">
        <v>25.508</v>
      </c>
      <c r="F215" s="9" t="n">
        <v>1</v>
      </c>
      <c r="G215" s="9" t="n">
        <v>1</v>
      </c>
      <c r="H215" s="9" t="n">
        <v>0.2</v>
      </c>
      <c r="I215" s="9" t="n">
        <v>0.3</v>
      </c>
      <c r="J215" s="9" t="n">
        <v>0.1</v>
      </c>
      <c r="K215" s="9" t="n">
        <v>-0.05</v>
      </c>
      <c r="L215" s="9" t="n">
        <v>0.05</v>
      </c>
      <c r="M215" s="8" t="n">
        <v>1</v>
      </c>
      <c r="N215" s="8" t="inlineStr">
        <is>
          <t>1x I-350 ยาว 22 ม.</t>
        </is>
      </c>
      <c r="O215" s="8">
        <f>F215*G215*H215</f>
        <v/>
      </c>
      <c r="P215" s="8">
        <f>2*(F215+G215)*H215</f>
        <v/>
      </c>
      <c r="Q215" s="8">
        <f>IF(L215&gt;0,(F215+2*0.1)*(G215+2*0.1)*L215,0)</f>
        <v/>
      </c>
      <c r="R215" s="8">
        <f>(F215+0.2)*(G215+0.2)*0.1</f>
        <v/>
      </c>
      <c r="S215" s="8">
        <f>(F215+0.2)*(G215+0.2)*0.05</f>
        <v/>
      </c>
      <c r="T215" s="8">
        <f>INDEX('2-ฐานราก เหล็กเสริม'!$S:$S,MATCH(B215,'2-ฐานราก เหล็กเสริม'!$A:$A,0))</f>
        <v/>
      </c>
      <c r="U215" s="8" t="inlineStr">
        <is>
          <t>M24</t>
        </is>
      </c>
      <c r="V215" s="10" t="inlineStr">
        <is>
          <t>แบบ S201 (ตำแหน่ง) / ระดับรอยืนยัน</t>
        </is>
      </c>
    </row>
    <row r="216">
      <c r="A216" s="8" t="inlineStr">
        <is>
          <t>F1P-167</t>
        </is>
      </c>
      <c r="B216" s="8" t="inlineStr">
        <is>
          <t>F1P</t>
        </is>
      </c>
      <c r="C216" s="8" t="inlineStr">
        <is>
          <t>4+1.49/E+1.51</t>
        </is>
      </c>
      <c r="D216" s="9" t="n">
        <v>19.486</v>
      </c>
      <c r="E216" s="9" t="n">
        <v>25.508</v>
      </c>
      <c r="F216" s="9" t="n">
        <v>1</v>
      </c>
      <c r="G216" s="9" t="n">
        <v>1</v>
      </c>
      <c r="H216" s="9" t="n">
        <v>0.2</v>
      </c>
      <c r="I216" s="9" t="n">
        <v>0.3</v>
      </c>
      <c r="J216" s="9" t="n">
        <v>0.1</v>
      </c>
      <c r="K216" s="9" t="n">
        <v>-0.05</v>
      </c>
      <c r="L216" s="9" t="n">
        <v>0.05</v>
      </c>
      <c r="M216" s="8" t="n">
        <v>1</v>
      </c>
      <c r="N216" s="8" t="inlineStr">
        <is>
          <t>1x I-350 ยาว 22 ม.</t>
        </is>
      </c>
      <c r="O216" s="8">
        <f>F216*G216*H216</f>
        <v/>
      </c>
      <c r="P216" s="8">
        <f>2*(F216+G216)*H216</f>
        <v/>
      </c>
      <c r="Q216" s="8">
        <f>IF(L216&gt;0,(F216+2*0.1)*(G216+2*0.1)*L216,0)</f>
        <v/>
      </c>
      <c r="R216" s="8">
        <f>(F216+0.2)*(G216+0.2)*0.1</f>
        <v/>
      </c>
      <c r="S216" s="8">
        <f>(F216+0.2)*(G216+0.2)*0.05</f>
        <v/>
      </c>
      <c r="T216" s="8">
        <f>INDEX('2-ฐานราก เหล็กเสริม'!$S:$S,MATCH(B216,'2-ฐานราก เหล็กเสริม'!$A:$A,0))</f>
        <v/>
      </c>
      <c r="U216" s="8" t="inlineStr">
        <is>
          <t>M24</t>
        </is>
      </c>
      <c r="V216" s="10" t="inlineStr">
        <is>
          <t>แบบ S201 (ตำแหน่ง) / ระดับรอยืนยัน</t>
        </is>
      </c>
    </row>
    <row r="217">
      <c r="A217" s="8" t="inlineStr">
        <is>
          <t>F1P-168</t>
        </is>
      </c>
      <c r="B217" s="8" t="inlineStr">
        <is>
          <t>F1P</t>
        </is>
      </c>
      <c r="C217" s="8" t="inlineStr">
        <is>
          <t>5-1.51/E+1.51</t>
        </is>
      </c>
      <c r="D217" s="9" t="n">
        <v>22.491</v>
      </c>
      <c r="E217" s="9" t="n">
        <v>25.508</v>
      </c>
      <c r="F217" s="9" t="n">
        <v>1</v>
      </c>
      <c r="G217" s="9" t="n">
        <v>1</v>
      </c>
      <c r="H217" s="9" t="n">
        <v>0.2</v>
      </c>
      <c r="I217" s="9" t="n">
        <v>0.3</v>
      </c>
      <c r="J217" s="9" t="n">
        <v>0.1</v>
      </c>
      <c r="K217" s="9" t="n">
        <v>-0.05</v>
      </c>
      <c r="L217" s="9" t="n">
        <v>0.05</v>
      </c>
      <c r="M217" s="8" t="n">
        <v>1</v>
      </c>
      <c r="N217" s="8" t="inlineStr">
        <is>
          <t>1x I-350 ยาว 22 ม.</t>
        </is>
      </c>
      <c r="O217" s="8">
        <f>F217*G217*H217</f>
        <v/>
      </c>
      <c r="P217" s="8">
        <f>2*(F217+G217)*H217</f>
        <v/>
      </c>
      <c r="Q217" s="8">
        <f>IF(L217&gt;0,(F217+2*0.1)*(G217+2*0.1)*L217,0)</f>
        <v/>
      </c>
      <c r="R217" s="8">
        <f>(F217+0.2)*(G217+0.2)*0.1</f>
        <v/>
      </c>
      <c r="S217" s="8">
        <f>(F217+0.2)*(G217+0.2)*0.05</f>
        <v/>
      </c>
      <c r="T217" s="8">
        <f>INDEX('2-ฐานราก เหล็กเสริม'!$S:$S,MATCH(B217,'2-ฐานราก เหล็กเสริม'!$A:$A,0))</f>
        <v/>
      </c>
      <c r="U217" s="8" t="inlineStr">
        <is>
          <t>M24</t>
        </is>
      </c>
      <c r="V217" s="10" t="inlineStr">
        <is>
          <t>แบบ S201 (ตำแหน่ง) / ระดับรอยืนยัน</t>
        </is>
      </c>
    </row>
    <row r="218">
      <c r="A218" s="8" t="inlineStr">
        <is>
          <t>F1P-169</t>
        </is>
      </c>
      <c r="B218" s="8" t="inlineStr">
        <is>
          <t>F1P</t>
        </is>
      </c>
      <c r="C218" s="8" t="inlineStr">
        <is>
          <t>5+1.49/E+1.51</t>
        </is>
      </c>
      <c r="D218" s="9" t="n">
        <v>25.49</v>
      </c>
      <c r="E218" s="9" t="n">
        <v>25.508</v>
      </c>
      <c r="F218" s="9" t="n">
        <v>1</v>
      </c>
      <c r="G218" s="9" t="n">
        <v>1</v>
      </c>
      <c r="H218" s="9" t="n">
        <v>0.2</v>
      </c>
      <c r="I218" s="9" t="n">
        <v>0.3</v>
      </c>
      <c r="J218" s="9" t="n">
        <v>0.1</v>
      </c>
      <c r="K218" s="9" t="n">
        <v>-0.05</v>
      </c>
      <c r="L218" s="9" t="n">
        <v>0.05</v>
      </c>
      <c r="M218" s="8" t="n">
        <v>1</v>
      </c>
      <c r="N218" s="8" t="inlineStr">
        <is>
          <t>1x I-350 ยาว 22 ม.</t>
        </is>
      </c>
      <c r="O218" s="8">
        <f>F218*G218*H218</f>
        <v/>
      </c>
      <c r="P218" s="8">
        <f>2*(F218+G218)*H218</f>
        <v/>
      </c>
      <c r="Q218" s="8">
        <f>IF(L218&gt;0,(F218+2*0.1)*(G218+2*0.1)*L218,0)</f>
        <v/>
      </c>
      <c r="R218" s="8">
        <f>(F218+0.2)*(G218+0.2)*0.1</f>
        <v/>
      </c>
      <c r="S218" s="8">
        <f>(F218+0.2)*(G218+0.2)*0.05</f>
        <v/>
      </c>
      <c r="T218" s="8">
        <f>INDEX('2-ฐานราก เหล็กเสริม'!$S:$S,MATCH(B218,'2-ฐานราก เหล็กเสริม'!$A:$A,0))</f>
        <v/>
      </c>
      <c r="U218" s="8" t="inlineStr">
        <is>
          <t>M24</t>
        </is>
      </c>
      <c r="V218" s="10" t="inlineStr">
        <is>
          <t>แบบ S201 (ตำแหน่ง) / ระดับรอยืนยัน</t>
        </is>
      </c>
    </row>
    <row r="219">
      <c r="A219" s="8" t="inlineStr">
        <is>
          <t>F1P-170</t>
        </is>
      </c>
      <c r="B219" s="8" t="inlineStr">
        <is>
          <t>F1P</t>
        </is>
      </c>
      <c r="C219" s="8" t="inlineStr">
        <is>
          <t>6-1.51/E+1.51</t>
        </is>
      </c>
      <c r="D219" s="9" t="n">
        <v>28.489</v>
      </c>
      <c r="E219" s="9" t="n">
        <v>25.508</v>
      </c>
      <c r="F219" s="9" t="n">
        <v>1</v>
      </c>
      <c r="G219" s="9" t="n">
        <v>1</v>
      </c>
      <c r="H219" s="9" t="n">
        <v>0.2</v>
      </c>
      <c r="I219" s="9" t="n">
        <v>0.3</v>
      </c>
      <c r="J219" s="9" t="n">
        <v>0.1</v>
      </c>
      <c r="K219" s="9" t="n">
        <v>-0.05</v>
      </c>
      <c r="L219" s="9" t="n">
        <v>0.05</v>
      </c>
      <c r="M219" s="8" t="n">
        <v>1</v>
      </c>
      <c r="N219" s="8" t="inlineStr">
        <is>
          <t>1x I-350 ยาว 22 ม.</t>
        </is>
      </c>
      <c r="O219" s="8">
        <f>F219*G219*H219</f>
        <v/>
      </c>
      <c r="P219" s="8">
        <f>2*(F219+G219)*H219</f>
        <v/>
      </c>
      <c r="Q219" s="8">
        <f>IF(L219&gt;0,(F219+2*0.1)*(G219+2*0.1)*L219,0)</f>
        <v/>
      </c>
      <c r="R219" s="8">
        <f>(F219+0.2)*(G219+0.2)*0.1</f>
        <v/>
      </c>
      <c r="S219" s="8">
        <f>(F219+0.2)*(G219+0.2)*0.05</f>
        <v/>
      </c>
      <c r="T219" s="8">
        <f>INDEX('2-ฐานราก เหล็กเสริม'!$S:$S,MATCH(B219,'2-ฐานราก เหล็กเสริม'!$A:$A,0))</f>
        <v/>
      </c>
      <c r="U219" s="8" t="inlineStr">
        <is>
          <t>M24</t>
        </is>
      </c>
      <c r="V219" s="10" t="inlineStr">
        <is>
          <t>แบบ S201 (ตำแหน่ง) / ระดับรอยืนยัน</t>
        </is>
      </c>
    </row>
    <row r="220">
      <c r="A220" s="8" t="inlineStr">
        <is>
          <t>F1P-171</t>
        </is>
      </c>
      <c r="B220" s="8" t="inlineStr">
        <is>
          <t>F1P</t>
        </is>
      </c>
      <c r="C220" s="8" t="inlineStr">
        <is>
          <t>6+1.49/E+1.51</t>
        </is>
      </c>
      <c r="D220" s="9" t="n">
        <v>31.488</v>
      </c>
      <c r="E220" s="9" t="n">
        <v>25.508</v>
      </c>
      <c r="F220" s="9" t="n">
        <v>1</v>
      </c>
      <c r="G220" s="9" t="n">
        <v>1</v>
      </c>
      <c r="H220" s="9" t="n">
        <v>0.2</v>
      </c>
      <c r="I220" s="9" t="n">
        <v>0.3</v>
      </c>
      <c r="J220" s="9" t="n">
        <v>0.1</v>
      </c>
      <c r="K220" s="9" t="n">
        <v>-0.05</v>
      </c>
      <c r="L220" s="9" t="n">
        <v>0.05</v>
      </c>
      <c r="M220" s="8" t="n">
        <v>1</v>
      </c>
      <c r="N220" s="8" t="inlineStr">
        <is>
          <t>1x I-350 ยาว 22 ม.</t>
        </is>
      </c>
      <c r="O220" s="8">
        <f>F220*G220*H220</f>
        <v/>
      </c>
      <c r="P220" s="8">
        <f>2*(F220+G220)*H220</f>
        <v/>
      </c>
      <c r="Q220" s="8">
        <f>IF(L220&gt;0,(F220+2*0.1)*(G220+2*0.1)*L220,0)</f>
        <v/>
      </c>
      <c r="R220" s="8">
        <f>(F220+0.2)*(G220+0.2)*0.1</f>
        <v/>
      </c>
      <c r="S220" s="8">
        <f>(F220+0.2)*(G220+0.2)*0.05</f>
        <v/>
      </c>
      <c r="T220" s="8">
        <f>INDEX('2-ฐานราก เหล็กเสริม'!$S:$S,MATCH(B220,'2-ฐานราก เหล็กเสริม'!$A:$A,0))</f>
        <v/>
      </c>
      <c r="U220" s="8" t="inlineStr">
        <is>
          <t>M24</t>
        </is>
      </c>
      <c r="V220" s="10" t="inlineStr">
        <is>
          <t>แบบ S201 (ตำแหน่ง) / ระดับรอยืนยัน</t>
        </is>
      </c>
    </row>
    <row r="221">
      <c r="A221" s="8" t="inlineStr">
        <is>
          <t>F1P-172</t>
        </is>
      </c>
      <c r="B221" s="8" t="inlineStr">
        <is>
          <t>F1P</t>
        </is>
      </c>
      <c r="C221" s="8" t="inlineStr">
        <is>
          <t>7-1.51/E+1.51</t>
        </is>
      </c>
      <c r="D221" s="9" t="n">
        <v>34.493</v>
      </c>
      <c r="E221" s="9" t="n">
        <v>25.508</v>
      </c>
      <c r="F221" s="9" t="n">
        <v>1</v>
      </c>
      <c r="G221" s="9" t="n">
        <v>1</v>
      </c>
      <c r="H221" s="9" t="n">
        <v>0.2</v>
      </c>
      <c r="I221" s="9" t="n">
        <v>0.3</v>
      </c>
      <c r="J221" s="9" t="n">
        <v>0.1</v>
      </c>
      <c r="K221" s="9" t="n">
        <v>-0.05</v>
      </c>
      <c r="L221" s="9" t="n">
        <v>0.05</v>
      </c>
      <c r="M221" s="8" t="n">
        <v>1</v>
      </c>
      <c r="N221" s="8" t="inlineStr">
        <is>
          <t>1x I-350 ยาว 22 ม.</t>
        </is>
      </c>
      <c r="O221" s="8">
        <f>F221*G221*H221</f>
        <v/>
      </c>
      <c r="P221" s="8">
        <f>2*(F221+G221)*H221</f>
        <v/>
      </c>
      <c r="Q221" s="8">
        <f>IF(L221&gt;0,(F221+2*0.1)*(G221+2*0.1)*L221,0)</f>
        <v/>
      </c>
      <c r="R221" s="8">
        <f>(F221+0.2)*(G221+0.2)*0.1</f>
        <v/>
      </c>
      <c r="S221" s="8">
        <f>(F221+0.2)*(G221+0.2)*0.05</f>
        <v/>
      </c>
      <c r="T221" s="8">
        <f>INDEX('2-ฐานราก เหล็กเสริม'!$S:$S,MATCH(B221,'2-ฐานราก เหล็กเสริม'!$A:$A,0))</f>
        <v/>
      </c>
      <c r="U221" s="8" t="inlineStr">
        <is>
          <t>M24</t>
        </is>
      </c>
      <c r="V221" s="10" t="inlineStr">
        <is>
          <t>แบบ S201 (ตำแหน่ง) / ระดับรอยืนยัน</t>
        </is>
      </c>
    </row>
    <row r="222">
      <c r="A222" s="8" t="inlineStr">
        <is>
          <t>F1P-173</t>
        </is>
      </c>
      <c r="B222" s="8" t="inlineStr">
        <is>
          <t>F1P</t>
        </is>
      </c>
      <c r="C222" s="8" t="inlineStr">
        <is>
          <t>7+1.49/E+1.51</t>
        </is>
      </c>
      <c r="D222" s="9" t="n">
        <v>37.492</v>
      </c>
      <c r="E222" s="9" t="n">
        <v>25.508</v>
      </c>
      <c r="F222" s="9" t="n">
        <v>1</v>
      </c>
      <c r="G222" s="9" t="n">
        <v>1</v>
      </c>
      <c r="H222" s="9" t="n">
        <v>0.2</v>
      </c>
      <c r="I222" s="9" t="n">
        <v>0.3</v>
      </c>
      <c r="J222" s="9" t="n">
        <v>0.1</v>
      </c>
      <c r="K222" s="9" t="n">
        <v>-0.05</v>
      </c>
      <c r="L222" s="9" t="n">
        <v>0.05</v>
      </c>
      <c r="M222" s="8" t="n">
        <v>1</v>
      </c>
      <c r="N222" s="8" t="inlineStr">
        <is>
          <t>1x I-350 ยาว 22 ม.</t>
        </is>
      </c>
      <c r="O222" s="8">
        <f>F222*G222*H222</f>
        <v/>
      </c>
      <c r="P222" s="8">
        <f>2*(F222+G222)*H222</f>
        <v/>
      </c>
      <c r="Q222" s="8">
        <f>IF(L222&gt;0,(F222+2*0.1)*(G222+2*0.1)*L222,0)</f>
        <v/>
      </c>
      <c r="R222" s="8">
        <f>(F222+0.2)*(G222+0.2)*0.1</f>
        <v/>
      </c>
      <c r="S222" s="8">
        <f>(F222+0.2)*(G222+0.2)*0.05</f>
        <v/>
      </c>
      <c r="T222" s="8">
        <f>INDEX('2-ฐานราก เหล็กเสริม'!$S:$S,MATCH(B222,'2-ฐานราก เหล็กเสริม'!$A:$A,0))</f>
        <v/>
      </c>
      <c r="U222" s="8" t="inlineStr">
        <is>
          <t>M24</t>
        </is>
      </c>
      <c r="V222" s="10" t="inlineStr">
        <is>
          <t>แบบ S201 (ตำแหน่ง) / ระดับรอยืนยัน</t>
        </is>
      </c>
    </row>
    <row r="223">
      <c r="A223" s="8" t="inlineStr">
        <is>
          <t>F1P-174</t>
        </is>
      </c>
      <c r="B223" s="8" t="inlineStr">
        <is>
          <t>F1P</t>
        </is>
      </c>
      <c r="C223" s="8" t="inlineStr">
        <is>
          <t>8-1.51/E+1.51</t>
        </is>
      </c>
      <c r="D223" s="9" t="n">
        <v>40.491</v>
      </c>
      <c r="E223" s="9" t="n">
        <v>25.508</v>
      </c>
      <c r="F223" s="9" t="n">
        <v>1</v>
      </c>
      <c r="G223" s="9" t="n">
        <v>1</v>
      </c>
      <c r="H223" s="9" t="n">
        <v>0.2</v>
      </c>
      <c r="I223" s="9" t="n">
        <v>0.3</v>
      </c>
      <c r="J223" s="9" t="n">
        <v>0.1</v>
      </c>
      <c r="K223" s="9" t="n">
        <v>-0.05</v>
      </c>
      <c r="L223" s="9" t="n">
        <v>0.05</v>
      </c>
      <c r="M223" s="8" t="n">
        <v>1</v>
      </c>
      <c r="N223" s="8" t="inlineStr">
        <is>
          <t>1x I-350 ยาว 22 ม.</t>
        </is>
      </c>
      <c r="O223" s="8">
        <f>F223*G223*H223</f>
        <v/>
      </c>
      <c r="P223" s="8">
        <f>2*(F223+G223)*H223</f>
        <v/>
      </c>
      <c r="Q223" s="8">
        <f>IF(L223&gt;0,(F223+2*0.1)*(G223+2*0.1)*L223,0)</f>
        <v/>
      </c>
      <c r="R223" s="8">
        <f>(F223+0.2)*(G223+0.2)*0.1</f>
        <v/>
      </c>
      <c r="S223" s="8">
        <f>(F223+0.2)*(G223+0.2)*0.05</f>
        <v/>
      </c>
      <c r="T223" s="8">
        <f>INDEX('2-ฐานราก เหล็กเสริม'!$S:$S,MATCH(B223,'2-ฐานราก เหล็กเสริม'!$A:$A,0))</f>
        <v/>
      </c>
      <c r="U223" s="8" t="inlineStr">
        <is>
          <t>M24</t>
        </is>
      </c>
      <c r="V223" s="10" t="inlineStr">
        <is>
          <t>แบบ S201 (ตำแหน่ง) / ระดับรอยืนยัน</t>
        </is>
      </c>
    </row>
    <row r="224">
      <c r="A224" s="8" t="inlineStr">
        <is>
          <t>F1P-175</t>
        </is>
      </c>
      <c r="B224" s="8" t="inlineStr">
        <is>
          <t>F1P</t>
        </is>
      </c>
      <c r="C224" s="8" t="inlineStr">
        <is>
          <t>8+1.49/E+1.51</t>
        </is>
      </c>
      <c r="D224" s="9" t="n">
        <v>43.49</v>
      </c>
      <c r="E224" s="9" t="n">
        <v>25.508</v>
      </c>
      <c r="F224" s="9" t="n">
        <v>1</v>
      </c>
      <c r="G224" s="9" t="n">
        <v>1</v>
      </c>
      <c r="H224" s="9" t="n">
        <v>0.2</v>
      </c>
      <c r="I224" s="9" t="n">
        <v>0.3</v>
      </c>
      <c r="J224" s="9" t="n">
        <v>0.1</v>
      </c>
      <c r="K224" s="9" t="n">
        <v>-0.05</v>
      </c>
      <c r="L224" s="9" t="n">
        <v>0.05</v>
      </c>
      <c r="M224" s="8" t="n">
        <v>1</v>
      </c>
      <c r="N224" s="8" t="inlineStr">
        <is>
          <t>1x I-350 ยาว 22 ม.</t>
        </is>
      </c>
      <c r="O224" s="8">
        <f>F224*G224*H224</f>
        <v/>
      </c>
      <c r="P224" s="8">
        <f>2*(F224+G224)*H224</f>
        <v/>
      </c>
      <c r="Q224" s="8">
        <f>IF(L224&gt;0,(F224+2*0.1)*(G224+2*0.1)*L224,0)</f>
        <v/>
      </c>
      <c r="R224" s="8">
        <f>(F224+0.2)*(G224+0.2)*0.1</f>
        <v/>
      </c>
      <c r="S224" s="8">
        <f>(F224+0.2)*(G224+0.2)*0.05</f>
        <v/>
      </c>
      <c r="T224" s="8">
        <f>INDEX('2-ฐานราก เหล็กเสริม'!$S:$S,MATCH(B224,'2-ฐานราก เหล็กเสริม'!$A:$A,0))</f>
        <v/>
      </c>
      <c r="U224" s="8" t="inlineStr">
        <is>
          <t>M24</t>
        </is>
      </c>
      <c r="V224" s="10" t="inlineStr">
        <is>
          <t>แบบ S201 (ตำแหน่ง) / ระดับรอยืนยัน</t>
        </is>
      </c>
    </row>
    <row r="225">
      <c r="A225" s="8" t="inlineStr">
        <is>
          <t>F1P-176</t>
        </is>
      </c>
      <c r="B225" s="8" t="inlineStr">
        <is>
          <t>F1P</t>
        </is>
      </c>
      <c r="C225" s="8" t="inlineStr">
        <is>
          <t>9-1.51/E+1.51</t>
        </is>
      </c>
      <c r="D225" s="9" t="n">
        <v>46.495</v>
      </c>
      <c r="E225" s="9" t="n">
        <v>25.508</v>
      </c>
      <c r="F225" s="9" t="n">
        <v>1</v>
      </c>
      <c r="G225" s="9" t="n">
        <v>1</v>
      </c>
      <c r="H225" s="9" t="n">
        <v>0.2</v>
      </c>
      <c r="I225" s="9" t="n">
        <v>0.3</v>
      </c>
      <c r="J225" s="9" t="n">
        <v>0.1</v>
      </c>
      <c r="K225" s="9" t="n">
        <v>-0.05</v>
      </c>
      <c r="L225" s="9" t="n">
        <v>0.05</v>
      </c>
      <c r="M225" s="8" t="n">
        <v>1</v>
      </c>
      <c r="N225" s="8" t="inlineStr">
        <is>
          <t>1x I-350 ยาว 22 ม.</t>
        </is>
      </c>
      <c r="O225" s="8">
        <f>F225*G225*H225</f>
        <v/>
      </c>
      <c r="P225" s="8">
        <f>2*(F225+G225)*H225</f>
        <v/>
      </c>
      <c r="Q225" s="8">
        <f>IF(L225&gt;0,(F225+2*0.1)*(G225+2*0.1)*L225,0)</f>
        <v/>
      </c>
      <c r="R225" s="8">
        <f>(F225+0.2)*(G225+0.2)*0.1</f>
        <v/>
      </c>
      <c r="S225" s="8">
        <f>(F225+0.2)*(G225+0.2)*0.05</f>
        <v/>
      </c>
      <c r="T225" s="8">
        <f>INDEX('2-ฐานราก เหล็กเสริม'!$S:$S,MATCH(B225,'2-ฐานราก เหล็กเสริม'!$A:$A,0))</f>
        <v/>
      </c>
      <c r="U225" s="8" t="inlineStr">
        <is>
          <t>M24</t>
        </is>
      </c>
      <c r="V225" s="10" t="inlineStr">
        <is>
          <t>แบบ S201 (ตำแหน่ง) / ระดับรอยืนยัน</t>
        </is>
      </c>
    </row>
    <row r="226">
      <c r="A226" s="8" t="inlineStr">
        <is>
          <t>F1P-177</t>
        </is>
      </c>
      <c r="B226" s="8" t="inlineStr">
        <is>
          <t>F1P</t>
        </is>
      </c>
      <c r="C226" s="8" t="inlineStr">
        <is>
          <t>9+1.49/E+1.51</t>
        </is>
      </c>
      <c r="D226" s="9" t="n">
        <v>49.494</v>
      </c>
      <c r="E226" s="9" t="n">
        <v>25.508</v>
      </c>
      <c r="F226" s="9" t="n">
        <v>1</v>
      </c>
      <c r="G226" s="9" t="n">
        <v>1</v>
      </c>
      <c r="H226" s="9" t="n">
        <v>0.2</v>
      </c>
      <c r="I226" s="9" t="n">
        <v>0.3</v>
      </c>
      <c r="J226" s="9" t="n">
        <v>0.1</v>
      </c>
      <c r="K226" s="9" t="n">
        <v>-0.05</v>
      </c>
      <c r="L226" s="9" t="n">
        <v>0.05</v>
      </c>
      <c r="M226" s="8" t="n">
        <v>1</v>
      </c>
      <c r="N226" s="8" t="inlineStr">
        <is>
          <t>1x I-350 ยาว 22 ม.</t>
        </is>
      </c>
      <c r="O226" s="8">
        <f>F226*G226*H226</f>
        <v/>
      </c>
      <c r="P226" s="8">
        <f>2*(F226+G226)*H226</f>
        <v/>
      </c>
      <c r="Q226" s="8">
        <f>IF(L226&gt;0,(F226+2*0.1)*(G226+2*0.1)*L226,0)</f>
        <v/>
      </c>
      <c r="R226" s="8">
        <f>(F226+0.2)*(G226+0.2)*0.1</f>
        <v/>
      </c>
      <c r="S226" s="8">
        <f>(F226+0.2)*(G226+0.2)*0.05</f>
        <v/>
      </c>
      <c r="T226" s="8">
        <f>INDEX('2-ฐานราก เหล็กเสริม'!$S:$S,MATCH(B226,'2-ฐานราก เหล็กเสริม'!$A:$A,0))</f>
        <v/>
      </c>
      <c r="U226" s="8" t="inlineStr">
        <is>
          <t>M24</t>
        </is>
      </c>
      <c r="V226" s="10" t="inlineStr">
        <is>
          <t>แบบ S201 (ตำแหน่ง) / ระดับรอยืนยัน</t>
        </is>
      </c>
    </row>
    <row r="227">
      <c r="A227" s="8" t="inlineStr">
        <is>
          <t>F1P-178</t>
        </is>
      </c>
      <c r="B227" s="8" t="inlineStr">
        <is>
          <t>F1P</t>
        </is>
      </c>
      <c r="C227" s="8" t="inlineStr">
        <is>
          <t>10-1.51/E+1.51</t>
        </is>
      </c>
      <c r="D227" s="9" t="n">
        <v>52.493</v>
      </c>
      <c r="E227" s="9" t="n">
        <v>25.508</v>
      </c>
      <c r="F227" s="9" t="n">
        <v>1</v>
      </c>
      <c r="G227" s="9" t="n">
        <v>1</v>
      </c>
      <c r="H227" s="9" t="n">
        <v>0.2</v>
      </c>
      <c r="I227" s="9" t="n">
        <v>0.3</v>
      </c>
      <c r="J227" s="9" t="n">
        <v>0.1</v>
      </c>
      <c r="K227" s="9" t="n">
        <v>-0.05</v>
      </c>
      <c r="L227" s="9" t="n">
        <v>0.05</v>
      </c>
      <c r="M227" s="8" t="n">
        <v>1</v>
      </c>
      <c r="N227" s="8" t="inlineStr">
        <is>
          <t>1x I-350 ยาว 22 ม.</t>
        </is>
      </c>
      <c r="O227" s="8">
        <f>F227*G227*H227</f>
        <v/>
      </c>
      <c r="P227" s="8">
        <f>2*(F227+G227)*H227</f>
        <v/>
      </c>
      <c r="Q227" s="8">
        <f>IF(L227&gt;0,(F227+2*0.1)*(G227+2*0.1)*L227,0)</f>
        <v/>
      </c>
      <c r="R227" s="8">
        <f>(F227+0.2)*(G227+0.2)*0.1</f>
        <v/>
      </c>
      <c r="S227" s="8">
        <f>(F227+0.2)*(G227+0.2)*0.05</f>
        <v/>
      </c>
      <c r="T227" s="8">
        <f>INDEX('2-ฐานราก เหล็กเสริม'!$S:$S,MATCH(B227,'2-ฐานราก เหล็กเสริม'!$A:$A,0))</f>
        <v/>
      </c>
      <c r="U227" s="8" t="inlineStr">
        <is>
          <t>M24</t>
        </is>
      </c>
      <c r="V227" s="10" t="inlineStr">
        <is>
          <t>แบบ S201 (ตำแหน่ง) / ระดับรอยืนยัน</t>
        </is>
      </c>
    </row>
    <row r="228">
      <c r="A228" s="8" t="inlineStr">
        <is>
          <t>F1P-179</t>
        </is>
      </c>
      <c r="B228" s="8" t="inlineStr">
        <is>
          <t>F1P</t>
        </is>
      </c>
      <c r="C228" s="8" t="inlineStr">
        <is>
          <t>10+1.49/E+1.51</t>
        </is>
      </c>
      <c r="D228" s="9" t="n">
        <v>55.492</v>
      </c>
      <c r="E228" s="9" t="n">
        <v>25.508</v>
      </c>
      <c r="F228" s="9" t="n">
        <v>1</v>
      </c>
      <c r="G228" s="9" t="n">
        <v>1</v>
      </c>
      <c r="H228" s="9" t="n">
        <v>0.2</v>
      </c>
      <c r="I228" s="9" t="n">
        <v>0.3</v>
      </c>
      <c r="J228" s="9" t="n">
        <v>0.1</v>
      </c>
      <c r="K228" s="9" t="n">
        <v>-0.05</v>
      </c>
      <c r="L228" s="9" t="n">
        <v>0.05</v>
      </c>
      <c r="M228" s="8" t="n">
        <v>1</v>
      </c>
      <c r="N228" s="8" t="inlineStr">
        <is>
          <t>1x I-350 ยาว 22 ม.</t>
        </is>
      </c>
      <c r="O228" s="8">
        <f>F228*G228*H228</f>
        <v/>
      </c>
      <c r="P228" s="8">
        <f>2*(F228+G228)*H228</f>
        <v/>
      </c>
      <c r="Q228" s="8">
        <f>IF(L228&gt;0,(F228+2*0.1)*(G228+2*0.1)*L228,0)</f>
        <v/>
      </c>
      <c r="R228" s="8">
        <f>(F228+0.2)*(G228+0.2)*0.1</f>
        <v/>
      </c>
      <c r="S228" s="8">
        <f>(F228+0.2)*(G228+0.2)*0.05</f>
        <v/>
      </c>
      <c r="T228" s="8">
        <f>INDEX('2-ฐานราก เหล็กเสริม'!$S:$S,MATCH(B228,'2-ฐานราก เหล็กเสริม'!$A:$A,0))</f>
        <v/>
      </c>
      <c r="U228" s="8" t="inlineStr">
        <is>
          <t>M24</t>
        </is>
      </c>
      <c r="V228" s="10" t="inlineStr">
        <is>
          <t>แบบ S201 (ตำแหน่ง) / ระดับรอยืนยัน</t>
        </is>
      </c>
    </row>
    <row r="229">
      <c r="A229" s="8" t="inlineStr">
        <is>
          <t>F1P-180</t>
        </is>
      </c>
      <c r="B229" s="8" t="inlineStr">
        <is>
          <t>F1P</t>
        </is>
      </c>
      <c r="C229" s="8" t="inlineStr">
        <is>
          <t>11-1.51/E+1.51</t>
        </is>
      </c>
      <c r="D229" s="9" t="n">
        <v>58.49</v>
      </c>
      <c r="E229" s="9" t="n">
        <v>25.508</v>
      </c>
      <c r="F229" s="9" t="n">
        <v>1</v>
      </c>
      <c r="G229" s="9" t="n">
        <v>1</v>
      </c>
      <c r="H229" s="9" t="n">
        <v>0.2</v>
      </c>
      <c r="I229" s="9" t="n">
        <v>0.3</v>
      </c>
      <c r="J229" s="9" t="n">
        <v>0.1</v>
      </c>
      <c r="K229" s="9" t="n">
        <v>-0.05</v>
      </c>
      <c r="L229" s="9" t="n">
        <v>0.05</v>
      </c>
      <c r="M229" s="8" t="n">
        <v>1</v>
      </c>
      <c r="N229" s="8" t="inlineStr">
        <is>
          <t>1x I-350 ยาว 22 ม.</t>
        </is>
      </c>
      <c r="O229" s="8">
        <f>F229*G229*H229</f>
        <v/>
      </c>
      <c r="P229" s="8">
        <f>2*(F229+G229)*H229</f>
        <v/>
      </c>
      <c r="Q229" s="8">
        <f>IF(L229&gt;0,(F229+2*0.1)*(G229+2*0.1)*L229,0)</f>
        <v/>
      </c>
      <c r="R229" s="8">
        <f>(F229+0.2)*(G229+0.2)*0.1</f>
        <v/>
      </c>
      <c r="S229" s="8">
        <f>(F229+0.2)*(G229+0.2)*0.05</f>
        <v/>
      </c>
      <c r="T229" s="8">
        <f>INDEX('2-ฐานราก เหล็กเสริม'!$S:$S,MATCH(B229,'2-ฐานราก เหล็กเสริม'!$A:$A,0))</f>
        <v/>
      </c>
      <c r="U229" s="8" t="inlineStr">
        <is>
          <t>M24</t>
        </is>
      </c>
      <c r="V229" s="10" t="inlineStr">
        <is>
          <t>แบบ S201 (ตำแหน่ง) / ระดับรอยืนยัน</t>
        </is>
      </c>
    </row>
    <row r="230">
      <c r="A230" s="8" t="inlineStr">
        <is>
          <t>F1P-181</t>
        </is>
      </c>
      <c r="B230" s="8" t="inlineStr">
        <is>
          <t>F1P</t>
        </is>
      </c>
      <c r="C230" s="8" t="inlineStr">
        <is>
          <t>1+1.49/F-1.49</t>
        </is>
      </c>
      <c r="D230" s="9" t="n">
        <v>1.487</v>
      </c>
      <c r="E230" s="9" t="n">
        <v>28.513</v>
      </c>
      <c r="F230" s="9" t="n">
        <v>1</v>
      </c>
      <c r="G230" s="9" t="n">
        <v>1</v>
      </c>
      <c r="H230" s="9" t="n">
        <v>0.2</v>
      </c>
      <c r="I230" s="9" t="n">
        <v>0.3</v>
      </c>
      <c r="J230" s="9" t="n">
        <v>0.1</v>
      </c>
      <c r="K230" s="9" t="n">
        <v>-0.05</v>
      </c>
      <c r="L230" s="9" t="n">
        <v>0.05</v>
      </c>
      <c r="M230" s="8" t="n">
        <v>1</v>
      </c>
      <c r="N230" s="8" t="inlineStr">
        <is>
          <t>1x I-350 ยาว 22 ม.</t>
        </is>
      </c>
      <c r="O230" s="8">
        <f>F230*G230*H230</f>
        <v/>
      </c>
      <c r="P230" s="8">
        <f>2*(F230+G230)*H230</f>
        <v/>
      </c>
      <c r="Q230" s="8">
        <f>IF(L230&gt;0,(F230+2*0.1)*(G230+2*0.1)*L230,0)</f>
        <v/>
      </c>
      <c r="R230" s="8">
        <f>(F230+0.2)*(G230+0.2)*0.1</f>
        <v/>
      </c>
      <c r="S230" s="8">
        <f>(F230+0.2)*(G230+0.2)*0.05</f>
        <v/>
      </c>
      <c r="T230" s="8">
        <f>INDEX('2-ฐานราก เหล็กเสริม'!$S:$S,MATCH(B230,'2-ฐานราก เหล็กเสริม'!$A:$A,0))</f>
        <v/>
      </c>
      <c r="U230" s="8" t="inlineStr">
        <is>
          <t>M24</t>
        </is>
      </c>
      <c r="V230" s="10" t="inlineStr">
        <is>
          <t>แบบ S201 (ตำแหน่ง) / ระดับรอยืนยัน</t>
        </is>
      </c>
    </row>
    <row r="231">
      <c r="A231" s="8" t="inlineStr">
        <is>
          <t>F1P-182</t>
        </is>
      </c>
      <c r="B231" s="8" t="inlineStr">
        <is>
          <t>F1P</t>
        </is>
      </c>
      <c r="C231" s="8" t="inlineStr">
        <is>
          <t>2-1.51/F-1.49</t>
        </is>
      </c>
      <c r="D231" s="9" t="n">
        <v>4.485</v>
      </c>
      <c r="E231" s="9" t="n">
        <v>28.513</v>
      </c>
      <c r="F231" s="9" t="n">
        <v>1</v>
      </c>
      <c r="G231" s="9" t="n">
        <v>1</v>
      </c>
      <c r="H231" s="9" t="n">
        <v>0.2</v>
      </c>
      <c r="I231" s="9" t="n">
        <v>0.3</v>
      </c>
      <c r="J231" s="9" t="n">
        <v>0.1</v>
      </c>
      <c r="K231" s="9" t="n">
        <v>-0.05</v>
      </c>
      <c r="L231" s="9" t="n">
        <v>0.05</v>
      </c>
      <c r="M231" s="8" t="n">
        <v>1</v>
      </c>
      <c r="N231" s="8" t="inlineStr">
        <is>
          <t>1x I-350 ยาว 22 ม.</t>
        </is>
      </c>
      <c r="O231" s="8">
        <f>F231*G231*H231</f>
        <v/>
      </c>
      <c r="P231" s="8">
        <f>2*(F231+G231)*H231</f>
        <v/>
      </c>
      <c r="Q231" s="8">
        <f>IF(L231&gt;0,(F231+2*0.1)*(G231+2*0.1)*L231,0)</f>
        <v/>
      </c>
      <c r="R231" s="8">
        <f>(F231+0.2)*(G231+0.2)*0.1</f>
        <v/>
      </c>
      <c r="S231" s="8">
        <f>(F231+0.2)*(G231+0.2)*0.05</f>
        <v/>
      </c>
      <c r="T231" s="8">
        <f>INDEX('2-ฐานราก เหล็กเสริม'!$S:$S,MATCH(B231,'2-ฐานราก เหล็กเสริม'!$A:$A,0))</f>
        <v/>
      </c>
      <c r="U231" s="8" t="inlineStr">
        <is>
          <t>M24</t>
        </is>
      </c>
      <c r="V231" s="10" t="inlineStr">
        <is>
          <t>แบบ S201 (ตำแหน่ง) / ระดับรอยืนยัน</t>
        </is>
      </c>
    </row>
    <row r="232">
      <c r="A232" s="8" t="inlineStr">
        <is>
          <t>F1P-183</t>
        </is>
      </c>
      <c r="B232" s="8" t="inlineStr">
        <is>
          <t>F1P</t>
        </is>
      </c>
      <c r="C232" s="8" t="inlineStr">
        <is>
          <t>2+1.49/F-1.49</t>
        </is>
      </c>
      <c r="D232" s="9" t="n">
        <v>7.491</v>
      </c>
      <c r="E232" s="9" t="n">
        <v>28.513</v>
      </c>
      <c r="F232" s="9" t="n">
        <v>1</v>
      </c>
      <c r="G232" s="9" t="n">
        <v>1</v>
      </c>
      <c r="H232" s="9" t="n">
        <v>0.2</v>
      </c>
      <c r="I232" s="9" t="n">
        <v>0.3</v>
      </c>
      <c r="J232" s="9" t="n">
        <v>0.1</v>
      </c>
      <c r="K232" s="9" t="n">
        <v>-0.05</v>
      </c>
      <c r="L232" s="9" t="n">
        <v>0.05</v>
      </c>
      <c r="M232" s="8" t="n">
        <v>1</v>
      </c>
      <c r="N232" s="8" t="inlineStr">
        <is>
          <t>1x I-350 ยาว 22 ม.</t>
        </is>
      </c>
      <c r="O232" s="8">
        <f>F232*G232*H232</f>
        <v/>
      </c>
      <c r="P232" s="8">
        <f>2*(F232+G232)*H232</f>
        <v/>
      </c>
      <c r="Q232" s="8">
        <f>IF(L232&gt;0,(F232+2*0.1)*(G232+2*0.1)*L232,0)</f>
        <v/>
      </c>
      <c r="R232" s="8">
        <f>(F232+0.2)*(G232+0.2)*0.1</f>
        <v/>
      </c>
      <c r="S232" s="8">
        <f>(F232+0.2)*(G232+0.2)*0.05</f>
        <v/>
      </c>
      <c r="T232" s="8">
        <f>INDEX('2-ฐานราก เหล็กเสริม'!$S:$S,MATCH(B232,'2-ฐานราก เหล็กเสริม'!$A:$A,0))</f>
        <v/>
      </c>
      <c r="U232" s="8" t="inlineStr">
        <is>
          <t>M24</t>
        </is>
      </c>
      <c r="V232" s="10" t="inlineStr">
        <is>
          <t>แบบ S201 (ตำแหน่ง) / ระดับรอยืนยัน</t>
        </is>
      </c>
    </row>
    <row r="233">
      <c r="A233" s="8" t="inlineStr">
        <is>
          <t>F1P-184</t>
        </is>
      </c>
      <c r="B233" s="8" t="inlineStr">
        <is>
          <t>F1P</t>
        </is>
      </c>
      <c r="C233" s="8" t="inlineStr">
        <is>
          <t>3-1.51/F-1.49</t>
        </is>
      </c>
      <c r="D233" s="9" t="n">
        <v>10.49</v>
      </c>
      <c r="E233" s="9" t="n">
        <v>28.513</v>
      </c>
      <c r="F233" s="9" t="n">
        <v>1</v>
      </c>
      <c r="G233" s="9" t="n">
        <v>1</v>
      </c>
      <c r="H233" s="9" t="n">
        <v>0.2</v>
      </c>
      <c r="I233" s="9" t="n">
        <v>0.3</v>
      </c>
      <c r="J233" s="9" t="n">
        <v>0.1</v>
      </c>
      <c r="K233" s="9" t="n">
        <v>-0.05</v>
      </c>
      <c r="L233" s="9" t="n">
        <v>0.05</v>
      </c>
      <c r="M233" s="8" t="n">
        <v>1</v>
      </c>
      <c r="N233" s="8" t="inlineStr">
        <is>
          <t>1x I-350 ยาว 22 ม.</t>
        </is>
      </c>
      <c r="O233" s="8">
        <f>F233*G233*H233</f>
        <v/>
      </c>
      <c r="P233" s="8">
        <f>2*(F233+G233)*H233</f>
        <v/>
      </c>
      <c r="Q233" s="8">
        <f>IF(L233&gt;0,(F233+2*0.1)*(G233+2*0.1)*L233,0)</f>
        <v/>
      </c>
      <c r="R233" s="8">
        <f>(F233+0.2)*(G233+0.2)*0.1</f>
        <v/>
      </c>
      <c r="S233" s="8">
        <f>(F233+0.2)*(G233+0.2)*0.05</f>
        <v/>
      </c>
      <c r="T233" s="8">
        <f>INDEX('2-ฐานราก เหล็กเสริม'!$S:$S,MATCH(B233,'2-ฐานราก เหล็กเสริม'!$A:$A,0))</f>
        <v/>
      </c>
      <c r="U233" s="8" t="inlineStr">
        <is>
          <t>M24</t>
        </is>
      </c>
      <c r="V233" s="10" t="inlineStr">
        <is>
          <t>แบบ S201 (ตำแหน่ง) / ระดับรอยืนยัน</t>
        </is>
      </c>
    </row>
    <row r="234">
      <c r="A234" s="8" t="inlineStr">
        <is>
          <t>F1P-185</t>
        </is>
      </c>
      <c r="B234" s="8" t="inlineStr">
        <is>
          <t>F1P</t>
        </is>
      </c>
      <c r="C234" s="8" t="inlineStr">
        <is>
          <t>3+1.49/F-1.49</t>
        </is>
      </c>
      <c r="D234" s="9" t="n">
        <v>13.488</v>
      </c>
      <c r="E234" s="9" t="n">
        <v>28.513</v>
      </c>
      <c r="F234" s="9" t="n">
        <v>1</v>
      </c>
      <c r="G234" s="9" t="n">
        <v>1</v>
      </c>
      <c r="H234" s="9" t="n">
        <v>0.2</v>
      </c>
      <c r="I234" s="9" t="n">
        <v>0.3</v>
      </c>
      <c r="J234" s="9" t="n">
        <v>0.1</v>
      </c>
      <c r="K234" s="9" t="n">
        <v>-0.05</v>
      </c>
      <c r="L234" s="9" t="n">
        <v>0.05</v>
      </c>
      <c r="M234" s="8" t="n">
        <v>1</v>
      </c>
      <c r="N234" s="8" t="inlineStr">
        <is>
          <t>1x I-350 ยาว 22 ม.</t>
        </is>
      </c>
      <c r="O234" s="8">
        <f>F234*G234*H234</f>
        <v/>
      </c>
      <c r="P234" s="8">
        <f>2*(F234+G234)*H234</f>
        <v/>
      </c>
      <c r="Q234" s="8">
        <f>IF(L234&gt;0,(F234+2*0.1)*(G234+2*0.1)*L234,0)</f>
        <v/>
      </c>
      <c r="R234" s="8">
        <f>(F234+0.2)*(G234+0.2)*0.1</f>
        <v/>
      </c>
      <c r="S234" s="8">
        <f>(F234+0.2)*(G234+0.2)*0.05</f>
        <v/>
      </c>
      <c r="T234" s="8">
        <f>INDEX('2-ฐานราก เหล็กเสริม'!$S:$S,MATCH(B234,'2-ฐานราก เหล็กเสริม'!$A:$A,0))</f>
        <v/>
      </c>
      <c r="U234" s="8" t="inlineStr">
        <is>
          <t>M24</t>
        </is>
      </c>
      <c r="V234" s="10" t="inlineStr">
        <is>
          <t>แบบ S201 (ตำแหน่ง) / ระดับรอยืนยัน</t>
        </is>
      </c>
    </row>
    <row r="235">
      <c r="A235" s="8" t="inlineStr">
        <is>
          <t>F1P-186</t>
        </is>
      </c>
      <c r="B235" s="8" t="inlineStr">
        <is>
          <t>F1P</t>
        </is>
      </c>
      <c r="C235" s="8" t="inlineStr">
        <is>
          <t>4-1.51/F-1.49</t>
        </is>
      </c>
      <c r="D235" s="9" t="n">
        <v>16.487</v>
      </c>
      <c r="E235" s="9" t="n">
        <v>28.513</v>
      </c>
      <c r="F235" s="9" t="n">
        <v>1</v>
      </c>
      <c r="G235" s="9" t="n">
        <v>1</v>
      </c>
      <c r="H235" s="9" t="n">
        <v>0.2</v>
      </c>
      <c r="I235" s="9" t="n">
        <v>0.3</v>
      </c>
      <c r="J235" s="9" t="n">
        <v>0.1</v>
      </c>
      <c r="K235" s="9" t="n">
        <v>-0.05</v>
      </c>
      <c r="L235" s="9" t="n">
        <v>0.05</v>
      </c>
      <c r="M235" s="8" t="n">
        <v>1</v>
      </c>
      <c r="N235" s="8" t="inlineStr">
        <is>
          <t>1x I-350 ยาว 22 ม.</t>
        </is>
      </c>
      <c r="O235" s="8">
        <f>F235*G235*H235</f>
        <v/>
      </c>
      <c r="P235" s="8">
        <f>2*(F235+G235)*H235</f>
        <v/>
      </c>
      <c r="Q235" s="8">
        <f>IF(L235&gt;0,(F235+2*0.1)*(G235+2*0.1)*L235,0)</f>
        <v/>
      </c>
      <c r="R235" s="8">
        <f>(F235+0.2)*(G235+0.2)*0.1</f>
        <v/>
      </c>
      <c r="S235" s="8">
        <f>(F235+0.2)*(G235+0.2)*0.05</f>
        <v/>
      </c>
      <c r="T235" s="8">
        <f>INDEX('2-ฐานราก เหล็กเสริม'!$S:$S,MATCH(B235,'2-ฐานราก เหล็กเสริม'!$A:$A,0))</f>
        <v/>
      </c>
      <c r="U235" s="8" t="inlineStr">
        <is>
          <t>M24</t>
        </is>
      </c>
      <c r="V235" s="10" t="inlineStr">
        <is>
          <t>แบบ S201 (ตำแหน่ง) / ระดับรอยืนยัน</t>
        </is>
      </c>
    </row>
    <row r="236">
      <c r="A236" s="8" t="inlineStr">
        <is>
          <t>F1P-187</t>
        </is>
      </c>
      <c r="B236" s="8" t="inlineStr">
        <is>
          <t>F1P</t>
        </is>
      </c>
      <c r="C236" s="8" t="inlineStr">
        <is>
          <t>4+1.49/F-1.49</t>
        </is>
      </c>
      <c r="D236" s="9" t="n">
        <v>19.486</v>
      </c>
      <c r="E236" s="9" t="n">
        <v>28.513</v>
      </c>
      <c r="F236" s="9" t="n">
        <v>1</v>
      </c>
      <c r="G236" s="9" t="n">
        <v>1</v>
      </c>
      <c r="H236" s="9" t="n">
        <v>0.2</v>
      </c>
      <c r="I236" s="9" t="n">
        <v>0.3</v>
      </c>
      <c r="J236" s="9" t="n">
        <v>0.1</v>
      </c>
      <c r="K236" s="9" t="n">
        <v>-0.05</v>
      </c>
      <c r="L236" s="9" t="n">
        <v>0.05</v>
      </c>
      <c r="M236" s="8" t="n">
        <v>1</v>
      </c>
      <c r="N236" s="8" t="inlineStr">
        <is>
          <t>1x I-350 ยาว 22 ม.</t>
        </is>
      </c>
      <c r="O236" s="8">
        <f>F236*G236*H236</f>
        <v/>
      </c>
      <c r="P236" s="8">
        <f>2*(F236+G236)*H236</f>
        <v/>
      </c>
      <c r="Q236" s="8">
        <f>IF(L236&gt;0,(F236+2*0.1)*(G236+2*0.1)*L236,0)</f>
        <v/>
      </c>
      <c r="R236" s="8">
        <f>(F236+0.2)*(G236+0.2)*0.1</f>
        <v/>
      </c>
      <c r="S236" s="8">
        <f>(F236+0.2)*(G236+0.2)*0.05</f>
        <v/>
      </c>
      <c r="T236" s="8">
        <f>INDEX('2-ฐานราก เหล็กเสริม'!$S:$S,MATCH(B236,'2-ฐานราก เหล็กเสริม'!$A:$A,0))</f>
        <v/>
      </c>
      <c r="U236" s="8" t="inlineStr">
        <is>
          <t>M24</t>
        </is>
      </c>
      <c r="V236" s="10" t="inlineStr">
        <is>
          <t>แบบ S201 (ตำแหน่ง) / ระดับรอยืนยัน</t>
        </is>
      </c>
    </row>
    <row r="237">
      <c r="A237" s="8" t="inlineStr">
        <is>
          <t>F1P-188</t>
        </is>
      </c>
      <c r="B237" s="8" t="inlineStr">
        <is>
          <t>F1P</t>
        </is>
      </c>
      <c r="C237" s="8" t="inlineStr">
        <is>
          <t>5-1.51/F-1.49</t>
        </is>
      </c>
      <c r="D237" s="9" t="n">
        <v>22.491</v>
      </c>
      <c r="E237" s="9" t="n">
        <v>28.513</v>
      </c>
      <c r="F237" s="9" t="n">
        <v>1</v>
      </c>
      <c r="G237" s="9" t="n">
        <v>1</v>
      </c>
      <c r="H237" s="9" t="n">
        <v>0.2</v>
      </c>
      <c r="I237" s="9" t="n">
        <v>0.3</v>
      </c>
      <c r="J237" s="9" t="n">
        <v>0.1</v>
      </c>
      <c r="K237" s="9" t="n">
        <v>-0.05</v>
      </c>
      <c r="L237" s="9" t="n">
        <v>0.05</v>
      </c>
      <c r="M237" s="8" t="n">
        <v>1</v>
      </c>
      <c r="N237" s="8" t="inlineStr">
        <is>
          <t>1x I-350 ยาว 22 ม.</t>
        </is>
      </c>
      <c r="O237" s="8">
        <f>F237*G237*H237</f>
        <v/>
      </c>
      <c r="P237" s="8">
        <f>2*(F237+G237)*H237</f>
        <v/>
      </c>
      <c r="Q237" s="8">
        <f>IF(L237&gt;0,(F237+2*0.1)*(G237+2*0.1)*L237,0)</f>
        <v/>
      </c>
      <c r="R237" s="8">
        <f>(F237+0.2)*(G237+0.2)*0.1</f>
        <v/>
      </c>
      <c r="S237" s="8">
        <f>(F237+0.2)*(G237+0.2)*0.05</f>
        <v/>
      </c>
      <c r="T237" s="8">
        <f>INDEX('2-ฐานราก เหล็กเสริม'!$S:$S,MATCH(B237,'2-ฐานราก เหล็กเสริม'!$A:$A,0))</f>
        <v/>
      </c>
      <c r="U237" s="8" t="inlineStr">
        <is>
          <t>M24</t>
        </is>
      </c>
      <c r="V237" s="10" t="inlineStr">
        <is>
          <t>แบบ S201 (ตำแหน่ง) / ระดับรอยืนยัน</t>
        </is>
      </c>
    </row>
    <row r="238">
      <c r="A238" s="8" t="inlineStr">
        <is>
          <t>F1P-189</t>
        </is>
      </c>
      <c r="B238" s="8" t="inlineStr">
        <is>
          <t>F1P</t>
        </is>
      </c>
      <c r="C238" s="8" t="inlineStr">
        <is>
          <t>5+1.49/F-1.49</t>
        </is>
      </c>
      <c r="D238" s="9" t="n">
        <v>25.49</v>
      </c>
      <c r="E238" s="9" t="n">
        <v>28.513</v>
      </c>
      <c r="F238" s="9" t="n">
        <v>1</v>
      </c>
      <c r="G238" s="9" t="n">
        <v>1</v>
      </c>
      <c r="H238" s="9" t="n">
        <v>0.2</v>
      </c>
      <c r="I238" s="9" t="n">
        <v>0.3</v>
      </c>
      <c r="J238" s="9" t="n">
        <v>0.1</v>
      </c>
      <c r="K238" s="9" t="n">
        <v>-0.05</v>
      </c>
      <c r="L238" s="9" t="n">
        <v>0.05</v>
      </c>
      <c r="M238" s="8" t="n">
        <v>1</v>
      </c>
      <c r="N238" s="8" t="inlineStr">
        <is>
          <t>1x I-350 ยาว 22 ม.</t>
        </is>
      </c>
      <c r="O238" s="8">
        <f>F238*G238*H238</f>
        <v/>
      </c>
      <c r="P238" s="8">
        <f>2*(F238+G238)*H238</f>
        <v/>
      </c>
      <c r="Q238" s="8">
        <f>IF(L238&gt;0,(F238+2*0.1)*(G238+2*0.1)*L238,0)</f>
        <v/>
      </c>
      <c r="R238" s="8">
        <f>(F238+0.2)*(G238+0.2)*0.1</f>
        <v/>
      </c>
      <c r="S238" s="8">
        <f>(F238+0.2)*(G238+0.2)*0.05</f>
        <v/>
      </c>
      <c r="T238" s="8">
        <f>INDEX('2-ฐานราก เหล็กเสริม'!$S:$S,MATCH(B238,'2-ฐานราก เหล็กเสริม'!$A:$A,0))</f>
        <v/>
      </c>
      <c r="U238" s="8" t="inlineStr">
        <is>
          <t>M24</t>
        </is>
      </c>
      <c r="V238" s="10" t="inlineStr">
        <is>
          <t>แบบ S201 (ตำแหน่ง) / ระดับรอยืนยัน</t>
        </is>
      </c>
    </row>
    <row r="239">
      <c r="A239" s="8" t="inlineStr">
        <is>
          <t>F1P-190</t>
        </is>
      </c>
      <c r="B239" s="8" t="inlineStr">
        <is>
          <t>F1P</t>
        </is>
      </c>
      <c r="C239" s="8" t="inlineStr">
        <is>
          <t>6-1.51/F-1.49</t>
        </is>
      </c>
      <c r="D239" s="9" t="n">
        <v>28.489</v>
      </c>
      <c r="E239" s="9" t="n">
        <v>28.513</v>
      </c>
      <c r="F239" s="9" t="n">
        <v>1</v>
      </c>
      <c r="G239" s="9" t="n">
        <v>1</v>
      </c>
      <c r="H239" s="9" t="n">
        <v>0.2</v>
      </c>
      <c r="I239" s="9" t="n">
        <v>0.3</v>
      </c>
      <c r="J239" s="9" t="n">
        <v>0.1</v>
      </c>
      <c r="K239" s="9" t="n">
        <v>-0.05</v>
      </c>
      <c r="L239" s="9" t="n">
        <v>0.05</v>
      </c>
      <c r="M239" s="8" t="n">
        <v>1</v>
      </c>
      <c r="N239" s="8" t="inlineStr">
        <is>
          <t>1x I-350 ยาว 22 ม.</t>
        </is>
      </c>
      <c r="O239" s="8">
        <f>F239*G239*H239</f>
        <v/>
      </c>
      <c r="P239" s="8">
        <f>2*(F239+G239)*H239</f>
        <v/>
      </c>
      <c r="Q239" s="8">
        <f>IF(L239&gt;0,(F239+2*0.1)*(G239+2*0.1)*L239,0)</f>
        <v/>
      </c>
      <c r="R239" s="8">
        <f>(F239+0.2)*(G239+0.2)*0.1</f>
        <v/>
      </c>
      <c r="S239" s="8">
        <f>(F239+0.2)*(G239+0.2)*0.05</f>
        <v/>
      </c>
      <c r="T239" s="8">
        <f>INDEX('2-ฐานราก เหล็กเสริม'!$S:$S,MATCH(B239,'2-ฐานราก เหล็กเสริม'!$A:$A,0))</f>
        <v/>
      </c>
      <c r="U239" s="8" t="inlineStr">
        <is>
          <t>M24</t>
        </is>
      </c>
      <c r="V239" s="10" t="inlineStr">
        <is>
          <t>แบบ S201 (ตำแหน่ง) / ระดับรอยืนยัน</t>
        </is>
      </c>
    </row>
    <row r="240">
      <c r="A240" s="8" t="inlineStr">
        <is>
          <t>F1P-191</t>
        </is>
      </c>
      <c r="B240" s="8" t="inlineStr">
        <is>
          <t>F1P</t>
        </is>
      </c>
      <c r="C240" s="8" t="inlineStr">
        <is>
          <t>6+1.49/F-1.49</t>
        </is>
      </c>
      <c r="D240" s="9" t="n">
        <v>31.488</v>
      </c>
      <c r="E240" s="9" t="n">
        <v>28.513</v>
      </c>
      <c r="F240" s="9" t="n">
        <v>1</v>
      </c>
      <c r="G240" s="9" t="n">
        <v>1</v>
      </c>
      <c r="H240" s="9" t="n">
        <v>0.2</v>
      </c>
      <c r="I240" s="9" t="n">
        <v>0.3</v>
      </c>
      <c r="J240" s="9" t="n">
        <v>0.1</v>
      </c>
      <c r="K240" s="9" t="n">
        <v>-0.05</v>
      </c>
      <c r="L240" s="9" t="n">
        <v>0.05</v>
      </c>
      <c r="M240" s="8" t="n">
        <v>1</v>
      </c>
      <c r="N240" s="8" t="inlineStr">
        <is>
          <t>1x I-350 ยาว 22 ม.</t>
        </is>
      </c>
      <c r="O240" s="8">
        <f>F240*G240*H240</f>
        <v/>
      </c>
      <c r="P240" s="8">
        <f>2*(F240+G240)*H240</f>
        <v/>
      </c>
      <c r="Q240" s="8">
        <f>IF(L240&gt;0,(F240+2*0.1)*(G240+2*0.1)*L240,0)</f>
        <v/>
      </c>
      <c r="R240" s="8">
        <f>(F240+0.2)*(G240+0.2)*0.1</f>
        <v/>
      </c>
      <c r="S240" s="8">
        <f>(F240+0.2)*(G240+0.2)*0.05</f>
        <v/>
      </c>
      <c r="T240" s="8">
        <f>INDEX('2-ฐานราก เหล็กเสริม'!$S:$S,MATCH(B240,'2-ฐานราก เหล็กเสริม'!$A:$A,0))</f>
        <v/>
      </c>
      <c r="U240" s="8" t="inlineStr">
        <is>
          <t>M24</t>
        </is>
      </c>
      <c r="V240" s="10" t="inlineStr">
        <is>
          <t>แบบ S201 (ตำแหน่ง) / ระดับรอยืนยัน</t>
        </is>
      </c>
    </row>
    <row r="241">
      <c r="A241" s="8" t="inlineStr">
        <is>
          <t>F1P-192</t>
        </is>
      </c>
      <c r="B241" s="8" t="inlineStr">
        <is>
          <t>F1P</t>
        </is>
      </c>
      <c r="C241" s="8" t="inlineStr">
        <is>
          <t>7-1.51/F-1.49</t>
        </is>
      </c>
      <c r="D241" s="9" t="n">
        <v>34.493</v>
      </c>
      <c r="E241" s="9" t="n">
        <v>28.513</v>
      </c>
      <c r="F241" s="9" t="n">
        <v>1</v>
      </c>
      <c r="G241" s="9" t="n">
        <v>1</v>
      </c>
      <c r="H241" s="9" t="n">
        <v>0.2</v>
      </c>
      <c r="I241" s="9" t="n">
        <v>0.3</v>
      </c>
      <c r="J241" s="9" t="n">
        <v>0.1</v>
      </c>
      <c r="K241" s="9" t="n">
        <v>-0.05</v>
      </c>
      <c r="L241" s="9" t="n">
        <v>0.05</v>
      </c>
      <c r="M241" s="8" t="n">
        <v>1</v>
      </c>
      <c r="N241" s="8" t="inlineStr">
        <is>
          <t>1x I-350 ยาว 22 ม.</t>
        </is>
      </c>
      <c r="O241" s="8">
        <f>F241*G241*H241</f>
        <v/>
      </c>
      <c r="P241" s="8">
        <f>2*(F241+G241)*H241</f>
        <v/>
      </c>
      <c r="Q241" s="8">
        <f>IF(L241&gt;0,(F241+2*0.1)*(G241+2*0.1)*L241,0)</f>
        <v/>
      </c>
      <c r="R241" s="8">
        <f>(F241+0.2)*(G241+0.2)*0.1</f>
        <v/>
      </c>
      <c r="S241" s="8">
        <f>(F241+0.2)*(G241+0.2)*0.05</f>
        <v/>
      </c>
      <c r="T241" s="8">
        <f>INDEX('2-ฐานราก เหล็กเสริม'!$S:$S,MATCH(B241,'2-ฐานราก เหล็กเสริม'!$A:$A,0))</f>
        <v/>
      </c>
      <c r="U241" s="8" t="inlineStr">
        <is>
          <t>M24</t>
        </is>
      </c>
      <c r="V241" s="10" t="inlineStr">
        <is>
          <t>แบบ S201 (ตำแหน่ง) / ระดับรอยืนยัน</t>
        </is>
      </c>
    </row>
    <row r="242">
      <c r="A242" s="8" t="inlineStr">
        <is>
          <t>F1P-193</t>
        </is>
      </c>
      <c r="B242" s="8" t="inlineStr">
        <is>
          <t>F1P</t>
        </is>
      </c>
      <c r="C242" s="8" t="inlineStr">
        <is>
          <t>7+1.49/F-1.49</t>
        </is>
      </c>
      <c r="D242" s="9" t="n">
        <v>37.492</v>
      </c>
      <c r="E242" s="9" t="n">
        <v>28.513</v>
      </c>
      <c r="F242" s="9" t="n">
        <v>1</v>
      </c>
      <c r="G242" s="9" t="n">
        <v>1</v>
      </c>
      <c r="H242" s="9" t="n">
        <v>0.2</v>
      </c>
      <c r="I242" s="9" t="n">
        <v>0.3</v>
      </c>
      <c r="J242" s="9" t="n">
        <v>0.1</v>
      </c>
      <c r="K242" s="9" t="n">
        <v>-0.05</v>
      </c>
      <c r="L242" s="9" t="n">
        <v>0.05</v>
      </c>
      <c r="M242" s="8" t="n">
        <v>1</v>
      </c>
      <c r="N242" s="8" t="inlineStr">
        <is>
          <t>1x I-350 ยาว 22 ม.</t>
        </is>
      </c>
      <c r="O242" s="8">
        <f>F242*G242*H242</f>
        <v/>
      </c>
      <c r="P242" s="8">
        <f>2*(F242+G242)*H242</f>
        <v/>
      </c>
      <c r="Q242" s="8">
        <f>IF(L242&gt;0,(F242+2*0.1)*(G242+2*0.1)*L242,0)</f>
        <v/>
      </c>
      <c r="R242" s="8">
        <f>(F242+0.2)*(G242+0.2)*0.1</f>
        <v/>
      </c>
      <c r="S242" s="8">
        <f>(F242+0.2)*(G242+0.2)*0.05</f>
        <v/>
      </c>
      <c r="T242" s="8">
        <f>INDEX('2-ฐานราก เหล็กเสริม'!$S:$S,MATCH(B242,'2-ฐานราก เหล็กเสริม'!$A:$A,0))</f>
        <v/>
      </c>
      <c r="U242" s="8" t="inlineStr">
        <is>
          <t>M24</t>
        </is>
      </c>
      <c r="V242" s="10" t="inlineStr">
        <is>
          <t>แบบ S201 (ตำแหน่ง) / ระดับรอยืนยัน</t>
        </is>
      </c>
    </row>
    <row r="243">
      <c r="A243" s="8" t="inlineStr">
        <is>
          <t>F1P-194</t>
        </is>
      </c>
      <c r="B243" s="8" t="inlineStr">
        <is>
          <t>F1P</t>
        </is>
      </c>
      <c r="C243" s="8" t="inlineStr">
        <is>
          <t>8-1.51/F-1.49</t>
        </is>
      </c>
      <c r="D243" s="9" t="n">
        <v>40.491</v>
      </c>
      <c r="E243" s="9" t="n">
        <v>28.513</v>
      </c>
      <c r="F243" s="9" t="n">
        <v>1</v>
      </c>
      <c r="G243" s="9" t="n">
        <v>1</v>
      </c>
      <c r="H243" s="9" t="n">
        <v>0.2</v>
      </c>
      <c r="I243" s="9" t="n">
        <v>0.3</v>
      </c>
      <c r="J243" s="9" t="n">
        <v>0.1</v>
      </c>
      <c r="K243" s="9" t="n">
        <v>-0.05</v>
      </c>
      <c r="L243" s="9" t="n">
        <v>0.05</v>
      </c>
      <c r="M243" s="8" t="n">
        <v>1</v>
      </c>
      <c r="N243" s="8" t="inlineStr">
        <is>
          <t>1x I-350 ยาว 22 ม.</t>
        </is>
      </c>
      <c r="O243" s="8">
        <f>F243*G243*H243</f>
        <v/>
      </c>
      <c r="P243" s="8">
        <f>2*(F243+G243)*H243</f>
        <v/>
      </c>
      <c r="Q243" s="8">
        <f>IF(L243&gt;0,(F243+2*0.1)*(G243+2*0.1)*L243,0)</f>
        <v/>
      </c>
      <c r="R243" s="8">
        <f>(F243+0.2)*(G243+0.2)*0.1</f>
        <v/>
      </c>
      <c r="S243" s="8">
        <f>(F243+0.2)*(G243+0.2)*0.05</f>
        <v/>
      </c>
      <c r="T243" s="8">
        <f>INDEX('2-ฐานราก เหล็กเสริม'!$S:$S,MATCH(B243,'2-ฐานราก เหล็กเสริม'!$A:$A,0))</f>
        <v/>
      </c>
      <c r="U243" s="8" t="inlineStr">
        <is>
          <t>M24</t>
        </is>
      </c>
      <c r="V243" s="10" t="inlineStr">
        <is>
          <t>แบบ S201 (ตำแหน่ง) / ระดับรอยืนยัน</t>
        </is>
      </c>
    </row>
    <row r="244">
      <c r="A244" s="8" t="inlineStr">
        <is>
          <t>F1P-195</t>
        </is>
      </c>
      <c r="B244" s="8" t="inlineStr">
        <is>
          <t>F1P</t>
        </is>
      </c>
      <c r="C244" s="8" t="inlineStr">
        <is>
          <t>8+1.49/F-1.49</t>
        </is>
      </c>
      <c r="D244" s="9" t="n">
        <v>43.49</v>
      </c>
      <c r="E244" s="9" t="n">
        <v>28.513</v>
      </c>
      <c r="F244" s="9" t="n">
        <v>1</v>
      </c>
      <c r="G244" s="9" t="n">
        <v>1</v>
      </c>
      <c r="H244" s="9" t="n">
        <v>0.2</v>
      </c>
      <c r="I244" s="9" t="n">
        <v>0.3</v>
      </c>
      <c r="J244" s="9" t="n">
        <v>0.1</v>
      </c>
      <c r="K244" s="9" t="n">
        <v>-0.05</v>
      </c>
      <c r="L244" s="9" t="n">
        <v>0.05</v>
      </c>
      <c r="M244" s="8" t="n">
        <v>1</v>
      </c>
      <c r="N244" s="8" t="inlineStr">
        <is>
          <t>1x I-350 ยาว 22 ม.</t>
        </is>
      </c>
      <c r="O244" s="8">
        <f>F244*G244*H244</f>
        <v/>
      </c>
      <c r="P244" s="8">
        <f>2*(F244+G244)*H244</f>
        <v/>
      </c>
      <c r="Q244" s="8">
        <f>IF(L244&gt;0,(F244+2*0.1)*(G244+2*0.1)*L244,0)</f>
        <v/>
      </c>
      <c r="R244" s="8">
        <f>(F244+0.2)*(G244+0.2)*0.1</f>
        <v/>
      </c>
      <c r="S244" s="8">
        <f>(F244+0.2)*(G244+0.2)*0.05</f>
        <v/>
      </c>
      <c r="T244" s="8">
        <f>INDEX('2-ฐานราก เหล็กเสริม'!$S:$S,MATCH(B244,'2-ฐานราก เหล็กเสริม'!$A:$A,0))</f>
        <v/>
      </c>
      <c r="U244" s="8" t="inlineStr">
        <is>
          <t>M24</t>
        </is>
      </c>
      <c r="V244" s="10" t="inlineStr">
        <is>
          <t>แบบ S201 (ตำแหน่ง) / ระดับรอยืนยัน</t>
        </is>
      </c>
    </row>
    <row r="245">
      <c r="A245" s="8" t="inlineStr">
        <is>
          <t>F1P-196</t>
        </is>
      </c>
      <c r="B245" s="8" t="inlineStr">
        <is>
          <t>F1P</t>
        </is>
      </c>
      <c r="C245" s="8" t="inlineStr">
        <is>
          <t>9-1.51/F-1.49</t>
        </is>
      </c>
      <c r="D245" s="9" t="n">
        <v>46.495</v>
      </c>
      <c r="E245" s="9" t="n">
        <v>28.513</v>
      </c>
      <c r="F245" s="9" t="n">
        <v>1</v>
      </c>
      <c r="G245" s="9" t="n">
        <v>1</v>
      </c>
      <c r="H245" s="9" t="n">
        <v>0.2</v>
      </c>
      <c r="I245" s="9" t="n">
        <v>0.3</v>
      </c>
      <c r="J245" s="9" t="n">
        <v>0.1</v>
      </c>
      <c r="K245" s="9" t="n">
        <v>-0.05</v>
      </c>
      <c r="L245" s="9" t="n">
        <v>0.05</v>
      </c>
      <c r="M245" s="8" t="n">
        <v>1</v>
      </c>
      <c r="N245" s="8" t="inlineStr">
        <is>
          <t>1x I-350 ยาว 22 ม.</t>
        </is>
      </c>
      <c r="O245" s="8">
        <f>F245*G245*H245</f>
        <v/>
      </c>
      <c r="P245" s="8">
        <f>2*(F245+G245)*H245</f>
        <v/>
      </c>
      <c r="Q245" s="8">
        <f>IF(L245&gt;0,(F245+2*0.1)*(G245+2*0.1)*L245,0)</f>
        <v/>
      </c>
      <c r="R245" s="8">
        <f>(F245+0.2)*(G245+0.2)*0.1</f>
        <v/>
      </c>
      <c r="S245" s="8">
        <f>(F245+0.2)*(G245+0.2)*0.05</f>
        <v/>
      </c>
      <c r="T245" s="8">
        <f>INDEX('2-ฐานราก เหล็กเสริม'!$S:$S,MATCH(B245,'2-ฐานราก เหล็กเสริม'!$A:$A,0))</f>
        <v/>
      </c>
      <c r="U245" s="8" t="inlineStr">
        <is>
          <t>M24</t>
        </is>
      </c>
      <c r="V245" s="10" t="inlineStr">
        <is>
          <t>แบบ S201 (ตำแหน่ง) / ระดับรอยืนยัน</t>
        </is>
      </c>
    </row>
    <row r="246">
      <c r="A246" s="8" t="inlineStr">
        <is>
          <t>F1P-197</t>
        </is>
      </c>
      <c r="B246" s="8" t="inlineStr">
        <is>
          <t>F1P</t>
        </is>
      </c>
      <c r="C246" s="8" t="inlineStr">
        <is>
          <t>9+1.49/F-1.49</t>
        </is>
      </c>
      <c r="D246" s="9" t="n">
        <v>49.494</v>
      </c>
      <c r="E246" s="9" t="n">
        <v>28.513</v>
      </c>
      <c r="F246" s="9" t="n">
        <v>1</v>
      </c>
      <c r="G246" s="9" t="n">
        <v>1</v>
      </c>
      <c r="H246" s="9" t="n">
        <v>0.2</v>
      </c>
      <c r="I246" s="9" t="n">
        <v>0.3</v>
      </c>
      <c r="J246" s="9" t="n">
        <v>0.1</v>
      </c>
      <c r="K246" s="9" t="n">
        <v>-0.05</v>
      </c>
      <c r="L246" s="9" t="n">
        <v>0.05</v>
      </c>
      <c r="M246" s="8" t="n">
        <v>1</v>
      </c>
      <c r="N246" s="8" t="inlineStr">
        <is>
          <t>1x I-350 ยาว 22 ม.</t>
        </is>
      </c>
      <c r="O246" s="8">
        <f>F246*G246*H246</f>
        <v/>
      </c>
      <c r="P246" s="8">
        <f>2*(F246+G246)*H246</f>
        <v/>
      </c>
      <c r="Q246" s="8">
        <f>IF(L246&gt;0,(F246+2*0.1)*(G246+2*0.1)*L246,0)</f>
        <v/>
      </c>
      <c r="R246" s="8">
        <f>(F246+0.2)*(G246+0.2)*0.1</f>
        <v/>
      </c>
      <c r="S246" s="8">
        <f>(F246+0.2)*(G246+0.2)*0.05</f>
        <v/>
      </c>
      <c r="T246" s="8">
        <f>INDEX('2-ฐานราก เหล็กเสริม'!$S:$S,MATCH(B246,'2-ฐานราก เหล็กเสริม'!$A:$A,0))</f>
        <v/>
      </c>
      <c r="U246" s="8" t="inlineStr">
        <is>
          <t>M24</t>
        </is>
      </c>
      <c r="V246" s="10" t="inlineStr">
        <is>
          <t>แบบ S201 (ตำแหน่ง) / ระดับรอยืนยัน</t>
        </is>
      </c>
    </row>
    <row r="247">
      <c r="A247" s="8" t="inlineStr">
        <is>
          <t>F1P-198</t>
        </is>
      </c>
      <c r="B247" s="8" t="inlineStr">
        <is>
          <t>F1P</t>
        </is>
      </c>
      <c r="C247" s="8" t="inlineStr">
        <is>
          <t>10-1.51/F-1.49</t>
        </is>
      </c>
      <c r="D247" s="9" t="n">
        <v>52.493</v>
      </c>
      <c r="E247" s="9" t="n">
        <v>28.513</v>
      </c>
      <c r="F247" s="9" t="n">
        <v>1</v>
      </c>
      <c r="G247" s="9" t="n">
        <v>1</v>
      </c>
      <c r="H247" s="9" t="n">
        <v>0.2</v>
      </c>
      <c r="I247" s="9" t="n">
        <v>0.3</v>
      </c>
      <c r="J247" s="9" t="n">
        <v>0.1</v>
      </c>
      <c r="K247" s="9" t="n">
        <v>-0.05</v>
      </c>
      <c r="L247" s="9" t="n">
        <v>0.05</v>
      </c>
      <c r="M247" s="8" t="n">
        <v>1</v>
      </c>
      <c r="N247" s="8" t="inlineStr">
        <is>
          <t>1x I-350 ยาว 22 ม.</t>
        </is>
      </c>
      <c r="O247" s="8">
        <f>F247*G247*H247</f>
        <v/>
      </c>
      <c r="P247" s="8">
        <f>2*(F247+G247)*H247</f>
        <v/>
      </c>
      <c r="Q247" s="8">
        <f>IF(L247&gt;0,(F247+2*0.1)*(G247+2*0.1)*L247,0)</f>
        <v/>
      </c>
      <c r="R247" s="8">
        <f>(F247+0.2)*(G247+0.2)*0.1</f>
        <v/>
      </c>
      <c r="S247" s="8">
        <f>(F247+0.2)*(G247+0.2)*0.05</f>
        <v/>
      </c>
      <c r="T247" s="8">
        <f>INDEX('2-ฐานราก เหล็กเสริม'!$S:$S,MATCH(B247,'2-ฐานราก เหล็กเสริม'!$A:$A,0))</f>
        <v/>
      </c>
      <c r="U247" s="8" t="inlineStr">
        <is>
          <t>M24</t>
        </is>
      </c>
      <c r="V247" s="10" t="inlineStr">
        <is>
          <t>แบบ S201 (ตำแหน่ง) / ระดับรอยืนยัน</t>
        </is>
      </c>
    </row>
    <row r="248">
      <c r="A248" s="8" t="inlineStr">
        <is>
          <t>F1P-199</t>
        </is>
      </c>
      <c r="B248" s="8" t="inlineStr">
        <is>
          <t>F1P</t>
        </is>
      </c>
      <c r="C248" s="8" t="inlineStr">
        <is>
          <t>10+1.49/F-1.49</t>
        </is>
      </c>
      <c r="D248" s="9" t="n">
        <v>55.492</v>
      </c>
      <c r="E248" s="9" t="n">
        <v>28.513</v>
      </c>
      <c r="F248" s="9" t="n">
        <v>1</v>
      </c>
      <c r="G248" s="9" t="n">
        <v>1</v>
      </c>
      <c r="H248" s="9" t="n">
        <v>0.2</v>
      </c>
      <c r="I248" s="9" t="n">
        <v>0.3</v>
      </c>
      <c r="J248" s="9" t="n">
        <v>0.1</v>
      </c>
      <c r="K248" s="9" t="n">
        <v>-0.05</v>
      </c>
      <c r="L248" s="9" t="n">
        <v>0.05</v>
      </c>
      <c r="M248" s="8" t="n">
        <v>1</v>
      </c>
      <c r="N248" s="8" t="inlineStr">
        <is>
          <t>1x I-350 ยาว 22 ม.</t>
        </is>
      </c>
      <c r="O248" s="8">
        <f>F248*G248*H248</f>
        <v/>
      </c>
      <c r="P248" s="8">
        <f>2*(F248+G248)*H248</f>
        <v/>
      </c>
      <c r="Q248" s="8">
        <f>IF(L248&gt;0,(F248+2*0.1)*(G248+2*0.1)*L248,0)</f>
        <v/>
      </c>
      <c r="R248" s="8">
        <f>(F248+0.2)*(G248+0.2)*0.1</f>
        <v/>
      </c>
      <c r="S248" s="8">
        <f>(F248+0.2)*(G248+0.2)*0.05</f>
        <v/>
      </c>
      <c r="T248" s="8">
        <f>INDEX('2-ฐานราก เหล็กเสริม'!$S:$S,MATCH(B248,'2-ฐานราก เหล็กเสริม'!$A:$A,0))</f>
        <v/>
      </c>
      <c r="U248" s="8" t="inlineStr">
        <is>
          <t>M24</t>
        </is>
      </c>
      <c r="V248" s="10" t="inlineStr">
        <is>
          <t>แบบ S201 (ตำแหน่ง) / ระดับรอยืนยัน</t>
        </is>
      </c>
    </row>
    <row r="249">
      <c r="A249" s="8" t="inlineStr">
        <is>
          <t>F1P-200</t>
        </is>
      </c>
      <c r="B249" s="8" t="inlineStr">
        <is>
          <t>F1P</t>
        </is>
      </c>
      <c r="C249" s="8" t="inlineStr">
        <is>
          <t>11-1.51/F-1.49</t>
        </is>
      </c>
      <c r="D249" s="9" t="n">
        <v>58.49</v>
      </c>
      <c r="E249" s="9" t="n">
        <v>28.513</v>
      </c>
      <c r="F249" s="9" t="n">
        <v>1</v>
      </c>
      <c r="G249" s="9" t="n">
        <v>1</v>
      </c>
      <c r="H249" s="9" t="n">
        <v>0.2</v>
      </c>
      <c r="I249" s="9" t="n">
        <v>0.3</v>
      </c>
      <c r="J249" s="9" t="n">
        <v>0.1</v>
      </c>
      <c r="K249" s="9" t="n">
        <v>-0.05</v>
      </c>
      <c r="L249" s="9" t="n">
        <v>0.05</v>
      </c>
      <c r="M249" s="8" t="n">
        <v>1</v>
      </c>
      <c r="N249" s="8" t="inlineStr">
        <is>
          <t>1x I-350 ยาว 22 ม.</t>
        </is>
      </c>
      <c r="O249" s="8">
        <f>F249*G249*H249</f>
        <v/>
      </c>
      <c r="P249" s="8">
        <f>2*(F249+G249)*H249</f>
        <v/>
      </c>
      <c r="Q249" s="8">
        <f>IF(L249&gt;0,(F249+2*0.1)*(G249+2*0.1)*L249,0)</f>
        <v/>
      </c>
      <c r="R249" s="8">
        <f>(F249+0.2)*(G249+0.2)*0.1</f>
        <v/>
      </c>
      <c r="S249" s="8">
        <f>(F249+0.2)*(G249+0.2)*0.05</f>
        <v/>
      </c>
      <c r="T249" s="8">
        <f>INDEX('2-ฐานราก เหล็กเสริม'!$S:$S,MATCH(B249,'2-ฐานราก เหล็กเสริม'!$A:$A,0))</f>
        <v/>
      </c>
      <c r="U249" s="8" t="inlineStr">
        <is>
          <t>M24</t>
        </is>
      </c>
      <c r="V249" s="10" t="inlineStr">
        <is>
          <t>แบบ S201 (ตำแหน่ง) / ระดับรอยืนยัน</t>
        </is>
      </c>
    </row>
    <row r="250">
      <c r="A250" s="8" t="inlineStr">
        <is>
          <t>F1P-201</t>
        </is>
      </c>
      <c r="B250" s="8" t="inlineStr">
        <is>
          <t>F1P</t>
        </is>
      </c>
      <c r="C250" s="8" t="inlineStr">
        <is>
          <t>1+1.49/F+1.51</t>
        </is>
      </c>
      <c r="D250" s="9" t="n">
        <v>1.487</v>
      </c>
      <c r="E250" s="9" t="n">
        <v>31.512</v>
      </c>
      <c r="F250" s="9" t="n">
        <v>1</v>
      </c>
      <c r="G250" s="9" t="n">
        <v>1</v>
      </c>
      <c r="H250" s="9" t="n">
        <v>0.2</v>
      </c>
      <c r="I250" s="9" t="n">
        <v>0.3</v>
      </c>
      <c r="J250" s="9" t="n">
        <v>0.1</v>
      </c>
      <c r="K250" s="9" t="n">
        <v>-0.05</v>
      </c>
      <c r="L250" s="9" t="n">
        <v>0.05</v>
      </c>
      <c r="M250" s="8" t="n">
        <v>1</v>
      </c>
      <c r="N250" s="8" t="inlineStr">
        <is>
          <t>1x I-350 ยาว 22 ม.</t>
        </is>
      </c>
      <c r="O250" s="8">
        <f>F250*G250*H250</f>
        <v/>
      </c>
      <c r="P250" s="8">
        <f>2*(F250+G250)*H250</f>
        <v/>
      </c>
      <c r="Q250" s="8">
        <f>IF(L250&gt;0,(F250+2*0.1)*(G250+2*0.1)*L250,0)</f>
        <v/>
      </c>
      <c r="R250" s="8">
        <f>(F250+0.2)*(G250+0.2)*0.1</f>
        <v/>
      </c>
      <c r="S250" s="8">
        <f>(F250+0.2)*(G250+0.2)*0.05</f>
        <v/>
      </c>
      <c r="T250" s="8">
        <f>INDEX('2-ฐานราก เหล็กเสริม'!$S:$S,MATCH(B250,'2-ฐานราก เหล็กเสริม'!$A:$A,0))</f>
        <v/>
      </c>
      <c r="U250" s="8" t="inlineStr">
        <is>
          <t>M24</t>
        </is>
      </c>
      <c r="V250" s="10" t="inlineStr">
        <is>
          <t>แบบ S201 (ตำแหน่ง) / ระดับรอยืนยัน</t>
        </is>
      </c>
    </row>
    <row r="251">
      <c r="A251" s="8" t="inlineStr">
        <is>
          <t>F1P-202</t>
        </is>
      </c>
      <c r="B251" s="8" t="inlineStr">
        <is>
          <t>F1P</t>
        </is>
      </c>
      <c r="C251" s="8" t="inlineStr">
        <is>
          <t>2-1.51/F+1.51</t>
        </is>
      </c>
      <c r="D251" s="9" t="n">
        <v>4.485</v>
      </c>
      <c r="E251" s="9" t="n">
        <v>31.512</v>
      </c>
      <c r="F251" s="9" t="n">
        <v>1</v>
      </c>
      <c r="G251" s="9" t="n">
        <v>1</v>
      </c>
      <c r="H251" s="9" t="n">
        <v>0.2</v>
      </c>
      <c r="I251" s="9" t="n">
        <v>0.3</v>
      </c>
      <c r="J251" s="9" t="n">
        <v>0.1</v>
      </c>
      <c r="K251" s="9" t="n">
        <v>-0.05</v>
      </c>
      <c r="L251" s="9" t="n">
        <v>0.05</v>
      </c>
      <c r="M251" s="8" t="n">
        <v>1</v>
      </c>
      <c r="N251" s="8" t="inlineStr">
        <is>
          <t>1x I-350 ยาว 22 ม.</t>
        </is>
      </c>
      <c r="O251" s="8">
        <f>F251*G251*H251</f>
        <v/>
      </c>
      <c r="P251" s="8">
        <f>2*(F251+G251)*H251</f>
        <v/>
      </c>
      <c r="Q251" s="8">
        <f>IF(L251&gt;0,(F251+2*0.1)*(G251+2*0.1)*L251,0)</f>
        <v/>
      </c>
      <c r="R251" s="8">
        <f>(F251+0.2)*(G251+0.2)*0.1</f>
        <v/>
      </c>
      <c r="S251" s="8">
        <f>(F251+0.2)*(G251+0.2)*0.05</f>
        <v/>
      </c>
      <c r="T251" s="8">
        <f>INDEX('2-ฐานราก เหล็กเสริม'!$S:$S,MATCH(B251,'2-ฐานราก เหล็กเสริม'!$A:$A,0))</f>
        <v/>
      </c>
      <c r="U251" s="8" t="inlineStr">
        <is>
          <t>M24</t>
        </is>
      </c>
      <c r="V251" s="10" t="inlineStr">
        <is>
          <t>แบบ S201 (ตำแหน่ง) / ระดับรอยืนยัน</t>
        </is>
      </c>
    </row>
    <row r="252">
      <c r="A252" s="8" t="inlineStr">
        <is>
          <t>F1P-203</t>
        </is>
      </c>
      <c r="B252" s="8" t="inlineStr">
        <is>
          <t>F1P</t>
        </is>
      </c>
      <c r="C252" s="8" t="inlineStr">
        <is>
          <t>2+1.49/F+1.51</t>
        </is>
      </c>
      <c r="D252" s="9" t="n">
        <v>7.491</v>
      </c>
      <c r="E252" s="9" t="n">
        <v>31.512</v>
      </c>
      <c r="F252" s="9" t="n">
        <v>1</v>
      </c>
      <c r="G252" s="9" t="n">
        <v>1</v>
      </c>
      <c r="H252" s="9" t="n">
        <v>0.2</v>
      </c>
      <c r="I252" s="9" t="n">
        <v>0.3</v>
      </c>
      <c r="J252" s="9" t="n">
        <v>0.1</v>
      </c>
      <c r="K252" s="9" t="n">
        <v>-0.05</v>
      </c>
      <c r="L252" s="9" t="n">
        <v>0.05</v>
      </c>
      <c r="M252" s="8" t="n">
        <v>1</v>
      </c>
      <c r="N252" s="8" t="inlineStr">
        <is>
          <t>1x I-350 ยาว 22 ม.</t>
        </is>
      </c>
      <c r="O252" s="8">
        <f>F252*G252*H252</f>
        <v/>
      </c>
      <c r="P252" s="8">
        <f>2*(F252+G252)*H252</f>
        <v/>
      </c>
      <c r="Q252" s="8">
        <f>IF(L252&gt;0,(F252+2*0.1)*(G252+2*0.1)*L252,0)</f>
        <v/>
      </c>
      <c r="R252" s="8">
        <f>(F252+0.2)*(G252+0.2)*0.1</f>
        <v/>
      </c>
      <c r="S252" s="8">
        <f>(F252+0.2)*(G252+0.2)*0.05</f>
        <v/>
      </c>
      <c r="T252" s="8">
        <f>INDEX('2-ฐานราก เหล็กเสริม'!$S:$S,MATCH(B252,'2-ฐานราก เหล็กเสริม'!$A:$A,0))</f>
        <v/>
      </c>
      <c r="U252" s="8" t="inlineStr">
        <is>
          <t>M24</t>
        </is>
      </c>
      <c r="V252" s="10" t="inlineStr">
        <is>
          <t>แบบ S201 (ตำแหน่ง) / ระดับรอยืนยัน</t>
        </is>
      </c>
    </row>
    <row r="253">
      <c r="A253" s="8" t="inlineStr">
        <is>
          <t>F1P-204</t>
        </is>
      </c>
      <c r="B253" s="8" t="inlineStr">
        <is>
          <t>F1P</t>
        </is>
      </c>
      <c r="C253" s="8" t="inlineStr">
        <is>
          <t>3-1.51/F+1.51</t>
        </is>
      </c>
      <c r="D253" s="9" t="n">
        <v>10.49</v>
      </c>
      <c r="E253" s="9" t="n">
        <v>31.512</v>
      </c>
      <c r="F253" s="9" t="n">
        <v>1</v>
      </c>
      <c r="G253" s="9" t="n">
        <v>1</v>
      </c>
      <c r="H253" s="9" t="n">
        <v>0.2</v>
      </c>
      <c r="I253" s="9" t="n">
        <v>0.3</v>
      </c>
      <c r="J253" s="9" t="n">
        <v>0.1</v>
      </c>
      <c r="K253" s="9" t="n">
        <v>-0.05</v>
      </c>
      <c r="L253" s="9" t="n">
        <v>0.05</v>
      </c>
      <c r="M253" s="8" t="n">
        <v>1</v>
      </c>
      <c r="N253" s="8" t="inlineStr">
        <is>
          <t>1x I-350 ยาว 22 ม.</t>
        </is>
      </c>
      <c r="O253" s="8">
        <f>F253*G253*H253</f>
        <v/>
      </c>
      <c r="P253" s="8">
        <f>2*(F253+G253)*H253</f>
        <v/>
      </c>
      <c r="Q253" s="8">
        <f>IF(L253&gt;0,(F253+2*0.1)*(G253+2*0.1)*L253,0)</f>
        <v/>
      </c>
      <c r="R253" s="8">
        <f>(F253+0.2)*(G253+0.2)*0.1</f>
        <v/>
      </c>
      <c r="S253" s="8">
        <f>(F253+0.2)*(G253+0.2)*0.05</f>
        <v/>
      </c>
      <c r="T253" s="8">
        <f>INDEX('2-ฐานราก เหล็กเสริม'!$S:$S,MATCH(B253,'2-ฐานราก เหล็กเสริม'!$A:$A,0))</f>
        <v/>
      </c>
      <c r="U253" s="8" t="inlineStr">
        <is>
          <t>M24</t>
        </is>
      </c>
      <c r="V253" s="10" t="inlineStr">
        <is>
          <t>แบบ S201 (ตำแหน่ง) / ระดับรอยืนยัน</t>
        </is>
      </c>
    </row>
    <row r="254">
      <c r="A254" s="8" t="inlineStr">
        <is>
          <t>F1P-205</t>
        </is>
      </c>
      <c r="B254" s="8" t="inlineStr">
        <is>
          <t>F1P</t>
        </is>
      </c>
      <c r="C254" s="8" t="inlineStr">
        <is>
          <t>3+1.49/F+1.51</t>
        </is>
      </c>
      <c r="D254" s="9" t="n">
        <v>13.488</v>
      </c>
      <c r="E254" s="9" t="n">
        <v>31.512</v>
      </c>
      <c r="F254" s="9" t="n">
        <v>1</v>
      </c>
      <c r="G254" s="9" t="n">
        <v>1</v>
      </c>
      <c r="H254" s="9" t="n">
        <v>0.2</v>
      </c>
      <c r="I254" s="9" t="n">
        <v>0.3</v>
      </c>
      <c r="J254" s="9" t="n">
        <v>0.1</v>
      </c>
      <c r="K254" s="9" t="n">
        <v>-0.05</v>
      </c>
      <c r="L254" s="9" t="n">
        <v>0.05</v>
      </c>
      <c r="M254" s="8" t="n">
        <v>1</v>
      </c>
      <c r="N254" s="8" t="inlineStr">
        <is>
          <t>1x I-350 ยาว 22 ม.</t>
        </is>
      </c>
      <c r="O254" s="8">
        <f>F254*G254*H254</f>
        <v/>
      </c>
      <c r="P254" s="8">
        <f>2*(F254+G254)*H254</f>
        <v/>
      </c>
      <c r="Q254" s="8">
        <f>IF(L254&gt;0,(F254+2*0.1)*(G254+2*0.1)*L254,0)</f>
        <v/>
      </c>
      <c r="R254" s="8">
        <f>(F254+0.2)*(G254+0.2)*0.1</f>
        <v/>
      </c>
      <c r="S254" s="8">
        <f>(F254+0.2)*(G254+0.2)*0.05</f>
        <v/>
      </c>
      <c r="T254" s="8">
        <f>INDEX('2-ฐานราก เหล็กเสริม'!$S:$S,MATCH(B254,'2-ฐานราก เหล็กเสริม'!$A:$A,0))</f>
        <v/>
      </c>
      <c r="U254" s="8" t="inlineStr">
        <is>
          <t>M24</t>
        </is>
      </c>
      <c r="V254" s="10" t="inlineStr">
        <is>
          <t>แบบ S201 (ตำแหน่ง) / ระดับรอยืนยัน</t>
        </is>
      </c>
    </row>
    <row r="255">
      <c r="A255" s="8" t="inlineStr">
        <is>
          <t>F1P-206</t>
        </is>
      </c>
      <c r="B255" s="8" t="inlineStr">
        <is>
          <t>F1P</t>
        </is>
      </c>
      <c r="C255" s="8" t="inlineStr">
        <is>
          <t>4-1.51/F+1.51</t>
        </is>
      </c>
      <c r="D255" s="9" t="n">
        <v>16.487</v>
      </c>
      <c r="E255" s="9" t="n">
        <v>31.512</v>
      </c>
      <c r="F255" s="9" t="n">
        <v>1</v>
      </c>
      <c r="G255" s="9" t="n">
        <v>1</v>
      </c>
      <c r="H255" s="9" t="n">
        <v>0.2</v>
      </c>
      <c r="I255" s="9" t="n">
        <v>0.3</v>
      </c>
      <c r="J255" s="9" t="n">
        <v>0.1</v>
      </c>
      <c r="K255" s="9" t="n">
        <v>-0.05</v>
      </c>
      <c r="L255" s="9" t="n">
        <v>0.05</v>
      </c>
      <c r="M255" s="8" t="n">
        <v>1</v>
      </c>
      <c r="N255" s="8" t="inlineStr">
        <is>
          <t>1x I-350 ยาว 22 ม.</t>
        </is>
      </c>
      <c r="O255" s="8">
        <f>F255*G255*H255</f>
        <v/>
      </c>
      <c r="P255" s="8">
        <f>2*(F255+G255)*H255</f>
        <v/>
      </c>
      <c r="Q255" s="8">
        <f>IF(L255&gt;0,(F255+2*0.1)*(G255+2*0.1)*L255,0)</f>
        <v/>
      </c>
      <c r="R255" s="8">
        <f>(F255+0.2)*(G255+0.2)*0.1</f>
        <v/>
      </c>
      <c r="S255" s="8">
        <f>(F255+0.2)*(G255+0.2)*0.05</f>
        <v/>
      </c>
      <c r="T255" s="8">
        <f>INDEX('2-ฐานราก เหล็กเสริม'!$S:$S,MATCH(B255,'2-ฐานราก เหล็กเสริม'!$A:$A,0))</f>
        <v/>
      </c>
      <c r="U255" s="8" t="inlineStr">
        <is>
          <t>M24</t>
        </is>
      </c>
      <c r="V255" s="10" t="inlineStr">
        <is>
          <t>แบบ S201 (ตำแหน่ง) / ระดับรอยืนยัน</t>
        </is>
      </c>
    </row>
    <row r="256">
      <c r="A256" s="8" t="inlineStr">
        <is>
          <t>F1P-207</t>
        </is>
      </c>
      <c r="B256" s="8" t="inlineStr">
        <is>
          <t>F1P</t>
        </is>
      </c>
      <c r="C256" s="8" t="inlineStr">
        <is>
          <t>4+1.49/F+1.51</t>
        </is>
      </c>
      <c r="D256" s="9" t="n">
        <v>19.486</v>
      </c>
      <c r="E256" s="9" t="n">
        <v>31.512</v>
      </c>
      <c r="F256" s="9" t="n">
        <v>1</v>
      </c>
      <c r="G256" s="9" t="n">
        <v>1</v>
      </c>
      <c r="H256" s="9" t="n">
        <v>0.2</v>
      </c>
      <c r="I256" s="9" t="n">
        <v>0.3</v>
      </c>
      <c r="J256" s="9" t="n">
        <v>0.1</v>
      </c>
      <c r="K256" s="9" t="n">
        <v>-0.05</v>
      </c>
      <c r="L256" s="9" t="n">
        <v>0.05</v>
      </c>
      <c r="M256" s="8" t="n">
        <v>1</v>
      </c>
      <c r="N256" s="8" t="inlineStr">
        <is>
          <t>1x I-350 ยาว 22 ม.</t>
        </is>
      </c>
      <c r="O256" s="8">
        <f>F256*G256*H256</f>
        <v/>
      </c>
      <c r="P256" s="8">
        <f>2*(F256+G256)*H256</f>
        <v/>
      </c>
      <c r="Q256" s="8">
        <f>IF(L256&gt;0,(F256+2*0.1)*(G256+2*0.1)*L256,0)</f>
        <v/>
      </c>
      <c r="R256" s="8">
        <f>(F256+0.2)*(G256+0.2)*0.1</f>
        <v/>
      </c>
      <c r="S256" s="8">
        <f>(F256+0.2)*(G256+0.2)*0.05</f>
        <v/>
      </c>
      <c r="T256" s="8">
        <f>INDEX('2-ฐานราก เหล็กเสริม'!$S:$S,MATCH(B256,'2-ฐานราก เหล็กเสริม'!$A:$A,0))</f>
        <v/>
      </c>
      <c r="U256" s="8" t="inlineStr">
        <is>
          <t>M24</t>
        </is>
      </c>
      <c r="V256" s="10" t="inlineStr">
        <is>
          <t>แบบ S201 (ตำแหน่ง) / ระดับรอยืนยัน</t>
        </is>
      </c>
    </row>
    <row r="257">
      <c r="A257" s="8" t="inlineStr">
        <is>
          <t>F1P-208</t>
        </is>
      </c>
      <c r="B257" s="8" t="inlineStr">
        <is>
          <t>F1P</t>
        </is>
      </c>
      <c r="C257" s="8" t="inlineStr">
        <is>
          <t>5-1.51/F+1.51</t>
        </is>
      </c>
      <c r="D257" s="9" t="n">
        <v>22.491</v>
      </c>
      <c r="E257" s="9" t="n">
        <v>31.512</v>
      </c>
      <c r="F257" s="9" t="n">
        <v>1</v>
      </c>
      <c r="G257" s="9" t="n">
        <v>1</v>
      </c>
      <c r="H257" s="9" t="n">
        <v>0.2</v>
      </c>
      <c r="I257" s="9" t="n">
        <v>0.3</v>
      </c>
      <c r="J257" s="9" t="n">
        <v>0.1</v>
      </c>
      <c r="K257" s="9" t="n">
        <v>-0.05</v>
      </c>
      <c r="L257" s="9" t="n">
        <v>0.05</v>
      </c>
      <c r="M257" s="8" t="n">
        <v>1</v>
      </c>
      <c r="N257" s="8" t="inlineStr">
        <is>
          <t>1x I-350 ยาว 22 ม.</t>
        </is>
      </c>
      <c r="O257" s="8">
        <f>F257*G257*H257</f>
        <v/>
      </c>
      <c r="P257" s="8">
        <f>2*(F257+G257)*H257</f>
        <v/>
      </c>
      <c r="Q257" s="8">
        <f>IF(L257&gt;0,(F257+2*0.1)*(G257+2*0.1)*L257,0)</f>
        <v/>
      </c>
      <c r="R257" s="8">
        <f>(F257+0.2)*(G257+0.2)*0.1</f>
        <v/>
      </c>
      <c r="S257" s="8">
        <f>(F257+0.2)*(G257+0.2)*0.05</f>
        <v/>
      </c>
      <c r="T257" s="8">
        <f>INDEX('2-ฐานราก เหล็กเสริม'!$S:$S,MATCH(B257,'2-ฐานราก เหล็กเสริม'!$A:$A,0))</f>
        <v/>
      </c>
      <c r="U257" s="8" t="inlineStr">
        <is>
          <t>M24</t>
        </is>
      </c>
      <c r="V257" s="10" t="inlineStr">
        <is>
          <t>แบบ S201 (ตำแหน่ง) / ระดับรอยืนยัน</t>
        </is>
      </c>
    </row>
    <row r="258">
      <c r="A258" s="8" t="inlineStr">
        <is>
          <t>F1P-209</t>
        </is>
      </c>
      <c r="B258" s="8" t="inlineStr">
        <is>
          <t>F1P</t>
        </is>
      </c>
      <c r="C258" s="8" t="inlineStr">
        <is>
          <t>5+1.49/F+1.51</t>
        </is>
      </c>
      <c r="D258" s="9" t="n">
        <v>25.49</v>
      </c>
      <c r="E258" s="9" t="n">
        <v>31.512</v>
      </c>
      <c r="F258" s="9" t="n">
        <v>1</v>
      </c>
      <c r="G258" s="9" t="n">
        <v>1</v>
      </c>
      <c r="H258" s="9" t="n">
        <v>0.2</v>
      </c>
      <c r="I258" s="9" t="n">
        <v>0.3</v>
      </c>
      <c r="J258" s="9" t="n">
        <v>0.1</v>
      </c>
      <c r="K258" s="9" t="n">
        <v>-0.05</v>
      </c>
      <c r="L258" s="9" t="n">
        <v>0.05</v>
      </c>
      <c r="M258" s="8" t="n">
        <v>1</v>
      </c>
      <c r="N258" s="8" t="inlineStr">
        <is>
          <t>1x I-350 ยาว 22 ม.</t>
        </is>
      </c>
      <c r="O258" s="8">
        <f>F258*G258*H258</f>
        <v/>
      </c>
      <c r="P258" s="8">
        <f>2*(F258+G258)*H258</f>
        <v/>
      </c>
      <c r="Q258" s="8">
        <f>IF(L258&gt;0,(F258+2*0.1)*(G258+2*0.1)*L258,0)</f>
        <v/>
      </c>
      <c r="R258" s="8">
        <f>(F258+0.2)*(G258+0.2)*0.1</f>
        <v/>
      </c>
      <c r="S258" s="8">
        <f>(F258+0.2)*(G258+0.2)*0.05</f>
        <v/>
      </c>
      <c r="T258" s="8">
        <f>INDEX('2-ฐานราก เหล็กเสริม'!$S:$S,MATCH(B258,'2-ฐานราก เหล็กเสริม'!$A:$A,0))</f>
        <v/>
      </c>
      <c r="U258" s="8" t="inlineStr">
        <is>
          <t>M24</t>
        </is>
      </c>
      <c r="V258" s="10" t="inlineStr">
        <is>
          <t>แบบ S201 (ตำแหน่ง) / ระดับรอยืนยัน</t>
        </is>
      </c>
    </row>
    <row r="259">
      <c r="A259" s="8" t="inlineStr">
        <is>
          <t>F1P-210</t>
        </is>
      </c>
      <c r="B259" s="8" t="inlineStr">
        <is>
          <t>F1P</t>
        </is>
      </c>
      <c r="C259" s="8" t="inlineStr">
        <is>
          <t>6-1.51/F+1.51</t>
        </is>
      </c>
      <c r="D259" s="9" t="n">
        <v>28.489</v>
      </c>
      <c r="E259" s="9" t="n">
        <v>31.512</v>
      </c>
      <c r="F259" s="9" t="n">
        <v>1</v>
      </c>
      <c r="G259" s="9" t="n">
        <v>1</v>
      </c>
      <c r="H259" s="9" t="n">
        <v>0.2</v>
      </c>
      <c r="I259" s="9" t="n">
        <v>0.3</v>
      </c>
      <c r="J259" s="9" t="n">
        <v>0.1</v>
      </c>
      <c r="K259" s="9" t="n">
        <v>-0.05</v>
      </c>
      <c r="L259" s="9" t="n">
        <v>0.05</v>
      </c>
      <c r="M259" s="8" t="n">
        <v>1</v>
      </c>
      <c r="N259" s="8" t="inlineStr">
        <is>
          <t>1x I-350 ยาว 22 ม.</t>
        </is>
      </c>
      <c r="O259" s="8">
        <f>F259*G259*H259</f>
        <v/>
      </c>
      <c r="P259" s="8">
        <f>2*(F259+G259)*H259</f>
        <v/>
      </c>
      <c r="Q259" s="8">
        <f>IF(L259&gt;0,(F259+2*0.1)*(G259+2*0.1)*L259,0)</f>
        <v/>
      </c>
      <c r="R259" s="8">
        <f>(F259+0.2)*(G259+0.2)*0.1</f>
        <v/>
      </c>
      <c r="S259" s="8">
        <f>(F259+0.2)*(G259+0.2)*0.05</f>
        <v/>
      </c>
      <c r="T259" s="8">
        <f>INDEX('2-ฐานราก เหล็กเสริม'!$S:$S,MATCH(B259,'2-ฐานราก เหล็กเสริม'!$A:$A,0))</f>
        <v/>
      </c>
      <c r="U259" s="8" t="inlineStr">
        <is>
          <t>M24</t>
        </is>
      </c>
      <c r="V259" s="10" t="inlineStr">
        <is>
          <t>แบบ S201 (ตำแหน่ง) / ระดับรอยืนยัน</t>
        </is>
      </c>
    </row>
    <row r="260">
      <c r="A260" s="8" t="inlineStr">
        <is>
          <t>F1P-211</t>
        </is>
      </c>
      <c r="B260" s="8" t="inlineStr">
        <is>
          <t>F1P</t>
        </is>
      </c>
      <c r="C260" s="8" t="inlineStr">
        <is>
          <t>6+1.49/F+1.51</t>
        </is>
      </c>
      <c r="D260" s="9" t="n">
        <v>31.488</v>
      </c>
      <c r="E260" s="9" t="n">
        <v>31.512</v>
      </c>
      <c r="F260" s="9" t="n">
        <v>1</v>
      </c>
      <c r="G260" s="9" t="n">
        <v>1</v>
      </c>
      <c r="H260" s="9" t="n">
        <v>0.2</v>
      </c>
      <c r="I260" s="9" t="n">
        <v>0.3</v>
      </c>
      <c r="J260" s="9" t="n">
        <v>0.1</v>
      </c>
      <c r="K260" s="9" t="n">
        <v>-0.05</v>
      </c>
      <c r="L260" s="9" t="n">
        <v>0.05</v>
      </c>
      <c r="M260" s="8" t="n">
        <v>1</v>
      </c>
      <c r="N260" s="8" t="inlineStr">
        <is>
          <t>1x I-350 ยาว 22 ม.</t>
        </is>
      </c>
      <c r="O260" s="8">
        <f>F260*G260*H260</f>
        <v/>
      </c>
      <c r="P260" s="8">
        <f>2*(F260+G260)*H260</f>
        <v/>
      </c>
      <c r="Q260" s="8">
        <f>IF(L260&gt;0,(F260+2*0.1)*(G260+2*0.1)*L260,0)</f>
        <v/>
      </c>
      <c r="R260" s="8">
        <f>(F260+0.2)*(G260+0.2)*0.1</f>
        <v/>
      </c>
      <c r="S260" s="8">
        <f>(F260+0.2)*(G260+0.2)*0.05</f>
        <v/>
      </c>
      <c r="T260" s="8">
        <f>INDEX('2-ฐานราก เหล็กเสริม'!$S:$S,MATCH(B260,'2-ฐานราก เหล็กเสริม'!$A:$A,0))</f>
        <v/>
      </c>
      <c r="U260" s="8" t="inlineStr">
        <is>
          <t>M24</t>
        </is>
      </c>
      <c r="V260" s="10" t="inlineStr">
        <is>
          <t>แบบ S201 (ตำแหน่ง) / ระดับรอยืนยัน</t>
        </is>
      </c>
    </row>
    <row r="261">
      <c r="A261" s="8" t="inlineStr">
        <is>
          <t>F1P-212</t>
        </is>
      </c>
      <c r="B261" s="8" t="inlineStr">
        <is>
          <t>F1P</t>
        </is>
      </c>
      <c r="C261" s="8" t="inlineStr">
        <is>
          <t>7-1.51/F+1.51</t>
        </is>
      </c>
      <c r="D261" s="9" t="n">
        <v>34.493</v>
      </c>
      <c r="E261" s="9" t="n">
        <v>31.512</v>
      </c>
      <c r="F261" s="9" t="n">
        <v>1</v>
      </c>
      <c r="G261" s="9" t="n">
        <v>1</v>
      </c>
      <c r="H261" s="9" t="n">
        <v>0.2</v>
      </c>
      <c r="I261" s="9" t="n">
        <v>0.3</v>
      </c>
      <c r="J261" s="9" t="n">
        <v>0.1</v>
      </c>
      <c r="K261" s="9" t="n">
        <v>-0.05</v>
      </c>
      <c r="L261" s="9" t="n">
        <v>0.05</v>
      </c>
      <c r="M261" s="8" t="n">
        <v>1</v>
      </c>
      <c r="N261" s="8" t="inlineStr">
        <is>
          <t>1x I-350 ยาว 22 ม.</t>
        </is>
      </c>
      <c r="O261" s="8">
        <f>F261*G261*H261</f>
        <v/>
      </c>
      <c r="P261" s="8">
        <f>2*(F261+G261)*H261</f>
        <v/>
      </c>
      <c r="Q261" s="8">
        <f>IF(L261&gt;0,(F261+2*0.1)*(G261+2*0.1)*L261,0)</f>
        <v/>
      </c>
      <c r="R261" s="8">
        <f>(F261+0.2)*(G261+0.2)*0.1</f>
        <v/>
      </c>
      <c r="S261" s="8">
        <f>(F261+0.2)*(G261+0.2)*0.05</f>
        <v/>
      </c>
      <c r="T261" s="8">
        <f>INDEX('2-ฐานราก เหล็กเสริม'!$S:$S,MATCH(B261,'2-ฐานราก เหล็กเสริม'!$A:$A,0))</f>
        <v/>
      </c>
      <c r="U261" s="8" t="inlineStr">
        <is>
          <t>M24</t>
        </is>
      </c>
      <c r="V261" s="10" t="inlineStr">
        <is>
          <t>แบบ S201 (ตำแหน่ง) / ระดับรอยืนยัน</t>
        </is>
      </c>
    </row>
    <row r="262">
      <c r="A262" s="8" t="inlineStr">
        <is>
          <t>F1P-213</t>
        </is>
      </c>
      <c r="B262" s="8" t="inlineStr">
        <is>
          <t>F1P</t>
        </is>
      </c>
      <c r="C262" s="8" t="inlineStr">
        <is>
          <t>7+1.49/F+1.51</t>
        </is>
      </c>
      <c r="D262" s="9" t="n">
        <v>37.492</v>
      </c>
      <c r="E262" s="9" t="n">
        <v>31.512</v>
      </c>
      <c r="F262" s="9" t="n">
        <v>1</v>
      </c>
      <c r="G262" s="9" t="n">
        <v>1</v>
      </c>
      <c r="H262" s="9" t="n">
        <v>0.2</v>
      </c>
      <c r="I262" s="9" t="n">
        <v>0.3</v>
      </c>
      <c r="J262" s="9" t="n">
        <v>0.1</v>
      </c>
      <c r="K262" s="9" t="n">
        <v>-0.05</v>
      </c>
      <c r="L262" s="9" t="n">
        <v>0.05</v>
      </c>
      <c r="M262" s="8" t="n">
        <v>1</v>
      </c>
      <c r="N262" s="8" t="inlineStr">
        <is>
          <t>1x I-350 ยาว 22 ม.</t>
        </is>
      </c>
      <c r="O262" s="8">
        <f>F262*G262*H262</f>
        <v/>
      </c>
      <c r="P262" s="8">
        <f>2*(F262+G262)*H262</f>
        <v/>
      </c>
      <c r="Q262" s="8">
        <f>IF(L262&gt;0,(F262+2*0.1)*(G262+2*0.1)*L262,0)</f>
        <v/>
      </c>
      <c r="R262" s="8">
        <f>(F262+0.2)*(G262+0.2)*0.1</f>
        <v/>
      </c>
      <c r="S262" s="8">
        <f>(F262+0.2)*(G262+0.2)*0.05</f>
        <v/>
      </c>
      <c r="T262" s="8">
        <f>INDEX('2-ฐานราก เหล็กเสริม'!$S:$S,MATCH(B262,'2-ฐานราก เหล็กเสริม'!$A:$A,0))</f>
        <v/>
      </c>
      <c r="U262" s="8" t="inlineStr">
        <is>
          <t>M24</t>
        </is>
      </c>
      <c r="V262" s="10" t="inlineStr">
        <is>
          <t>แบบ S201 (ตำแหน่ง) / ระดับรอยืนยัน</t>
        </is>
      </c>
    </row>
    <row r="263">
      <c r="A263" s="8" t="inlineStr">
        <is>
          <t>F1P-214</t>
        </is>
      </c>
      <c r="B263" s="8" t="inlineStr">
        <is>
          <t>F1P</t>
        </is>
      </c>
      <c r="C263" s="8" t="inlineStr">
        <is>
          <t>8-1.51/F+1.51</t>
        </is>
      </c>
      <c r="D263" s="9" t="n">
        <v>40.491</v>
      </c>
      <c r="E263" s="9" t="n">
        <v>31.512</v>
      </c>
      <c r="F263" s="9" t="n">
        <v>1</v>
      </c>
      <c r="G263" s="9" t="n">
        <v>1</v>
      </c>
      <c r="H263" s="9" t="n">
        <v>0.2</v>
      </c>
      <c r="I263" s="9" t="n">
        <v>0.3</v>
      </c>
      <c r="J263" s="9" t="n">
        <v>0.1</v>
      </c>
      <c r="K263" s="9" t="n">
        <v>-0.05</v>
      </c>
      <c r="L263" s="9" t="n">
        <v>0.05</v>
      </c>
      <c r="M263" s="8" t="n">
        <v>1</v>
      </c>
      <c r="N263" s="8" t="inlineStr">
        <is>
          <t>1x I-350 ยาว 22 ม.</t>
        </is>
      </c>
      <c r="O263" s="8">
        <f>F263*G263*H263</f>
        <v/>
      </c>
      <c r="P263" s="8">
        <f>2*(F263+G263)*H263</f>
        <v/>
      </c>
      <c r="Q263" s="8">
        <f>IF(L263&gt;0,(F263+2*0.1)*(G263+2*0.1)*L263,0)</f>
        <v/>
      </c>
      <c r="R263" s="8">
        <f>(F263+0.2)*(G263+0.2)*0.1</f>
        <v/>
      </c>
      <c r="S263" s="8">
        <f>(F263+0.2)*(G263+0.2)*0.05</f>
        <v/>
      </c>
      <c r="T263" s="8">
        <f>INDEX('2-ฐานราก เหล็กเสริม'!$S:$S,MATCH(B263,'2-ฐานราก เหล็กเสริม'!$A:$A,0))</f>
        <v/>
      </c>
      <c r="U263" s="8" t="inlineStr">
        <is>
          <t>M24</t>
        </is>
      </c>
      <c r="V263" s="10" t="inlineStr">
        <is>
          <t>แบบ S201 (ตำแหน่ง) / ระดับรอยืนยัน</t>
        </is>
      </c>
    </row>
    <row r="264">
      <c r="A264" s="8" t="inlineStr">
        <is>
          <t>F1P-215</t>
        </is>
      </c>
      <c r="B264" s="8" t="inlineStr">
        <is>
          <t>F1P</t>
        </is>
      </c>
      <c r="C264" s="8" t="inlineStr">
        <is>
          <t>8+1.49/F+1.51</t>
        </is>
      </c>
      <c r="D264" s="9" t="n">
        <v>43.49</v>
      </c>
      <c r="E264" s="9" t="n">
        <v>31.512</v>
      </c>
      <c r="F264" s="9" t="n">
        <v>1</v>
      </c>
      <c r="G264" s="9" t="n">
        <v>1</v>
      </c>
      <c r="H264" s="9" t="n">
        <v>0.2</v>
      </c>
      <c r="I264" s="9" t="n">
        <v>0.3</v>
      </c>
      <c r="J264" s="9" t="n">
        <v>0.1</v>
      </c>
      <c r="K264" s="9" t="n">
        <v>-0.05</v>
      </c>
      <c r="L264" s="9" t="n">
        <v>0.05</v>
      </c>
      <c r="M264" s="8" t="n">
        <v>1</v>
      </c>
      <c r="N264" s="8" t="inlineStr">
        <is>
          <t>1x I-350 ยาว 22 ม.</t>
        </is>
      </c>
      <c r="O264" s="8">
        <f>F264*G264*H264</f>
        <v/>
      </c>
      <c r="P264" s="8">
        <f>2*(F264+G264)*H264</f>
        <v/>
      </c>
      <c r="Q264" s="8">
        <f>IF(L264&gt;0,(F264+2*0.1)*(G264+2*0.1)*L264,0)</f>
        <v/>
      </c>
      <c r="R264" s="8">
        <f>(F264+0.2)*(G264+0.2)*0.1</f>
        <v/>
      </c>
      <c r="S264" s="8">
        <f>(F264+0.2)*(G264+0.2)*0.05</f>
        <v/>
      </c>
      <c r="T264" s="8">
        <f>INDEX('2-ฐานราก เหล็กเสริม'!$S:$S,MATCH(B264,'2-ฐานราก เหล็กเสริม'!$A:$A,0))</f>
        <v/>
      </c>
      <c r="U264" s="8" t="inlineStr">
        <is>
          <t>M24</t>
        </is>
      </c>
      <c r="V264" s="10" t="inlineStr">
        <is>
          <t>แบบ S201 (ตำแหน่ง) / ระดับรอยืนยัน</t>
        </is>
      </c>
    </row>
    <row r="265">
      <c r="A265" s="8" t="inlineStr">
        <is>
          <t>F1P-216</t>
        </is>
      </c>
      <c r="B265" s="8" t="inlineStr">
        <is>
          <t>F1P</t>
        </is>
      </c>
      <c r="C265" s="8" t="inlineStr">
        <is>
          <t>9-1.51/F+1.51</t>
        </is>
      </c>
      <c r="D265" s="9" t="n">
        <v>46.495</v>
      </c>
      <c r="E265" s="9" t="n">
        <v>31.512</v>
      </c>
      <c r="F265" s="9" t="n">
        <v>1</v>
      </c>
      <c r="G265" s="9" t="n">
        <v>1</v>
      </c>
      <c r="H265" s="9" t="n">
        <v>0.2</v>
      </c>
      <c r="I265" s="9" t="n">
        <v>0.3</v>
      </c>
      <c r="J265" s="9" t="n">
        <v>0.1</v>
      </c>
      <c r="K265" s="9" t="n">
        <v>-0.05</v>
      </c>
      <c r="L265" s="9" t="n">
        <v>0.05</v>
      </c>
      <c r="M265" s="8" t="n">
        <v>1</v>
      </c>
      <c r="N265" s="8" t="inlineStr">
        <is>
          <t>1x I-350 ยาว 22 ม.</t>
        </is>
      </c>
      <c r="O265" s="8">
        <f>F265*G265*H265</f>
        <v/>
      </c>
      <c r="P265" s="8">
        <f>2*(F265+G265)*H265</f>
        <v/>
      </c>
      <c r="Q265" s="8">
        <f>IF(L265&gt;0,(F265+2*0.1)*(G265+2*0.1)*L265,0)</f>
        <v/>
      </c>
      <c r="R265" s="8">
        <f>(F265+0.2)*(G265+0.2)*0.1</f>
        <v/>
      </c>
      <c r="S265" s="8">
        <f>(F265+0.2)*(G265+0.2)*0.05</f>
        <v/>
      </c>
      <c r="T265" s="8">
        <f>INDEX('2-ฐานราก เหล็กเสริม'!$S:$S,MATCH(B265,'2-ฐานราก เหล็กเสริม'!$A:$A,0))</f>
        <v/>
      </c>
      <c r="U265" s="8" t="inlineStr">
        <is>
          <t>M24</t>
        </is>
      </c>
      <c r="V265" s="10" t="inlineStr">
        <is>
          <t>แบบ S201 (ตำแหน่ง) / ระดับรอยืนยัน</t>
        </is>
      </c>
    </row>
    <row r="266">
      <c r="A266" s="8" t="inlineStr">
        <is>
          <t>F1P-217</t>
        </is>
      </c>
      <c r="B266" s="8" t="inlineStr">
        <is>
          <t>F1P</t>
        </is>
      </c>
      <c r="C266" s="8" t="inlineStr">
        <is>
          <t>9+1.49/F+1.51</t>
        </is>
      </c>
      <c r="D266" s="9" t="n">
        <v>49.494</v>
      </c>
      <c r="E266" s="9" t="n">
        <v>31.512</v>
      </c>
      <c r="F266" s="9" t="n">
        <v>1</v>
      </c>
      <c r="G266" s="9" t="n">
        <v>1</v>
      </c>
      <c r="H266" s="9" t="n">
        <v>0.2</v>
      </c>
      <c r="I266" s="9" t="n">
        <v>0.3</v>
      </c>
      <c r="J266" s="9" t="n">
        <v>0.1</v>
      </c>
      <c r="K266" s="9" t="n">
        <v>-0.05</v>
      </c>
      <c r="L266" s="9" t="n">
        <v>0.05</v>
      </c>
      <c r="M266" s="8" t="n">
        <v>1</v>
      </c>
      <c r="N266" s="8" t="inlineStr">
        <is>
          <t>1x I-350 ยาว 22 ม.</t>
        </is>
      </c>
      <c r="O266" s="8">
        <f>F266*G266*H266</f>
        <v/>
      </c>
      <c r="P266" s="8">
        <f>2*(F266+G266)*H266</f>
        <v/>
      </c>
      <c r="Q266" s="8">
        <f>IF(L266&gt;0,(F266+2*0.1)*(G266+2*0.1)*L266,0)</f>
        <v/>
      </c>
      <c r="R266" s="8">
        <f>(F266+0.2)*(G266+0.2)*0.1</f>
        <v/>
      </c>
      <c r="S266" s="8">
        <f>(F266+0.2)*(G266+0.2)*0.05</f>
        <v/>
      </c>
      <c r="T266" s="8">
        <f>INDEX('2-ฐานราก เหล็กเสริม'!$S:$S,MATCH(B266,'2-ฐานราก เหล็กเสริม'!$A:$A,0))</f>
        <v/>
      </c>
      <c r="U266" s="8" t="inlineStr">
        <is>
          <t>M24</t>
        </is>
      </c>
      <c r="V266" s="10" t="inlineStr">
        <is>
          <t>แบบ S201 (ตำแหน่ง) / ระดับรอยืนยัน</t>
        </is>
      </c>
    </row>
    <row r="267">
      <c r="A267" s="8" t="inlineStr">
        <is>
          <t>F1P-218</t>
        </is>
      </c>
      <c r="B267" s="8" t="inlineStr">
        <is>
          <t>F1P</t>
        </is>
      </c>
      <c r="C267" s="8" t="inlineStr">
        <is>
          <t>10-1.51/F+1.51</t>
        </is>
      </c>
      <c r="D267" s="9" t="n">
        <v>52.493</v>
      </c>
      <c r="E267" s="9" t="n">
        <v>31.512</v>
      </c>
      <c r="F267" s="9" t="n">
        <v>1</v>
      </c>
      <c r="G267" s="9" t="n">
        <v>1</v>
      </c>
      <c r="H267" s="9" t="n">
        <v>0.2</v>
      </c>
      <c r="I267" s="9" t="n">
        <v>0.3</v>
      </c>
      <c r="J267" s="9" t="n">
        <v>0.1</v>
      </c>
      <c r="K267" s="9" t="n">
        <v>-0.05</v>
      </c>
      <c r="L267" s="9" t="n">
        <v>0.05</v>
      </c>
      <c r="M267" s="8" t="n">
        <v>1</v>
      </c>
      <c r="N267" s="8" t="inlineStr">
        <is>
          <t>1x I-350 ยาว 22 ม.</t>
        </is>
      </c>
      <c r="O267" s="8">
        <f>F267*G267*H267</f>
        <v/>
      </c>
      <c r="P267" s="8">
        <f>2*(F267+G267)*H267</f>
        <v/>
      </c>
      <c r="Q267" s="8">
        <f>IF(L267&gt;0,(F267+2*0.1)*(G267+2*0.1)*L267,0)</f>
        <v/>
      </c>
      <c r="R267" s="8">
        <f>(F267+0.2)*(G267+0.2)*0.1</f>
        <v/>
      </c>
      <c r="S267" s="8">
        <f>(F267+0.2)*(G267+0.2)*0.05</f>
        <v/>
      </c>
      <c r="T267" s="8">
        <f>INDEX('2-ฐานราก เหล็กเสริม'!$S:$S,MATCH(B267,'2-ฐานราก เหล็กเสริม'!$A:$A,0))</f>
        <v/>
      </c>
      <c r="U267" s="8" t="inlineStr">
        <is>
          <t>M24</t>
        </is>
      </c>
      <c r="V267" s="10" t="inlineStr">
        <is>
          <t>แบบ S201 (ตำแหน่ง) / ระดับรอยืนยัน</t>
        </is>
      </c>
    </row>
    <row r="268">
      <c r="A268" s="8" t="inlineStr">
        <is>
          <t>F1P-219</t>
        </is>
      </c>
      <c r="B268" s="8" t="inlineStr">
        <is>
          <t>F1P</t>
        </is>
      </c>
      <c r="C268" s="8" t="inlineStr">
        <is>
          <t>10+1.49/F+1.51</t>
        </is>
      </c>
      <c r="D268" s="9" t="n">
        <v>55.492</v>
      </c>
      <c r="E268" s="9" t="n">
        <v>31.512</v>
      </c>
      <c r="F268" s="9" t="n">
        <v>1</v>
      </c>
      <c r="G268" s="9" t="n">
        <v>1</v>
      </c>
      <c r="H268" s="9" t="n">
        <v>0.2</v>
      </c>
      <c r="I268" s="9" t="n">
        <v>0.3</v>
      </c>
      <c r="J268" s="9" t="n">
        <v>0.1</v>
      </c>
      <c r="K268" s="9" t="n">
        <v>-0.05</v>
      </c>
      <c r="L268" s="9" t="n">
        <v>0.05</v>
      </c>
      <c r="M268" s="8" t="n">
        <v>1</v>
      </c>
      <c r="N268" s="8" t="inlineStr">
        <is>
          <t>1x I-350 ยาว 22 ม.</t>
        </is>
      </c>
      <c r="O268" s="8">
        <f>F268*G268*H268</f>
        <v/>
      </c>
      <c r="P268" s="8">
        <f>2*(F268+G268)*H268</f>
        <v/>
      </c>
      <c r="Q268" s="8">
        <f>IF(L268&gt;0,(F268+2*0.1)*(G268+2*0.1)*L268,0)</f>
        <v/>
      </c>
      <c r="R268" s="8">
        <f>(F268+0.2)*(G268+0.2)*0.1</f>
        <v/>
      </c>
      <c r="S268" s="8">
        <f>(F268+0.2)*(G268+0.2)*0.05</f>
        <v/>
      </c>
      <c r="T268" s="8">
        <f>INDEX('2-ฐานราก เหล็กเสริม'!$S:$S,MATCH(B268,'2-ฐานราก เหล็กเสริม'!$A:$A,0))</f>
        <v/>
      </c>
      <c r="U268" s="8" t="inlineStr">
        <is>
          <t>M24</t>
        </is>
      </c>
      <c r="V268" s="10" t="inlineStr">
        <is>
          <t>แบบ S201 (ตำแหน่ง) / ระดับรอยืนยัน</t>
        </is>
      </c>
    </row>
    <row r="269">
      <c r="A269" s="8" t="inlineStr">
        <is>
          <t>F1P-220</t>
        </is>
      </c>
      <c r="B269" s="8" t="inlineStr">
        <is>
          <t>F1P</t>
        </is>
      </c>
      <c r="C269" s="8" t="inlineStr">
        <is>
          <t>11-1.51/F+1.51</t>
        </is>
      </c>
      <c r="D269" s="9" t="n">
        <v>58.49</v>
      </c>
      <c r="E269" s="9" t="n">
        <v>31.512</v>
      </c>
      <c r="F269" s="9" t="n">
        <v>1</v>
      </c>
      <c r="G269" s="9" t="n">
        <v>1</v>
      </c>
      <c r="H269" s="9" t="n">
        <v>0.2</v>
      </c>
      <c r="I269" s="9" t="n">
        <v>0.3</v>
      </c>
      <c r="J269" s="9" t="n">
        <v>0.1</v>
      </c>
      <c r="K269" s="9" t="n">
        <v>-0.05</v>
      </c>
      <c r="L269" s="9" t="n">
        <v>0.05</v>
      </c>
      <c r="M269" s="8" t="n">
        <v>1</v>
      </c>
      <c r="N269" s="8" t="inlineStr">
        <is>
          <t>1x I-350 ยาว 22 ม.</t>
        </is>
      </c>
      <c r="O269" s="8">
        <f>F269*G269*H269</f>
        <v/>
      </c>
      <c r="P269" s="8">
        <f>2*(F269+G269)*H269</f>
        <v/>
      </c>
      <c r="Q269" s="8">
        <f>IF(L269&gt;0,(F269+2*0.1)*(G269+2*0.1)*L269,0)</f>
        <v/>
      </c>
      <c r="R269" s="8">
        <f>(F269+0.2)*(G269+0.2)*0.1</f>
        <v/>
      </c>
      <c r="S269" s="8">
        <f>(F269+0.2)*(G269+0.2)*0.05</f>
        <v/>
      </c>
      <c r="T269" s="8">
        <f>INDEX('2-ฐานราก เหล็กเสริม'!$S:$S,MATCH(B269,'2-ฐานราก เหล็กเสริม'!$A:$A,0))</f>
        <v/>
      </c>
      <c r="U269" s="8" t="inlineStr">
        <is>
          <t>M24</t>
        </is>
      </c>
      <c r="V269" s="10" t="inlineStr">
        <is>
          <t>แบบ S201 (ตำแหน่ง) / ระดับรอยืนยัน</t>
        </is>
      </c>
    </row>
    <row r="270">
      <c r="A270" s="8" t="inlineStr">
        <is>
          <t>F1P-221</t>
        </is>
      </c>
      <c r="B270" s="8" t="inlineStr">
        <is>
          <t>F1P</t>
        </is>
      </c>
      <c r="C270" s="8" t="inlineStr">
        <is>
          <t>1+1.49/G-1.49</t>
        </is>
      </c>
      <c r="D270" s="9" t="n">
        <v>1.487</v>
      </c>
      <c r="E270" s="9" t="n">
        <v>34.511</v>
      </c>
      <c r="F270" s="9" t="n">
        <v>1</v>
      </c>
      <c r="G270" s="9" t="n">
        <v>1</v>
      </c>
      <c r="H270" s="9" t="n">
        <v>0.2</v>
      </c>
      <c r="I270" s="9" t="n">
        <v>0.3</v>
      </c>
      <c r="J270" s="9" t="n">
        <v>0.1</v>
      </c>
      <c r="K270" s="9" t="n">
        <v>-0.05</v>
      </c>
      <c r="L270" s="9" t="n">
        <v>0.05</v>
      </c>
      <c r="M270" s="8" t="n">
        <v>1</v>
      </c>
      <c r="N270" s="8" t="inlineStr">
        <is>
          <t>1x I-350 ยาว 22 ม.</t>
        </is>
      </c>
      <c r="O270" s="8">
        <f>F270*G270*H270</f>
        <v/>
      </c>
      <c r="P270" s="8">
        <f>2*(F270+G270)*H270</f>
        <v/>
      </c>
      <c r="Q270" s="8">
        <f>IF(L270&gt;0,(F270+2*0.1)*(G270+2*0.1)*L270,0)</f>
        <v/>
      </c>
      <c r="R270" s="8">
        <f>(F270+0.2)*(G270+0.2)*0.1</f>
        <v/>
      </c>
      <c r="S270" s="8">
        <f>(F270+0.2)*(G270+0.2)*0.05</f>
        <v/>
      </c>
      <c r="T270" s="8">
        <f>INDEX('2-ฐานราก เหล็กเสริม'!$S:$S,MATCH(B270,'2-ฐานราก เหล็กเสริม'!$A:$A,0))</f>
        <v/>
      </c>
      <c r="U270" s="8" t="inlineStr">
        <is>
          <t>M24</t>
        </is>
      </c>
      <c r="V270" s="10" t="inlineStr">
        <is>
          <t>แบบ S201 (ตำแหน่ง) / ระดับรอยืนยัน</t>
        </is>
      </c>
    </row>
    <row r="271">
      <c r="A271" s="8" t="inlineStr">
        <is>
          <t>F1P-222</t>
        </is>
      </c>
      <c r="B271" s="8" t="inlineStr">
        <is>
          <t>F1P</t>
        </is>
      </c>
      <c r="C271" s="8" t="inlineStr">
        <is>
          <t>2-1.51/G-1.49</t>
        </is>
      </c>
      <c r="D271" s="9" t="n">
        <v>4.485</v>
      </c>
      <c r="E271" s="9" t="n">
        <v>34.511</v>
      </c>
      <c r="F271" s="9" t="n">
        <v>1</v>
      </c>
      <c r="G271" s="9" t="n">
        <v>1</v>
      </c>
      <c r="H271" s="9" t="n">
        <v>0.2</v>
      </c>
      <c r="I271" s="9" t="n">
        <v>0.3</v>
      </c>
      <c r="J271" s="9" t="n">
        <v>0.1</v>
      </c>
      <c r="K271" s="9" t="n">
        <v>-0.05</v>
      </c>
      <c r="L271" s="9" t="n">
        <v>0.05</v>
      </c>
      <c r="M271" s="8" t="n">
        <v>1</v>
      </c>
      <c r="N271" s="8" t="inlineStr">
        <is>
          <t>1x I-350 ยาว 22 ม.</t>
        </is>
      </c>
      <c r="O271" s="8">
        <f>F271*G271*H271</f>
        <v/>
      </c>
      <c r="P271" s="8">
        <f>2*(F271+G271)*H271</f>
        <v/>
      </c>
      <c r="Q271" s="8">
        <f>IF(L271&gt;0,(F271+2*0.1)*(G271+2*0.1)*L271,0)</f>
        <v/>
      </c>
      <c r="R271" s="8">
        <f>(F271+0.2)*(G271+0.2)*0.1</f>
        <v/>
      </c>
      <c r="S271" s="8">
        <f>(F271+0.2)*(G271+0.2)*0.05</f>
        <v/>
      </c>
      <c r="T271" s="8">
        <f>INDEX('2-ฐานราก เหล็กเสริม'!$S:$S,MATCH(B271,'2-ฐานราก เหล็กเสริม'!$A:$A,0))</f>
        <v/>
      </c>
      <c r="U271" s="8" t="inlineStr">
        <is>
          <t>M24</t>
        </is>
      </c>
      <c r="V271" s="10" t="inlineStr">
        <is>
          <t>แบบ S201 (ตำแหน่ง) / ระดับรอยืนยัน</t>
        </is>
      </c>
    </row>
    <row r="272">
      <c r="A272" s="8" t="inlineStr">
        <is>
          <t>F1P-223</t>
        </is>
      </c>
      <c r="B272" s="8" t="inlineStr">
        <is>
          <t>F1P</t>
        </is>
      </c>
      <c r="C272" s="8" t="inlineStr">
        <is>
          <t>2+1.49/G-1.49</t>
        </is>
      </c>
      <c r="D272" s="9" t="n">
        <v>7.491</v>
      </c>
      <c r="E272" s="9" t="n">
        <v>34.511</v>
      </c>
      <c r="F272" s="9" t="n">
        <v>1</v>
      </c>
      <c r="G272" s="9" t="n">
        <v>1</v>
      </c>
      <c r="H272" s="9" t="n">
        <v>0.2</v>
      </c>
      <c r="I272" s="9" t="n">
        <v>0.3</v>
      </c>
      <c r="J272" s="9" t="n">
        <v>0.1</v>
      </c>
      <c r="K272" s="9" t="n">
        <v>-0.05</v>
      </c>
      <c r="L272" s="9" t="n">
        <v>0.05</v>
      </c>
      <c r="M272" s="8" t="n">
        <v>1</v>
      </c>
      <c r="N272" s="8" t="inlineStr">
        <is>
          <t>1x I-350 ยาว 22 ม.</t>
        </is>
      </c>
      <c r="O272" s="8">
        <f>F272*G272*H272</f>
        <v/>
      </c>
      <c r="P272" s="8">
        <f>2*(F272+G272)*H272</f>
        <v/>
      </c>
      <c r="Q272" s="8">
        <f>IF(L272&gt;0,(F272+2*0.1)*(G272+2*0.1)*L272,0)</f>
        <v/>
      </c>
      <c r="R272" s="8">
        <f>(F272+0.2)*(G272+0.2)*0.1</f>
        <v/>
      </c>
      <c r="S272" s="8">
        <f>(F272+0.2)*(G272+0.2)*0.05</f>
        <v/>
      </c>
      <c r="T272" s="8">
        <f>INDEX('2-ฐานราก เหล็กเสริม'!$S:$S,MATCH(B272,'2-ฐานราก เหล็กเสริม'!$A:$A,0))</f>
        <v/>
      </c>
      <c r="U272" s="8" t="inlineStr">
        <is>
          <t>M24</t>
        </is>
      </c>
      <c r="V272" s="10" t="inlineStr">
        <is>
          <t>แบบ S201 (ตำแหน่ง) / ระดับรอยืนยัน</t>
        </is>
      </c>
    </row>
    <row r="273">
      <c r="A273" s="8" t="inlineStr">
        <is>
          <t>F1P-224</t>
        </is>
      </c>
      <c r="B273" s="8" t="inlineStr">
        <is>
          <t>F1P</t>
        </is>
      </c>
      <c r="C273" s="8" t="inlineStr">
        <is>
          <t>3-1.51/G-1.49</t>
        </is>
      </c>
      <c r="D273" s="9" t="n">
        <v>10.49</v>
      </c>
      <c r="E273" s="9" t="n">
        <v>34.511</v>
      </c>
      <c r="F273" s="9" t="n">
        <v>1</v>
      </c>
      <c r="G273" s="9" t="n">
        <v>1</v>
      </c>
      <c r="H273" s="9" t="n">
        <v>0.2</v>
      </c>
      <c r="I273" s="9" t="n">
        <v>0.3</v>
      </c>
      <c r="J273" s="9" t="n">
        <v>0.1</v>
      </c>
      <c r="K273" s="9" t="n">
        <v>-0.05</v>
      </c>
      <c r="L273" s="9" t="n">
        <v>0.05</v>
      </c>
      <c r="M273" s="8" t="n">
        <v>1</v>
      </c>
      <c r="N273" s="8" t="inlineStr">
        <is>
          <t>1x I-350 ยาว 22 ม.</t>
        </is>
      </c>
      <c r="O273" s="8">
        <f>F273*G273*H273</f>
        <v/>
      </c>
      <c r="P273" s="8">
        <f>2*(F273+G273)*H273</f>
        <v/>
      </c>
      <c r="Q273" s="8">
        <f>IF(L273&gt;0,(F273+2*0.1)*(G273+2*0.1)*L273,0)</f>
        <v/>
      </c>
      <c r="R273" s="8">
        <f>(F273+0.2)*(G273+0.2)*0.1</f>
        <v/>
      </c>
      <c r="S273" s="8">
        <f>(F273+0.2)*(G273+0.2)*0.05</f>
        <v/>
      </c>
      <c r="T273" s="8">
        <f>INDEX('2-ฐานราก เหล็กเสริม'!$S:$S,MATCH(B273,'2-ฐานราก เหล็กเสริม'!$A:$A,0))</f>
        <v/>
      </c>
      <c r="U273" s="8" t="inlineStr">
        <is>
          <t>M24</t>
        </is>
      </c>
      <c r="V273" s="10" t="inlineStr">
        <is>
          <t>แบบ S201 (ตำแหน่ง) / ระดับรอยืนยัน</t>
        </is>
      </c>
    </row>
    <row r="274">
      <c r="A274" s="8" t="inlineStr">
        <is>
          <t>F1P-225</t>
        </is>
      </c>
      <c r="B274" s="8" t="inlineStr">
        <is>
          <t>F1P</t>
        </is>
      </c>
      <c r="C274" s="8" t="inlineStr">
        <is>
          <t>3+1.49/G-1.49</t>
        </is>
      </c>
      <c r="D274" s="9" t="n">
        <v>13.488</v>
      </c>
      <c r="E274" s="9" t="n">
        <v>34.511</v>
      </c>
      <c r="F274" s="9" t="n">
        <v>1</v>
      </c>
      <c r="G274" s="9" t="n">
        <v>1</v>
      </c>
      <c r="H274" s="9" t="n">
        <v>0.2</v>
      </c>
      <c r="I274" s="9" t="n">
        <v>0.3</v>
      </c>
      <c r="J274" s="9" t="n">
        <v>0.1</v>
      </c>
      <c r="K274" s="9" t="n">
        <v>-0.05</v>
      </c>
      <c r="L274" s="9" t="n">
        <v>0.05</v>
      </c>
      <c r="M274" s="8" t="n">
        <v>1</v>
      </c>
      <c r="N274" s="8" t="inlineStr">
        <is>
          <t>1x I-350 ยาว 22 ม.</t>
        </is>
      </c>
      <c r="O274" s="8">
        <f>F274*G274*H274</f>
        <v/>
      </c>
      <c r="P274" s="8">
        <f>2*(F274+G274)*H274</f>
        <v/>
      </c>
      <c r="Q274" s="8">
        <f>IF(L274&gt;0,(F274+2*0.1)*(G274+2*0.1)*L274,0)</f>
        <v/>
      </c>
      <c r="R274" s="8">
        <f>(F274+0.2)*(G274+0.2)*0.1</f>
        <v/>
      </c>
      <c r="S274" s="8">
        <f>(F274+0.2)*(G274+0.2)*0.05</f>
        <v/>
      </c>
      <c r="T274" s="8">
        <f>INDEX('2-ฐานราก เหล็กเสริม'!$S:$S,MATCH(B274,'2-ฐานราก เหล็กเสริม'!$A:$A,0))</f>
        <v/>
      </c>
      <c r="U274" s="8" t="inlineStr">
        <is>
          <t>M24</t>
        </is>
      </c>
      <c r="V274" s="10" t="inlineStr">
        <is>
          <t>แบบ S201 (ตำแหน่ง) / ระดับรอยืนยัน</t>
        </is>
      </c>
    </row>
    <row r="275">
      <c r="A275" s="8" t="inlineStr">
        <is>
          <t>F1P-226</t>
        </is>
      </c>
      <c r="B275" s="8" t="inlineStr">
        <is>
          <t>F1P</t>
        </is>
      </c>
      <c r="C275" s="8" t="inlineStr">
        <is>
          <t>4-1.51/G-1.49</t>
        </is>
      </c>
      <c r="D275" s="9" t="n">
        <v>16.487</v>
      </c>
      <c r="E275" s="9" t="n">
        <v>34.511</v>
      </c>
      <c r="F275" s="9" t="n">
        <v>1</v>
      </c>
      <c r="G275" s="9" t="n">
        <v>1</v>
      </c>
      <c r="H275" s="9" t="n">
        <v>0.2</v>
      </c>
      <c r="I275" s="9" t="n">
        <v>0.3</v>
      </c>
      <c r="J275" s="9" t="n">
        <v>0.1</v>
      </c>
      <c r="K275" s="9" t="n">
        <v>-0.05</v>
      </c>
      <c r="L275" s="9" t="n">
        <v>0.05</v>
      </c>
      <c r="M275" s="8" t="n">
        <v>1</v>
      </c>
      <c r="N275" s="8" t="inlineStr">
        <is>
          <t>1x I-350 ยาว 22 ม.</t>
        </is>
      </c>
      <c r="O275" s="8">
        <f>F275*G275*H275</f>
        <v/>
      </c>
      <c r="P275" s="8">
        <f>2*(F275+G275)*H275</f>
        <v/>
      </c>
      <c r="Q275" s="8">
        <f>IF(L275&gt;0,(F275+2*0.1)*(G275+2*0.1)*L275,0)</f>
        <v/>
      </c>
      <c r="R275" s="8">
        <f>(F275+0.2)*(G275+0.2)*0.1</f>
        <v/>
      </c>
      <c r="S275" s="8">
        <f>(F275+0.2)*(G275+0.2)*0.05</f>
        <v/>
      </c>
      <c r="T275" s="8">
        <f>INDEX('2-ฐานราก เหล็กเสริม'!$S:$S,MATCH(B275,'2-ฐานราก เหล็กเสริม'!$A:$A,0))</f>
        <v/>
      </c>
      <c r="U275" s="8" t="inlineStr">
        <is>
          <t>M24</t>
        </is>
      </c>
      <c r="V275" s="10" t="inlineStr">
        <is>
          <t>แบบ S201 (ตำแหน่ง) / ระดับรอยืนยัน</t>
        </is>
      </c>
    </row>
    <row r="276">
      <c r="A276" s="8" t="inlineStr">
        <is>
          <t>F1P-227</t>
        </is>
      </c>
      <c r="B276" s="8" t="inlineStr">
        <is>
          <t>F1P</t>
        </is>
      </c>
      <c r="C276" s="8" t="inlineStr">
        <is>
          <t>4+1.49/G-1.49</t>
        </is>
      </c>
      <c r="D276" s="9" t="n">
        <v>19.486</v>
      </c>
      <c r="E276" s="9" t="n">
        <v>34.511</v>
      </c>
      <c r="F276" s="9" t="n">
        <v>1</v>
      </c>
      <c r="G276" s="9" t="n">
        <v>1</v>
      </c>
      <c r="H276" s="9" t="n">
        <v>0.2</v>
      </c>
      <c r="I276" s="9" t="n">
        <v>0.3</v>
      </c>
      <c r="J276" s="9" t="n">
        <v>0.1</v>
      </c>
      <c r="K276" s="9" t="n">
        <v>-0.05</v>
      </c>
      <c r="L276" s="9" t="n">
        <v>0.05</v>
      </c>
      <c r="M276" s="8" t="n">
        <v>1</v>
      </c>
      <c r="N276" s="8" t="inlineStr">
        <is>
          <t>1x I-350 ยาว 22 ม.</t>
        </is>
      </c>
      <c r="O276" s="8">
        <f>F276*G276*H276</f>
        <v/>
      </c>
      <c r="P276" s="8">
        <f>2*(F276+G276)*H276</f>
        <v/>
      </c>
      <c r="Q276" s="8">
        <f>IF(L276&gt;0,(F276+2*0.1)*(G276+2*0.1)*L276,0)</f>
        <v/>
      </c>
      <c r="R276" s="8">
        <f>(F276+0.2)*(G276+0.2)*0.1</f>
        <v/>
      </c>
      <c r="S276" s="8">
        <f>(F276+0.2)*(G276+0.2)*0.05</f>
        <v/>
      </c>
      <c r="T276" s="8">
        <f>INDEX('2-ฐานราก เหล็กเสริม'!$S:$S,MATCH(B276,'2-ฐานราก เหล็กเสริม'!$A:$A,0))</f>
        <v/>
      </c>
      <c r="U276" s="8" t="inlineStr">
        <is>
          <t>M24</t>
        </is>
      </c>
      <c r="V276" s="10" t="inlineStr">
        <is>
          <t>แบบ S201 (ตำแหน่ง) / ระดับรอยืนยัน</t>
        </is>
      </c>
    </row>
    <row r="277">
      <c r="A277" s="8" t="inlineStr">
        <is>
          <t>F1P-228</t>
        </is>
      </c>
      <c r="B277" s="8" t="inlineStr">
        <is>
          <t>F1P</t>
        </is>
      </c>
      <c r="C277" s="8" t="inlineStr">
        <is>
          <t>5-1.51/G-1.49</t>
        </is>
      </c>
      <c r="D277" s="9" t="n">
        <v>22.491</v>
      </c>
      <c r="E277" s="9" t="n">
        <v>34.511</v>
      </c>
      <c r="F277" s="9" t="n">
        <v>1</v>
      </c>
      <c r="G277" s="9" t="n">
        <v>1</v>
      </c>
      <c r="H277" s="9" t="n">
        <v>0.2</v>
      </c>
      <c r="I277" s="9" t="n">
        <v>0.3</v>
      </c>
      <c r="J277" s="9" t="n">
        <v>0.1</v>
      </c>
      <c r="K277" s="9" t="n">
        <v>-0.05</v>
      </c>
      <c r="L277" s="9" t="n">
        <v>0.05</v>
      </c>
      <c r="M277" s="8" t="n">
        <v>1</v>
      </c>
      <c r="N277" s="8" t="inlineStr">
        <is>
          <t>1x I-350 ยาว 22 ม.</t>
        </is>
      </c>
      <c r="O277" s="8">
        <f>F277*G277*H277</f>
        <v/>
      </c>
      <c r="P277" s="8">
        <f>2*(F277+G277)*H277</f>
        <v/>
      </c>
      <c r="Q277" s="8">
        <f>IF(L277&gt;0,(F277+2*0.1)*(G277+2*0.1)*L277,0)</f>
        <v/>
      </c>
      <c r="R277" s="8">
        <f>(F277+0.2)*(G277+0.2)*0.1</f>
        <v/>
      </c>
      <c r="S277" s="8">
        <f>(F277+0.2)*(G277+0.2)*0.05</f>
        <v/>
      </c>
      <c r="T277" s="8">
        <f>INDEX('2-ฐานราก เหล็กเสริม'!$S:$S,MATCH(B277,'2-ฐานราก เหล็กเสริม'!$A:$A,0))</f>
        <v/>
      </c>
      <c r="U277" s="8" t="inlineStr">
        <is>
          <t>M24</t>
        </is>
      </c>
      <c r="V277" s="10" t="inlineStr">
        <is>
          <t>แบบ S201 (ตำแหน่ง) / ระดับรอยืนยัน</t>
        </is>
      </c>
    </row>
    <row r="278">
      <c r="A278" s="8" t="inlineStr">
        <is>
          <t>F1P-229</t>
        </is>
      </c>
      <c r="B278" s="8" t="inlineStr">
        <is>
          <t>F1P</t>
        </is>
      </c>
      <c r="C278" s="8" t="inlineStr">
        <is>
          <t>5+1.49/G-1.49</t>
        </is>
      </c>
      <c r="D278" s="9" t="n">
        <v>25.49</v>
      </c>
      <c r="E278" s="9" t="n">
        <v>34.511</v>
      </c>
      <c r="F278" s="9" t="n">
        <v>1</v>
      </c>
      <c r="G278" s="9" t="n">
        <v>1</v>
      </c>
      <c r="H278" s="9" t="n">
        <v>0.2</v>
      </c>
      <c r="I278" s="9" t="n">
        <v>0.3</v>
      </c>
      <c r="J278" s="9" t="n">
        <v>0.1</v>
      </c>
      <c r="K278" s="9" t="n">
        <v>-0.05</v>
      </c>
      <c r="L278" s="9" t="n">
        <v>0.05</v>
      </c>
      <c r="M278" s="8" t="n">
        <v>1</v>
      </c>
      <c r="N278" s="8" t="inlineStr">
        <is>
          <t>1x I-350 ยาว 22 ม.</t>
        </is>
      </c>
      <c r="O278" s="8">
        <f>F278*G278*H278</f>
        <v/>
      </c>
      <c r="P278" s="8">
        <f>2*(F278+G278)*H278</f>
        <v/>
      </c>
      <c r="Q278" s="8">
        <f>IF(L278&gt;0,(F278+2*0.1)*(G278+2*0.1)*L278,0)</f>
        <v/>
      </c>
      <c r="R278" s="8">
        <f>(F278+0.2)*(G278+0.2)*0.1</f>
        <v/>
      </c>
      <c r="S278" s="8">
        <f>(F278+0.2)*(G278+0.2)*0.05</f>
        <v/>
      </c>
      <c r="T278" s="8">
        <f>INDEX('2-ฐานราก เหล็กเสริม'!$S:$S,MATCH(B278,'2-ฐานราก เหล็กเสริม'!$A:$A,0))</f>
        <v/>
      </c>
      <c r="U278" s="8" t="inlineStr">
        <is>
          <t>M24</t>
        </is>
      </c>
      <c r="V278" s="10" t="inlineStr">
        <is>
          <t>แบบ S201 (ตำแหน่ง) / ระดับรอยืนยัน</t>
        </is>
      </c>
    </row>
    <row r="279">
      <c r="A279" s="8" t="inlineStr">
        <is>
          <t>F1P-230</t>
        </is>
      </c>
      <c r="B279" s="8" t="inlineStr">
        <is>
          <t>F1P</t>
        </is>
      </c>
      <c r="C279" s="8" t="inlineStr">
        <is>
          <t>6-1.51/G-1.49</t>
        </is>
      </c>
      <c r="D279" s="9" t="n">
        <v>28.489</v>
      </c>
      <c r="E279" s="9" t="n">
        <v>34.511</v>
      </c>
      <c r="F279" s="9" t="n">
        <v>1</v>
      </c>
      <c r="G279" s="9" t="n">
        <v>1</v>
      </c>
      <c r="H279" s="9" t="n">
        <v>0.2</v>
      </c>
      <c r="I279" s="9" t="n">
        <v>0.3</v>
      </c>
      <c r="J279" s="9" t="n">
        <v>0.1</v>
      </c>
      <c r="K279" s="9" t="n">
        <v>-0.05</v>
      </c>
      <c r="L279" s="9" t="n">
        <v>0.05</v>
      </c>
      <c r="M279" s="8" t="n">
        <v>1</v>
      </c>
      <c r="N279" s="8" t="inlineStr">
        <is>
          <t>1x I-350 ยาว 22 ม.</t>
        </is>
      </c>
      <c r="O279" s="8">
        <f>F279*G279*H279</f>
        <v/>
      </c>
      <c r="P279" s="8">
        <f>2*(F279+G279)*H279</f>
        <v/>
      </c>
      <c r="Q279" s="8">
        <f>IF(L279&gt;0,(F279+2*0.1)*(G279+2*0.1)*L279,0)</f>
        <v/>
      </c>
      <c r="R279" s="8">
        <f>(F279+0.2)*(G279+0.2)*0.1</f>
        <v/>
      </c>
      <c r="S279" s="8">
        <f>(F279+0.2)*(G279+0.2)*0.05</f>
        <v/>
      </c>
      <c r="T279" s="8">
        <f>INDEX('2-ฐานราก เหล็กเสริม'!$S:$S,MATCH(B279,'2-ฐานราก เหล็กเสริม'!$A:$A,0))</f>
        <v/>
      </c>
      <c r="U279" s="8" t="inlineStr">
        <is>
          <t>M24</t>
        </is>
      </c>
      <c r="V279" s="10" t="inlineStr">
        <is>
          <t>แบบ S201 (ตำแหน่ง) / ระดับรอยืนยัน</t>
        </is>
      </c>
    </row>
    <row r="280">
      <c r="A280" s="8" t="inlineStr">
        <is>
          <t>F1P-231</t>
        </is>
      </c>
      <c r="B280" s="8" t="inlineStr">
        <is>
          <t>F1P</t>
        </is>
      </c>
      <c r="C280" s="8" t="inlineStr">
        <is>
          <t>6+1.49/G-1.49</t>
        </is>
      </c>
      <c r="D280" s="9" t="n">
        <v>31.488</v>
      </c>
      <c r="E280" s="9" t="n">
        <v>34.511</v>
      </c>
      <c r="F280" s="9" t="n">
        <v>1</v>
      </c>
      <c r="G280" s="9" t="n">
        <v>1</v>
      </c>
      <c r="H280" s="9" t="n">
        <v>0.2</v>
      </c>
      <c r="I280" s="9" t="n">
        <v>0.3</v>
      </c>
      <c r="J280" s="9" t="n">
        <v>0.1</v>
      </c>
      <c r="K280" s="9" t="n">
        <v>-0.05</v>
      </c>
      <c r="L280" s="9" t="n">
        <v>0.05</v>
      </c>
      <c r="M280" s="8" t="n">
        <v>1</v>
      </c>
      <c r="N280" s="8" t="inlineStr">
        <is>
          <t>1x I-350 ยาว 22 ม.</t>
        </is>
      </c>
      <c r="O280" s="8">
        <f>F280*G280*H280</f>
        <v/>
      </c>
      <c r="P280" s="8">
        <f>2*(F280+G280)*H280</f>
        <v/>
      </c>
      <c r="Q280" s="8">
        <f>IF(L280&gt;0,(F280+2*0.1)*(G280+2*0.1)*L280,0)</f>
        <v/>
      </c>
      <c r="R280" s="8">
        <f>(F280+0.2)*(G280+0.2)*0.1</f>
        <v/>
      </c>
      <c r="S280" s="8">
        <f>(F280+0.2)*(G280+0.2)*0.05</f>
        <v/>
      </c>
      <c r="T280" s="8">
        <f>INDEX('2-ฐานราก เหล็กเสริม'!$S:$S,MATCH(B280,'2-ฐานราก เหล็กเสริม'!$A:$A,0))</f>
        <v/>
      </c>
      <c r="U280" s="8" t="inlineStr">
        <is>
          <t>M24</t>
        </is>
      </c>
      <c r="V280" s="10" t="inlineStr">
        <is>
          <t>แบบ S201 (ตำแหน่ง) / ระดับรอยืนยัน</t>
        </is>
      </c>
    </row>
    <row r="281">
      <c r="A281" s="8" t="inlineStr">
        <is>
          <t>F1P-232</t>
        </is>
      </c>
      <c r="B281" s="8" t="inlineStr">
        <is>
          <t>F1P</t>
        </is>
      </c>
      <c r="C281" s="8" t="inlineStr">
        <is>
          <t>7-1.51/G-1.49</t>
        </is>
      </c>
      <c r="D281" s="9" t="n">
        <v>34.493</v>
      </c>
      <c r="E281" s="9" t="n">
        <v>34.511</v>
      </c>
      <c r="F281" s="9" t="n">
        <v>1</v>
      </c>
      <c r="G281" s="9" t="n">
        <v>1</v>
      </c>
      <c r="H281" s="9" t="n">
        <v>0.2</v>
      </c>
      <c r="I281" s="9" t="n">
        <v>0.3</v>
      </c>
      <c r="J281" s="9" t="n">
        <v>0.1</v>
      </c>
      <c r="K281" s="9" t="n">
        <v>-0.05</v>
      </c>
      <c r="L281" s="9" t="n">
        <v>0.05</v>
      </c>
      <c r="M281" s="8" t="n">
        <v>1</v>
      </c>
      <c r="N281" s="8" t="inlineStr">
        <is>
          <t>1x I-350 ยาว 22 ม.</t>
        </is>
      </c>
      <c r="O281" s="8">
        <f>F281*G281*H281</f>
        <v/>
      </c>
      <c r="P281" s="8">
        <f>2*(F281+G281)*H281</f>
        <v/>
      </c>
      <c r="Q281" s="8">
        <f>IF(L281&gt;0,(F281+2*0.1)*(G281+2*0.1)*L281,0)</f>
        <v/>
      </c>
      <c r="R281" s="8">
        <f>(F281+0.2)*(G281+0.2)*0.1</f>
        <v/>
      </c>
      <c r="S281" s="8">
        <f>(F281+0.2)*(G281+0.2)*0.05</f>
        <v/>
      </c>
      <c r="T281" s="8">
        <f>INDEX('2-ฐานราก เหล็กเสริม'!$S:$S,MATCH(B281,'2-ฐานราก เหล็กเสริม'!$A:$A,0))</f>
        <v/>
      </c>
      <c r="U281" s="8" t="inlineStr">
        <is>
          <t>M24</t>
        </is>
      </c>
      <c r="V281" s="10" t="inlineStr">
        <is>
          <t>แบบ S201 (ตำแหน่ง) / ระดับรอยืนยัน</t>
        </is>
      </c>
    </row>
    <row r="282">
      <c r="A282" s="8" t="inlineStr">
        <is>
          <t>F1P-233</t>
        </is>
      </c>
      <c r="B282" s="8" t="inlineStr">
        <is>
          <t>F1P</t>
        </is>
      </c>
      <c r="C282" s="8" t="inlineStr">
        <is>
          <t>7+1.49/G-1.49</t>
        </is>
      </c>
      <c r="D282" s="9" t="n">
        <v>37.492</v>
      </c>
      <c r="E282" s="9" t="n">
        <v>34.511</v>
      </c>
      <c r="F282" s="9" t="n">
        <v>1</v>
      </c>
      <c r="G282" s="9" t="n">
        <v>1</v>
      </c>
      <c r="H282" s="9" t="n">
        <v>0.2</v>
      </c>
      <c r="I282" s="9" t="n">
        <v>0.3</v>
      </c>
      <c r="J282" s="9" t="n">
        <v>0.1</v>
      </c>
      <c r="K282" s="9" t="n">
        <v>-0.05</v>
      </c>
      <c r="L282" s="9" t="n">
        <v>0.05</v>
      </c>
      <c r="M282" s="8" t="n">
        <v>1</v>
      </c>
      <c r="N282" s="8" t="inlineStr">
        <is>
          <t>1x I-350 ยาว 22 ม.</t>
        </is>
      </c>
      <c r="O282" s="8">
        <f>F282*G282*H282</f>
        <v/>
      </c>
      <c r="P282" s="8">
        <f>2*(F282+G282)*H282</f>
        <v/>
      </c>
      <c r="Q282" s="8">
        <f>IF(L282&gt;0,(F282+2*0.1)*(G282+2*0.1)*L282,0)</f>
        <v/>
      </c>
      <c r="R282" s="8">
        <f>(F282+0.2)*(G282+0.2)*0.1</f>
        <v/>
      </c>
      <c r="S282" s="8">
        <f>(F282+0.2)*(G282+0.2)*0.05</f>
        <v/>
      </c>
      <c r="T282" s="8">
        <f>INDEX('2-ฐานราก เหล็กเสริม'!$S:$S,MATCH(B282,'2-ฐานราก เหล็กเสริม'!$A:$A,0))</f>
        <v/>
      </c>
      <c r="U282" s="8" t="inlineStr">
        <is>
          <t>M24</t>
        </is>
      </c>
      <c r="V282" s="10" t="inlineStr">
        <is>
          <t>แบบ S201 (ตำแหน่ง) / ระดับรอยืนยัน</t>
        </is>
      </c>
    </row>
    <row r="283">
      <c r="A283" s="8" t="inlineStr">
        <is>
          <t>F1P-234</t>
        </is>
      </c>
      <c r="B283" s="8" t="inlineStr">
        <is>
          <t>F1P</t>
        </is>
      </c>
      <c r="C283" s="8" t="inlineStr">
        <is>
          <t>8-1.51/G-1.49</t>
        </is>
      </c>
      <c r="D283" s="9" t="n">
        <v>40.491</v>
      </c>
      <c r="E283" s="9" t="n">
        <v>34.511</v>
      </c>
      <c r="F283" s="9" t="n">
        <v>1</v>
      </c>
      <c r="G283" s="9" t="n">
        <v>1</v>
      </c>
      <c r="H283" s="9" t="n">
        <v>0.2</v>
      </c>
      <c r="I283" s="9" t="n">
        <v>0.3</v>
      </c>
      <c r="J283" s="9" t="n">
        <v>0.1</v>
      </c>
      <c r="K283" s="9" t="n">
        <v>-0.05</v>
      </c>
      <c r="L283" s="9" t="n">
        <v>0.05</v>
      </c>
      <c r="M283" s="8" t="n">
        <v>1</v>
      </c>
      <c r="N283" s="8" t="inlineStr">
        <is>
          <t>1x I-350 ยาว 22 ม.</t>
        </is>
      </c>
      <c r="O283" s="8">
        <f>F283*G283*H283</f>
        <v/>
      </c>
      <c r="P283" s="8">
        <f>2*(F283+G283)*H283</f>
        <v/>
      </c>
      <c r="Q283" s="8">
        <f>IF(L283&gt;0,(F283+2*0.1)*(G283+2*0.1)*L283,0)</f>
        <v/>
      </c>
      <c r="R283" s="8">
        <f>(F283+0.2)*(G283+0.2)*0.1</f>
        <v/>
      </c>
      <c r="S283" s="8">
        <f>(F283+0.2)*(G283+0.2)*0.05</f>
        <v/>
      </c>
      <c r="T283" s="8">
        <f>INDEX('2-ฐานราก เหล็กเสริม'!$S:$S,MATCH(B283,'2-ฐานราก เหล็กเสริม'!$A:$A,0))</f>
        <v/>
      </c>
      <c r="U283" s="8" t="inlineStr">
        <is>
          <t>M24</t>
        </is>
      </c>
      <c r="V283" s="10" t="inlineStr">
        <is>
          <t>แบบ S201 (ตำแหน่ง) / ระดับรอยืนยัน</t>
        </is>
      </c>
    </row>
    <row r="284">
      <c r="A284" s="8" t="inlineStr">
        <is>
          <t>F1P-235</t>
        </is>
      </c>
      <c r="B284" s="8" t="inlineStr">
        <is>
          <t>F1P</t>
        </is>
      </c>
      <c r="C284" s="8" t="inlineStr">
        <is>
          <t>8+1.49/G-1.49</t>
        </is>
      </c>
      <c r="D284" s="9" t="n">
        <v>43.49</v>
      </c>
      <c r="E284" s="9" t="n">
        <v>34.511</v>
      </c>
      <c r="F284" s="9" t="n">
        <v>1</v>
      </c>
      <c r="G284" s="9" t="n">
        <v>1</v>
      </c>
      <c r="H284" s="9" t="n">
        <v>0.2</v>
      </c>
      <c r="I284" s="9" t="n">
        <v>0.3</v>
      </c>
      <c r="J284" s="9" t="n">
        <v>0.1</v>
      </c>
      <c r="K284" s="9" t="n">
        <v>-0.05</v>
      </c>
      <c r="L284" s="9" t="n">
        <v>0.05</v>
      </c>
      <c r="M284" s="8" t="n">
        <v>1</v>
      </c>
      <c r="N284" s="8" t="inlineStr">
        <is>
          <t>1x I-350 ยาว 22 ม.</t>
        </is>
      </c>
      <c r="O284" s="8">
        <f>F284*G284*H284</f>
        <v/>
      </c>
      <c r="P284" s="8">
        <f>2*(F284+G284)*H284</f>
        <v/>
      </c>
      <c r="Q284" s="8">
        <f>IF(L284&gt;0,(F284+2*0.1)*(G284+2*0.1)*L284,0)</f>
        <v/>
      </c>
      <c r="R284" s="8">
        <f>(F284+0.2)*(G284+0.2)*0.1</f>
        <v/>
      </c>
      <c r="S284" s="8">
        <f>(F284+0.2)*(G284+0.2)*0.05</f>
        <v/>
      </c>
      <c r="T284" s="8">
        <f>INDEX('2-ฐานราก เหล็กเสริม'!$S:$S,MATCH(B284,'2-ฐานราก เหล็กเสริม'!$A:$A,0))</f>
        <v/>
      </c>
      <c r="U284" s="8" t="inlineStr">
        <is>
          <t>M24</t>
        </is>
      </c>
      <c r="V284" s="10" t="inlineStr">
        <is>
          <t>แบบ S201 (ตำแหน่ง) / ระดับรอยืนยัน</t>
        </is>
      </c>
    </row>
    <row r="285">
      <c r="A285" s="8" t="inlineStr">
        <is>
          <t>F1P-236</t>
        </is>
      </c>
      <c r="B285" s="8" t="inlineStr">
        <is>
          <t>F1P</t>
        </is>
      </c>
      <c r="C285" s="8" t="inlineStr">
        <is>
          <t>9-1.51/G-1.49</t>
        </is>
      </c>
      <c r="D285" s="9" t="n">
        <v>46.495</v>
      </c>
      <c r="E285" s="9" t="n">
        <v>34.511</v>
      </c>
      <c r="F285" s="9" t="n">
        <v>1</v>
      </c>
      <c r="G285" s="9" t="n">
        <v>1</v>
      </c>
      <c r="H285" s="9" t="n">
        <v>0.2</v>
      </c>
      <c r="I285" s="9" t="n">
        <v>0.3</v>
      </c>
      <c r="J285" s="9" t="n">
        <v>0.1</v>
      </c>
      <c r="K285" s="9" t="n">
        <v>-0.05</v>
      </c>
      <c r="L285" s="9" t="n">
        <v>0.05</v>
      </c>
      <c r="M285" s="8" t="n">
        <v>1</v>
      </c>
      <c r="N285" s="8" t="inlineStr">
        <is>
          <t>1x I-350 ยาว 22 ม.</t>
        </is>
      </c>
      <c r="O285" s="8">
        <f>F285*G285*H285</f>
        <v/>
      </c>
      <c r="P285" s="8">
        <f>2*(F285+G285)*H285</f>
        <v/>
      </c>
      <c r="Q285" s="8">
        <f>IF(L285&gt;0,(F285+2*0.1)*(G285+2*0.1)*L285,0)</f>
        <v/>
      </c>
      <c r="R285" s="8">
        <f>(F285+0.2)*(G285+0.2)*0.1</f>
        <v/>
      </c>
      <c r="S285" s="8">
        <f>(F285+0.2)*(G285+0.2)*0.05</f>
        <v/>
      </c>
      <c r="T285" s="8">
        <f>INDEX('2-ฐานราก เหล็กเสริม'!$S:$S,MATCH(B285,'2-ฐานราก เหล็กเสริม'!$A:$A,0))</f>
        <v/>
      </c>
      <c r="U285" s="8" t="inlineStr">
        <is>
          <t>M24</t>
        </is>
      </c>
      <c r="V285" s="10" t="inlineStr">
        <is>
          <t>แบบ S201 (ตำแหน่ง) / ระดับรอยืนยัน</t>
        </is>
      </c>
    </row>
    <row r="286">
      <c r="A286" s="8" t="inlineStr">
        <is>
          <t>F1P-237</t>
        </is>
      </c>
      <c r="B286" s="8" t="inlineStr">
        <is>
          <t>F1P</t>
        </is>
      </c>
      <c r="C286" s="8" t="inlineStr">
        <is>
          <t>9+1.49/G-1.49</t>
        </is>
      </c>
      <c r="D286" s="9" t="n">
        <v>49.494</v>
      </c>
      <c r="E286" s="9" t="n">
        <v>34.511</v>
      </c>
      <c r="F286" s="9" t="n">
        <v>1</v>
      </c>
      <c r="G286" s="9" t="n">
        <v>1</v>
      </c>
      <c r="H286" s="9" t="n">
        <v>0.2</v>
      </c>
      <c r="I286" s="9" t="n">
        <v>0.3</v>
      </c>
      <c r="J286" s="9" t="n">
        <v>0.1</v>
      </c>
      <c r="K286" s="9" t="n">
        <v>-0.05</v>
      </c>
      <c r="L286" s="9" t="n">
        <v>0.05</v>
      </c>
      <c r="M286" s="8" t="n">
        <v>1</v>
      </c>
      <c r="N286" s="8" t="inlineStr">
        <is>
          <t>1x I-350 ยาว 22 ม.</t>
        </is>
      </c>
      <c r="O286" s="8">
        <f>F286*G286*H286</f>
        <v/>
      </c>
      <c r="P286" s="8">
        <f>2*(F286+G286)*H286</f>
        <v/>
      </c>
      <c r="Q286" s="8">
        <f>IF(L286&gt;0,(F286+2*0.1)*(G286+2*0.1)*L286,0)</f>
        <v/>
      </c>
      <c r="R286" s="8">
        <f>(F286+0.2)*(G286+0.2)*0.1</f>
        <v/>
      </c>
      <c r="S286" s="8">
        <f>(F286+0.2)*(G286+0.2)*0.05</f>
        <v/>
      </c>
      <c r="T286" s="8">
        <f>INDEX('2-ฐานราก เหล็กเสริม'!$S:$S,MATCH(B286,'2-ฐานราก เหล็กเสริม'!$A:$A,0))</f>
        <v/>
      </c>
      <c r="U286" s="8" t="inlineStr">
        <is>
          <t>M24</t>
        </is>
      </c>
      <c r="V286" s="10" t="inlineStr">
        <is>
          <t>แบบ S201 (ตำแหน่ง) / ระดับรอยืนยัน</t>
        </is>
      </c>
    </row>
    <row r="287">
      <c r="A287" s="8" t="inlineStr">
        <is>
          <t>F1P-238</t>
        </is>
      </c>
      <c r="B287" s="8" t="inlineStr">
        <is>
          <t>F1P</t>
        </is>
      </c>
      <c r="C287" s="8" t="inlineStr">
        <is>
          <t>10-1.51/G-1.49</t>
        </is>
      </c>
      <c r="D287" s="9" t="n">
        <v>52.493</v>
      </c>
      <c r="E287" s="9" t="n">
        <v>34.511</v>
      </c>
      <c r="F287" s="9" t="n">
        <v>1</v>
      </c>
      <c r="G287" s="9" t="n">
        <v>1</v>
      </c>
      <c r="H287" s="9" t="n">
        <v>0.2</v>
      </c>
      <c r="I287" s="9" t="n">
        <v>0.3</v>
      </c>
      <c r="J287" s="9" t="n">
        <v>0.1</v>
      </c>
      <c r="K287" s="9" t="n">
        <v>-0.05</v>
      </c>
      <c r="L287" s="9" t="n">
        <v>0.05</v>
      </c>
      <c r="M287" s="8" t="n">
        <v>1</v>
      </c>
      <c r="N287" s="8" t="inlineStr">
        <is>
          <t>1x I-350 ยาว 22 ม.</t>
        </is>
      </c>
      <c r="O287" s="8">
        <f>F287*G287*H287</f>
        <v/>
      </c>
      <c r="P287" s="8">
        <f>2*(F287+G287)*H287</f>
        <v/>
      </c>
      <c r="Q287" s="8">
        <f>IF(L287&gt;0,(F287+2*0.1)*(G287+2*0.1)*L287,0)</f>
        <v/>
      </c>
      <c r="R287" s="8">
        <f>(F287+0.2)*(G287+0.2)*0.1</f>
        <v/>
      </c>
      <c r="S287" s="8">
        <f>(F287+0.2)*(G287+0.2)*0.05</f>
        <v/>
      </c>
      <c r="T287" s="8">
        <f>INDEX('2-ฐานราก เหล็กเสริม'!$S:$S,MATCH(B287,'2-ฐานราก เหล็กเสริม'!$A:$A,0))</f>
        <v/>
      </c>
      <c r="U287" s="8" t="inlineStr">
        <is>
          <t>M24</t>
        </is>
      </c>
      <c r="V287" s="10" t="inlineStr">
        <is>
          <t>แบบ S201 (ตำแหน่ง) / ระดับรอยืนยัน</t>
        </is>
      </c>
    </row>
    <row r="288">
      <c r="A288" s="8" t="inlineStr">
        <is>
          <t>F1P-239</t>
        </is>
      </c>
      <c r="B288" s="8" t="inlineStr">
        <is>
          <t>F1P</t>
        </is>
      </c>
      <c r="C288" s="8" t="inlineStr">
        <is>
          <t>10+1.49/G-1.49</t>
        </is>
      </c>
      <c r="D288" s="9" t="n">
        <v>55.492</v>
      </c>
      <c r="E288" s="9" t="n">
        <v>34.511</v>
      </c>
      <c r="F288" s="9" t="n">
        <v>1</v>
      </c>
      <c r="G288" s="9" t="n">
        <v>1</v>
      </c>
      <c r="H288" s="9" t="n">
        <v>0.2</v>
      </c>
      <c r="I288" s="9" t="n">
        <v>0.3</v>
      </c>
      <c r="J288" s="9" t="n">
        <v>0.1</v>
      </c>
      <c r="K288" s="9" t="n">
        <v>-0.05</v>
      </c>
      <c r="L288" s="9" t="n">
        <v>0.05</v>
      </c>
      <c r="M288" s="8" t="n">
        <v>1</v>
      </c>
      <c r="N288" s="8" t="inlineStr">
        <is>
          <t>1x I-350 ยาว 22 ม.</t>
        </is>
      </c>
      <c r="O288" s="8">
        <f>F288*G288*H288</f>
        <v/>
      </c>
      <c r="P288" s="8">
        <f>2*(F288+G288)*H288</f>
        <v/>
      </c>
      <c r="Q288" s="8">
        <f>IF(L288&gt;0,(F288+2*0.1)*(G288+2*0.1)*L288,0)</f>
        <v/>
      </c>
      <c r="R288" s="8">
        <f>(F288+0.2)*(G288+0.2)*0.1</f>
        <v/>
      </c>
      <c r="S288" s="8">
        <f>(F288+0.2)*(G288+0.2)*0.05</f>
        <v/>
      </c>
      <c r="T288" s="8">
        <f>INDEX('2-ฐานราก เหล็กเสริม'!$S:$S,MATCH(B288,'2-ฐานราก เหล็กเสริม'!$A:$A,0))</f>
        <v/>
      </c>
      <c r="U288" s="8" t="inlineStr">
        <is>
          <t>M24</t>
        </is>
      </c>
      <c r="V288" s="10" t="inlineStr">
        <is>
          <t>แบบ S201 (ตำแหน่ง) / ระดับรอยืนยัน</t>
        </is>
      </c>
    </row>
    <row r="289">
      <c r="A289" s="8" t="inlineStr">
        <is>
          <t>F1P-240</t>
        </is>
      </c>
      <c r="B289" s="8" t="inlineStr">
        <is>
          <t>F1P</t>
        </is>
      </c>
      <c r="C289" s="8" t="inlineStr">
        <is>
          <t>11-1.51/G-1.49</t>
        </is>
      </c>
      <c r="D289" s="9" t="n">
        <v>58.49</v>
      </c>
      <c r="E289" s="9" t="n">
        <v>34.511</v>
      </c>
      <c r="F289" s="9" t="n">
        <v>1</v>
      </c>
      <c r="G289" s="9" t="n">
        <v>1</v>
      </c>
      <c r="H289" s="9" t="n">
        <v>0.2</v>
      </c>
      <c r="I289" s="9" t="n">
        <v>0.3</v>
      </c>
      <c r="J289" s="9" t="n">
        <v>0.1</v>
      </c>
      <c r="K289" s="9" t="n">
        <v>-0.05</v>
      </c>
      <c r="L289" s="9" t="n">
        <v>0.05</v>
      </c>
      <c r="M289" s="8" t="n">
        <v>1</v>
      </c>
      <c r="N289" s="8" t="inlineStr">
        <is>
          <t>1x I-350 ยาว 22 ม.</t>
        </is>
      </c>
      <c r="O289" s="8">
        <f>F289*G289*H289</f>
        <v/>
      </c>
      <c r="P289" s="8">
        <f>2*(F289+G289)*H289</f>
        <v/>
      </c>
      <c r="Q289" s="8">
        <f>IF(L289&gt;0,(F289+2*0.1)*(G289+2*0.1)*L289,0)</f>
        <v/>
      </c>
      <c r="R289" s="8">
        <f>(F289+0.2)*(G289+0.2)*0.1</f>
        <v/>
      </c>
      <c r="S289" s="8">
        <f>(F289+0.2)*(G289+0.2)*0.05</f>
        <v/>
      </c>
      <c r="T289" s="8">
        <f>INDEX('2-ฐานราก เหล็กเสริม'!$S:$S,MATCH(B289,'2-ฐานราก เหล็กเสริม'!$A:$A,0))</f>
        <v/>
      </c>
      <c r="U289" s="8" t="inlineStr">
        <is>
          <t>M24</t>
        </is>
      </c>
      <c r="V289" s="10" t="inlineStr">
        <is>
          <t>แบบ S201 (ตำแหน่ง) / ระดับรอยืนยัน</t>
        </is>
      </c>
    </row>
    <row r="290">
      <c r="A290" s="8" t="inlineStr">
        <is>
          <t>F1P-241</t>
        </is>
      </c>
      <c r="B290" s="8" t="inlineStr">
        <is>
          <t>F1P</t>
        </is>
      </c>
      <c r="C290" s="8" t="inlineStr">
        <is>
          <t>1+1.49/G+1.52</t>
        </is>
      </c>
      <c r="D290" s="9" t="n">
        <v>1.487</v>
      </c>
      <c r="E290" s="9" t="n">
        <v>37.516</v>
      </c>
      <c r="F290" s="9" t="n">
        <v>1</v>
      </c>
      <c r="G290" s="9" t="n">
        <v>1</v>
      </c>
      <c r="H290" s="9" t="n">
        <v>0.2</v>
      </c>
      <c r="I290" s="9" t="n">
        <v>0.3</v>
      </c>
      <c r="J290" s="9" t="n">
        <v>0.1</v>
      </c>
      <c r="K290" s="9" t="n">
        <v>-0.05</v>
      </c>
      <c r="L290" s="9" t="n">
        <v>0.05</v>
      </c>
      <c r="M290" s="8" t="n">
        <v>1</v>
      </c>
      <c r="N290" s="8" t="inlineStr">
        <is>
          <t>1x I-350 ยาว 22 ม.</t>
        </is>
      </c>
      <c r="O290" s="8">
        <f>F290*G290*H290</f>
        <v/>
      </c>
      <c r="P290" s="8">
        <f>2*(F290+G290)*H290</f>
        <v/>
      </c>
      <c r="Q290" s="8">
        <f>IF(L290&gt;0,(F290+2*0.1)*(G290+2*0.1)*L290,0)</f>
        <v/>
      </c>
      <c r="R290" s="8">
        <f>(F290+0.2)*(G290+0.2)*0.1</f>
        <v/>
      </c>
      <c r="S290" s="8">
        <f>(F290+0.2)*(G290+0.2)*0.05</f>
        <v/>
      </c>
      <c r="T290" s="8">
        <f>INDEX('2-ฐานราก เหล็กเสริม'!$S:$S,MATCH(B290,'2-ฐานราก เหล็กเสริม'!$A:$A,0))</f>
        <v/>
      </c>
      <c r="U290" s="8" t="inlineStr">
        <is>
          <t>M24</t>
        </is>
      </c>
      <c r="V290" s="10" t="inlineStr">
        <is>
          <t>แบบ S201 (ตำแหน่ง) / ระดับรอยืนยัน</t>
        </is>
      </c>
    </row>
    <row r="291">
      <c r="A291" s="8" t="inlineStr">
        <is>
          <t>F1P-242</t>
        </is>
      </c>
      <c r="B291" s="8" t="inlineStr">
        <is>
          <t>F1P</t>
        </is>
      </c>
      <c r="C291" s="8" t="inlineStr">
        <is>
          <t>2-1.51/G+1.52</t>
        </is>
      </c>
      <c r="D291" s="9" t="n">
        <v>4.485</v>
      </c>
      <c r="E291" s="9" t="n">
        <v>37.516</v>
      </c>
      <c r="F291" s="9" t="n">
        <v>1</v>
      </c>
      <c r="G291" s="9" t="n">
        <v>1</v>
      </c>
      <c r="H291" s="9" t="n">
        <v>0.2</v>
      </c>
      <c r="I291" s="9" t="n">
        <v>0.3</v>
      </c>
      <c r="J291" s="9" t="n">
        <v>0.1</v>
      </c>
      <c r="K291" s="9" t="n">
        <v>-0.05</v>
      </c>
      <c r="L291" s="9" t="n">
        <v>0.05</v>
      </c>
      <c r="M291" s="8" t="n">
        <v>1</v>
      </c>
      <c r="N291" s="8" t="inlineStr">
        <is>
          <t>1x I-350 ยาว 22 ม.</t>
        </is>
      </c>
      <c r="O291" s="8">
        <f>F291*G291*H291</f>
        <v/>
      </c>
      <c r="P291" s="8">
        <f>2*(F291+G291)*H291</f>
        <v/>
      </c>
      <c r="Q291" s="8">
        <f>IF(L291&gt;0,(F291+2*0.1)*(G291+2*0.1)*L291,0)</f>
        <v/>
      </c>
      <c r="R291" s="8">
        <f>(F291+0.2)*(G291+0.2)*0.1</f>
        <v/>
      </c>
      <c r="S291" s="8">
        <f>(F291+0.2)*(G291+0.2)*0.05</f>
        <v/>
      </c>
      <c r="T291" s="8">
        <f>INDEX('2-ฐานราก เหล็กเสริม'!$S:$S,MATCH(B291,'2-ฐานราก เหล็กเสริม'!$A:$A,0))</f>
        <v/>
      </c>
      <c r="U291" s="8" t="inlineStr">
        <is>
          <t>M24</t>
        </is>
      </c>
      <c r="V291" s="10" t="inlineStr">
        <is>
          <t>แบบ S201 (ตำแหน่ง) / ระดับรอยืนยัน</t>
        </is>
      </c>
    </row>
    <row r="292">
      <c r="A292" s="8" t="inlineStr">
        <is>
          <t>F1P-243</t>
        </is>
      </c>
      <c r="B292" s="8" t="inlineStr">
        <is>
          <t>F1P</t>
        </is>
      </c>
      <c r="C292" s="8" t="inlineStr">
        <is>
          <t>2+1.49/G+1.52</t>
        </is>
      </c>
      <c r="D292" s="9" t="n">
        <v>7.491</v>
      </c>
      <c r="E292" s="9" t="n">
        <v>37.516</v>
      </c>
      <c r="F292" s="9" t="n">
        <v>1</v>
      </c>
      <c r="G292" s="9" t="n">
        <v>1</v>
      </c>
      <c r="H292" s="9" t="n">
        <v>0.2</v>
      </c>
      <c r="I292" s="9" t="n">
        <v>0.3</v>
      </c>
      <c r="J292" s="9" t="n">
        <v>0.1</v>
      </c>
      <c r="K292" s="9" t="n">
        <v>-0.05</v>
      </c>
      <c r="L292" s="9" t="n">
        <v>0.05</v>
      </c>
      <c r="M292" s="8" t="n">
        <v>1</v>
      </c>
      <c r="N292" s="8" t="inlineStr">
        <is>
          <t>1x I-350 ยาว 22 ม.</t>
        </is>
      </c>
      <c r="O292" s="8">
        <f>F292*G292*H292</f>
        <v/>
      </c>
      <c r="P292" s="8">
        <f>2*(F292+G292)*H292</f>
        <v/>
      </c>
      <c r="Q292" s="8">
        <f>IF(L292&gt;0,(F292+2*0.1)*(G292+2*0.1)*L292,0)</f>
        <v/>
      </c>
      <c r="R292" s="8">
        <f>(F292+0.2)*(G292+0.2)*0.1</f>
        <v/>
      </c>
      <c r="S292" s="8">
        <f>(F292+0.2)*(G292+0.2)*0.05</f>
        <v/>
      </c>
      <c r="T292" s="8">
        <f>INDEX('2-ฐานราก เหล็กเสริม'!$S:$S,MATCH(B292,'2-ฐานราก เหล็กเสริม'!$A:$A,0))</f>
        <v/>
      </c>
      <c r="U292" s="8" t="inlineStr">
        <is>
          <t>M24</t>
        </is>
      </c>
      <c r="V292" s="10" t="inlineStr">
        <is>
          <t>แบบ S201 (ตำแหน่ง) / ระดับรอยืนยัน</t>
        </is>
      </c>
    </row>
    <row r="293">
      <c r="A293" s="8" t="inlineStr">
        <is>
          <t>F1P-244</t>
        </is>
      </c>
      <c r="B293" s="8" t="inlineStr">
        <is>
          <t>F1P</t>
        </is>
      </c>
      <c r="C293" s="8" t="inlineStr">
        <is>
          <t>3-1.51/G+1.52</t>
        </is>
      </c>
      <c r="D293" s="9" t="n">
        <v>10.49</v>
      </c>
      <c r="E293" s="9" t="n">
        <v>37.516</v>
      </c>
      <c r="F293" s="9" t="n">
        <v>1</v>
      </c>
      <c r="G293" s="9" t="n">
        <v>1</v>
      </c>
      <c r="H293" s="9" t="n">
        <v>0.2</v>
      </c>
      <c r="I293" s="9" t="n">
        <v>0.3</v>
      </c>
      <c r="J293" s="9" t="n">
        <v>0.1</v>
      </c>
      <c r="K293" s="9" t="n">
        <v>-0.05</v>
      </c>
      <c r="L293" s="9" t="n">
        <v>0.05</v>
      </c>
      <c r="M293" s="8" t="n">
        <v>1</v>
      </c>
      <c r="N293" s="8" t="inlineStr">
        <is>
          <t>1x I-350 ยาว 22 ม.</t>
        </is>
      </c>
      <c r="O293" s="8">
        <f>F293*G293*H293</f>
        <v/>
      </c>
      <c r="P293" s="8">
        <f>2*(F293+G293)*H293</f>
        <v/>
      </c>
      <c r="Q293" s="8">
        <f>IF(L293&gt;0,(F293+2*0.1)*(G293+2*0.1)*L293,0)</f>
        <v/>
      </c>
      <c r="R293" s="8">
        <f>(F293+0.2)*(G293+0.2)*0.1</f>
        <v/>
      </c>
      <c r="S293" s="8">
        <f>(F293+0.2)*(G293+0.2)*0.05</f>
        <v/>
      </c>
      <c r="T293" s="8">
        <f>INDEX('2-ฐานราก เหล็กเสริม'!$S:$S,MATCH(B293,'2-ฐานราก เหล็กเสริม'!$A:$A,0))</f>
        <v/>
      </c>
      <c r="U293" s="8" t="inlineStr">
        <is>
          <t>M24</t>
        </is>
      </c>
      <c r="V293" s="10" t="inlineStr">
        <is>
          <t>แบบ S201 (ตำแหน่ง) / ระดับรอยืนยัน</t>
        </is>
      </c>
    </row>
    <row r="294">
      <c r="A294" s="8" t="inlineStr">
        <is>
          <t>F1P-245</t>
        </is>
      </c>
      <c r="B294" s="8" t="inlineStr">
        <is>
          <t>F1P</t>
        </is>
      </c>
      <c r="C294" s="8" t="inlineStr">
        <is>
          <t>3+1.49/G+1.52</t>
        </is>
      </c>
      <c r="D294" s="9" t="n">
        <v>13.488</v>
      </c>
      <c r="E294" s="9" t="n">
        <v>37.516</v>
      </c>
      <c r="F294" s="9" t="n">
        <v>1</v>
      </c>
      <c r="G294" s="9" t="n">
        <v>1</v>
      </c>
      <c r="H294" s="9" t="n">
        <v>0.2</v>
      </c>
      <c r="I294" s="9" t="n">
        <v>0.3</v>
      </c>
      <c r="J294" s="9" t="n">
        <v>0.1</v>
      </c>
      <c r="K294" s="9" t="n">
        <v>-0.05</v>
      </c>
      <c r="L294" s="9" t="n">
        <v>0.05</v>
      </c>
      <c r="M294" s="8" t="n">
        <v>1</v>
      </c>
      <c r="N294" s="8" t="inlineStr">
        <is>
          <t>1x I-350 ยาว 22 ม.</t>
        </is>
      </c>
      <c r="O294" s="8">
        <f>F294*G294*H294</f>
        <v/>
      </c>
      <c r="P294" s="8">
        <f>2*(F294+G294)*H294</f>
        <v/>
      </c>
      <c r="Q294" s="8">
        <f>IF(L294&gt;0,(F294+2*0.1)*(G294+2*0.1)*L294,0)</f>
        <v/>
      </c>
      <c r="R294" s="8">
        <f>(F294+0.2)*(G294+0.2)*0.1</f>
        <v/>
      </c>
      <c r="S294" s="8">
        <f>(F294+0.2)*(G294+0.2)*0.05</f>
        <v/>
      </c>
      <c r="T294" s="8">
        <f>INDEX('2-ฐานราก เหล็กเสริม'!$S:$S,MATCH(B294,'2-ฐานราก เหล็กเสริม'!$A:$A,0))</f>
        <v/>
      </c>
      <c r="U294" s="8" t="inlineStr">
        <is>
          <t>M24</t>
        </is>
      </c>
      <c r="V294" s="10" t="inlineStr">
        <is>
          <t>แบบ S201 (ตำแหน่ง) / ระดับรอยืนยัน</t>
        </is>
      </c>
    </row>
    <row r="295">
      <c r="A295" s="8" t="inlineStr">
        <is>
          <t>F1P-246</t>
        </is>
      </c>
      <c r="B295" s="8" t="inlineStr">
        <is>
          <t>F1P</t>
        </is>
      </c>
      <c r="C295" s="8" t="inlineStr">
        <is>
          <t>4-1.51/G+1.52</t>
        </is>
      </c>
      <c r="D295" s="9" t="n">
        <v>16.487</v>
      </c>
      <c r="E295" s="9" t="n">
        <v>37.516</v>
      </c>
      <c r="F295" s="9" t="n">
        <v>1</v>
      </c>
      <c r="G295" s="9" t="n">
        <v>1</v>
      </c>
      <c r="H295" s="9" t="n">
        <v>0.2</v>
      </c>
      <c r="I295" s="9" t="n">
        <v>0.3</v>
      </c>
      <c r="J295" s="9" t="n">
        <v>0.1</v>
      </c>
      <c r="K295" s="9" t="n">
        <v>-0.05</v>
      </c>
      <c r="L295" s="9" t="n">
        <v>0.05</v>
      </c>
      <c r="M295" s="8" t="n">
        <v>1</v>
      </c>
      <c r="N295" s="8" t="inlineStr">
        <is>
          <t>1x I-350 ยาว 22 ม.</t>
        </is>
      </c>
      <c r="O295" s="8">
        <f>F295*G295*H295</f>
        <v/>
      </c>
      <c r="P295" s="8">
        <f>2*(F295+G295)*H295</f>
        <v/>
      </c>
      <c r="Q295" s="8">
        <f>IF(L295&gt;0,(F295+2*0.1)*(G295+2*0.1)*L295,0)</f>
        <v/>
      </c>
      <c r="R295" s="8">
        <f>(F295+0.2)*(G295+0.2)*0.1</f>
        <v/>
      </c>
      <c r="S295" s="8">
        <f>(F295+0.2)*(G295+0.2)*0.05</f>
        <v/>
      </c>
      <c r="T295" s="8">
        <f>INDEX('2-ฐานราก เหล็กเสริม'!$S:$S,MATCH(B295,'2-ฐานราก เหล็กเสริม'!$A:$A,0))</f>
        <v/>
      </c>
      <c r="U295" s="8" t="inlineStr">
        <is>
          <t>M24</t>
        </is>
      </c>
      <c r="V295" s="10" t="inlineStr">
        <is>
          <t>แบบ S201 (ตำแหน่ง) / ระดับรอยืนยัน</t>
        </is>
      </c>
    </row>
    <row r="296">
      <c r="A296" s="8" t="inlineStr">
        <is>
          <t>F1P-247</t>
        </is>
      </c>
      <c r="B296" s="8" t="inlineStr">
        <is>
          <t>F1P</t>
        </is>
      </c>
      <c r="C296" s="8" t="inlineStr">
        <is>
          <t>4+1.49/G+1.52</t>
        </is>
      </c>
      <c r="D296" s="9" t="n">
        <v>19.486</v>
      </c>
      <c r="E296" s="9" t="n">
        <v>37.516</v>
      </c>
      <c r="F296" s="9" t="n">
        <v>1</v>
      </c>
      <c r="G296" s="9" t="n">
        <v>1</v>
      </c>
      <c r="H296" s="9" t="n">
        <v>0.2</v>
      </c>
      <c r="I296" s="9" t="n">
        <v>0.3</v>
      </c>
      <c r="J296" s="9" t="n">
        <v>0.1</v>
      </c>
      <c r="K296" s="9" t="n">
        <v>-0.05</v>
      </c>
      <c r="L296" s="9" t="n">
        <v>0.05</v>
      </c>
      <c r="M296" s="8" t="n">
        <v>1</v>
      </c>
      <c r="N296" s="8" t="inlineStr">
        <is>
          <t>1x I-350 ยาว 22 ม.</t>
        </is>
      </c>
      <c r="O296" s="8">
        <f>F296*G296*H296</f>
        <v/>
      </c>
      <c r="P296" s="8">
        <f>2*(F296+G296)*H296</f>
        <v/>
      </c>
      <c r="Q296" s="8">
        <f>IF(L296&gt;0,(F296+2*0.1)*(G296+2*0.1)*L296,0)</f>
        <v/>
      </c>
      <c r="R296" s="8">
        <f>(F296+0.2)*(G296+0.2)*0.1</f>
        <v/>
      </c>
      <c r="S296" s="8">
        <f>(F296+0.2)*(G296+0.2)*0.05</f>
        <v/>
      </c>
      <c r="T296" s="8">
        <f>INDEX('2-ฐานราก เหล็กเสริม'!$S:$S,MATCH(B296,'2-ฐานราก เหล็กเสริม'!$A:$A,0))</f>
        <v/>
      </c>
      <c r="U296" s="8" t="inlineStr">
        <is>
          <t>M24</t>
        </is>
      </c>
      <c r="V296" s="10" t="inlineStr">
        <is>
          <t>แบบ S201 (ตำแหน่ง) / ระดับรอยืนยัน</t>
        </is>
      </c>
    </row>
    <row r="297">
      <c r="A297" s="8" t="inlineStr">
        <is>
          <t>F1P-248</t>
        </is>
      </c>
      <c r="B297" s="8" t="inlineStr">
        <is>
          <t>F1P</t>
        </is>
      </c>
      <c r="C297" s="8" t="inlineStr">
        <is>
          <t>5-1.51/G+1.52</t>
        </is>
      </c>
      <c r="D297" s="9" t="n">
        <v>22.491</v>
      </c>
      <c r="E297" s="9" t="n">
        <v>37.516</v>
      </c>
      <c r="F297" s="9" t="n">
        <v>1</v>
      </c>
      <c r="G297" s="9" t="n">
        <v>1</v>
      </c>
      <c r="H297" s="9" t="n">
        <v>0.2</v>
      </c>
      <c r="I297" s="9" t="n">
        <v>0.3</v>
      </c>
      <c r="J297" s="9" t="n">
        <v>0.1</v>
      </c>
      <c r="K297" s="9" t="n">
        <v>-0.05</v>
      </c>
      <c r="L297" s="9" t="n">
        <v>0.05</v>
      </c>
      <c r="M297" s="8" t="n">
        <v>1</v>
      </c>
      <c r="N297" s="8" t="inlineStr">
        <is>
          <t>1x I-350 ยาว 22 ม.</t>
        </is>
      </c>
      <c r="O297" s="8">
        <f>F297*G297*H297</f>
        <v/>
      </c>
      <c r="P297" s="8">
        <f>2*(F297+G297)*H297</f>
        <v/>
      </c>
      <c r="Q297" s="8">
        <f>IF(L297&gt;0,(F297+2*0.1)*(G297+2*0.1)*L297,0)</f>
        <v/>
      </c>
      <c r="R297" s="8">
        <f>(F297+0.2)*(G297+0.2)*0.1</f>
        <v/>
      </c>
      <c r="S297" s="8">
        <f>(F297+0.2)*(G297+0.2)*0.05</f>
        <v/>
      </c>
      <c r="T297" s="8">
        <f>INDEX('2-ฐานราก เหล็กเสริม'!$S:$S,MATCH(B297,'2-ฐานราก เหล็กเสริม'!$A:$A,0))</f>
        <v/>
      </c>
      <c r="U297" s="8" t="inlineStr">
        <is>
          <t>M24</t>
        </is>
      </c>
      <c r="V297" s="10" t="inlineStr">
        <is>
          <t>แบบ S201 (ตำแหน่ง) / ระดับรอยืนยัน</t>
        </is>
      </c>
    </row>
    <row r="298">
      <c r="A298" s="8" t="inlineStr">
        <is>
          <t>F1P-249</t>
        </is>
      </c>
      <c r="B298" s="8" t="inlineStr">
        <is>
          <t>F1P</t>
        </is>
      </c>
      <c r="C298" s="8" t="inlineStr">
        <is>
          <t>5+1.49/G+1.52</t>
        </is>
      </c>
      <c r="D298" s="9" t="n">
        <v>25.49</v>
      </c>
      <c r="E298" s="9" t="n">
        <v>37.516</v>
      </c>
      <c r="F298" s="9" t="n">
        <v>1</v>
      </c>
      <c r="G298" s="9" t="n">
        <v>1</v>
      </c>
      <c r="H298" s="9" t="n">
        <v>0.2</v>
      </c>
      <c r="I298" s="9" t="n">
        <v>0.3</v>
      </c>
      <c r="J298" s="9" t="n">
        <v>0.1</v>
      </c>
      <c r="K298" s="9" t="n">
        <v>-0.05</v>
      </c>
      <c r="L298" s="9" t="n">
        <v>0.05</v>
      </c>
      <c r="M298" s="8" t="n">
        <v>1</v>
      </c>
      <c r="N298" s="8" t="inlineStr">
        <is>
          <t>1x I-350 ยาว 22 ม.</t>
        </is>
      </c>
      <c r="O298" s="8">
        <f>F298*G298*H298</f>
        <v/>
      </c>
      <c r="P298" s="8">
        <f>2*(F298+G298)*H298</f>
        <v/>
      </c>
      <c r="Q298" s="8">
        <f>IF(L298&gt;0,(F298+2*0.1)*(G298+2*0.1)*L298,0)</f>
        <v/>
      </c>
      <c r="R298" s="8">
        <f>(F298+0.2)*(G298+0.2)*0.1</f>
        <v/>
      </c>
      <c r="S298" s="8">
        <f>(F298+0.2)*(G298+0.2)*0.05</f>
        <v/>
      </c>
      <c r="T298" s="8">
        <f>INDEX('2-ฐานราก เหล็กเสริม'!$S:$S,MATCH(B298,'2-ฐานราก เหล็กเสริม'!$A:$A,0))</f>
        <v/>
      </c>
      <c r="U298" s="8" t="inlineStr">
        <is>
          <t>M24</t>
        </is>
      </c>
      <c r="V298" s="10" t="inlineStr">
        <is>
          <t>แบบ S201 (ตำแหน่ง) / ระดับรอยืนยัน</t>
        </is>
      </c>
    </row>
    <row r="299">
      <c r="A299" s="8" t="inlineStr">
        <is>
          <t>F1P-250</t>
        </is>
      </c>
      <c r="B299" s="8" t="inlineStr">
        <is>
          <t>F1P</t>
        </is>
      </c>
      <c r="C299" s="8" t="inlineStr">
        <is>
          <t>6-1.51/G+1.52</t>
        </is>
      </c>
      <c r="D299" s="9" t="n">
        <v>28.489</v>
      </c>
      <c r="E299" s="9" t="n">
        <v>37.516</v>
      </c>
      <c r="F299" s="9" t="n">
        <v>1</v>
      </c>
      <c r="G299" s="9" t="n">
        <v>1</v>
      </c>
      <c r="H299" s="9" t="n">
        <v>0.2</v>
      </c>
      <c r="I299" s="9" t="n">
        <v>0.3</v>
      </c>
      <c r="J299" s="9" t="n">
        <v>0.1</v>
      </c>
      <c r="K299" s="9" t="n">
        <v>-0.05</v>
      </c>
      <c r="L299" s="9" t="n">
        <v>0.05</v>
      </c>
      <c r="M299" s="8" t="n">
        <v>1</v>
      </c>
      <c r="N299" s="8" t="inlineStr">
        <is>
          <t>1x I-350 ยาว 22 ม.</t>
        </is>
      </c>
      <c r="O299" s="8">
        <f>F299*G299*H299</f>
        <v/>
      </c>
      <c r="P299" s="8">
        <f>2*(F299+G299)*H299</f>
        <v/>
      </c>
      <c r="Q299" s="8">
        <f>IF(L299&gt;0,(F299+2*0.1)*(G299+2*0.1)*L299,0)</f>
        <v/>
      </c>
      <c r="R299" s="8">
        <f>(F299+0.2)*(G299+0.2)*0.1</f>
        <v/>
      </c>
      <c r="S299" s="8">
        <f>(F299+0.2)*(G299+0.2)*0.05</f>
        <v/>
      </c>
      <c r="T299" s="8">
        <f>INDEX('2-ฐานราก เหล็กเสริม'!$S:$S,MATCH(B299,'2-ฐานราก เหล็กเสริม'!$A:$A,0))</f>
        <v/>
      </c>
      <c r="U299" s="8" t="inlineStr">
        <is>
          <t>M24</t>
        </is>
      </c>
      <c r="V299" s="10" t="inlineStr">
        <is>
          <t>แบบ S201 (ตำแหน่ง) / ระดับรอยืนยัน</t>
        </is>
      </c>
    </row>
    <row r="300">
      <c r="A300" s="8" t="inlineStr">
        <is>
          <t>F1P-251</t>
        </is>
      </c>
      <c r="B300" s="8" t="inlineStr">
        <is>
          <t>F1P</t>
        </is>
      </c>
      <c r="C300" s="8" t="inlineStr">
        <is>
          <t>6+1.49/G+1.52</t>
        </is>
      </c>
      <c r="D300" s="9" t="n">
        <v>31.488</v>
      </c>
      <c r="E300" s="9" t="n">
        <v>37.516</v>
      </c>
      <c r="F300" s="9" t="n">
        <v>1</v>
      </c>
      <c r="G300" s="9" t="n">
        <v>1</v>
      </c>
      <c r="H300" s="9" t="n">
        <v>0.2</v>
      </c>
      <c r="I300" s="9" t="n">
        <v>0.3</v>
      </c>
      <c r="J300" s="9" t="n">
        <v>0.1</v>
      </c>
      <c r="K300" s="9" t="n">
        <v>-0.05</v>
      </c>
      <c r="L300" s="9" t="n">
        <v>0.05</v>
      </c>
      <c r="M300" s="8" t="n">
        <v>1</v>
      </c>
      <c r="N300" s="8" t="inlineStr">
        <is>
          <t>1x I-350 ยาว 22 ม.</t>
        </is>
      </c>
      <c r="O300" s="8">
        <f>F300*G300*H300</f>
        <v/>
      </c>
      <c r="P300" s="8">
        <f>2*(F300+G300)*H300</f>
        <v/>
      </c>
      <c r="Q300" s="8">
        <f>IF(L300&gt;0,(F300+2*0.1)*(G300+2*0.1)*L300,0)</f>
        <v/>
      </c>
      <c r="R300" s="8">
        <f>(F300+0.2)*(G300+0.2)*0.1</f>
        <v/>
      </c>
      <c r="S300" s="8">
        <f>(F300+0.2)*(G300+0.2)*0.05</f>
        <v/>
      </c>
      <c r="T300" s="8">
        <f>INDEX('2-ฐานราก เหล็กเสริม'!$S:$S,MATCH(B300,'2-ฐานราก เหล็กเสริม'!$A:$A,0))</f>
        <v/>
      </c>
      <c r="U300" s="8" t="inlineStr">
        <is>
          <t>M24</t>
        </is>
      </c>
      <c r="V300" s="10" t="inlineStr">
        <is>
          <t>แบบ S201 (ตำแหน่ง) / ระดับรอยืนยัน</t>
        </is>
      </c>
    </row>
    <row r="301">
      <c r="A301" s="8" t="inlineStr">
        <is>
          <t>F1P-252</t>
        </is>
      </c>
      <c r="B301" s="8" t="inlineStr">
        <is>
          <t>F1P</t>
        </is>
      </c>
      <c r="C301" s="8" t="inlineStr">
        <is>
          <t>7-1.51/G+1.52</t>
        </is>
      </c>
      <c r="D301" s="9" t="n">
        <v>34.493</v>
      </c>
      <c r="E301" s="9" t="n">
        <v>37.516</v>
      </c>
      <c r="F301" s="9" t="n">
        <v>1</v>
      </c>
      <c r="G301" s="9" t="n">
        <v>1</v>
      </c>
      <c r="H301" s="9" t="n">
        <v>0.2</v>
      </c>
      <c r="I301" s="9" t="n">
        <v>0.3</v>
      </c>
      <c r="J301" s="9" t="n">
        <v>0.1</v>
      </c>
      <c r="K301" s="9" t="n">
        <v>-0.05</v>
      </c>
      <c r="L301" s="9" t="n">
        <v>0.05</v>
      </c>
      <c r="M301" s="8" t="n">
        <v>1</v>
      </c>
      <c r="N301" s="8" t="inlineStr">
        <is>
          <t>1x I-350 ยาว 22 ม.</t>
        </is>
      </c>
      <c r="O301" s="8">
        <f>F301*G301*H301</f>
        <v/>
      </c>
      <c r="P301" s="8">
        <f>2*(F301+G301)*H301</f>
        <v/>
      </c>
      <c r="Q301" s="8">
        <f>IF(L301&gt;0,(F301+2*0.1)*(G301+2*0.1)*L301,0)</f>
        <v/>
      </c>
      <c r="R301" s="8">
        <f>(F301+0.2)*(G301+0.2)*0.1</f>
        <v/>
      </c>
      <c r="S301" s="8">
        <f>(F301+0.2)*(G301+0.2)*0.05</f>
        <v/>
      </c>
      <c r="T301" s="8">
        <f>INDEX('2-ฐานราก เหล็กเสริม'!$S:$S,MATCH(B301,'2-ฐานราก เหล็กเสริม'!$A:$A,0))</f>
        <v/>
      </c>
      <c r="U301" s="8" t="inlineStr">
        <is>
          <t>M24</t>
        </is>
      </c>
      <c r="V301" s="10" t="inlineStr">
        <is>
          <t>แบบ S201 (ตำแหน่ง) / ระดับรอยืนยัน</t>
        </is>
      </c>
    </row>
    <row r="302">
      <c r="A302" s="8" t="inlineStr">
        <is>
          <t>F1P-253</t>
        </is>
      </c>
      <c r="B302" s="8" t="inlineStr">
        <is>
          <t>F1P</t>
        </is>
      </c>
      <c r="C302" s="8" t="inlineStr">
        <is>
          <t>7+1.49/G+1.52</t>
        </is>
      </c>
      <c r="D302" s="9" t="n">
        <v>37.492</v>
      </c>
      <c r="E302" s="9" t="n">
        <v>37.516</v>
      </c>
      <c r="F302" s="9" t="n">
        <v>1</v>
      </c>
      <c r="G302" s="9" t="n">
        <v>1</v>
      </c>
      <c r="H302" s="9" t="n">
        <v>0.2</v>
      </c>
      <c r="I302" s="9" t="n">
        <v>0.3</v>
      </c>
      <c r="J302" s="9" t="n">
        <v>0.1</v>
      </c>
      <c r="K302" s="9" t="n">
        <v>-0.05</v>
      </c>
      <c r="L302" s="9" t="n">
        <v>0.05</v>
      </c>
      <c r="M302" s="8" t="n">
        <v>1</v>
      </c>
      <c r="N302" s="8" t="inlineStr">
        <is>
          <t>1x I-350 ยาว 22 ม.</t>
        </is>
      </c>
      <c r="O302" s="8">
        <f>F302*G302*H302</f>
        <v/>
      </c>
      <c r="P302" s="8">
        <f>2*(F302+G302)*H302</f>
        <v/>
      </c>
      <c r="Q302" s="8">
        <f>IF(L302&gt;0,(F302+2*0.1)*(G302+2*0.1)*L302,0)</f>
        <v/>
      </c>
      <c r="R302" s="8">
        <f>(F302+0.2)*(G302+0.2)*0.1</f>
        <v/>
      </c>
      <c r="S302" s="8">
        <f>(F302+0.2)*(G302+0.2)*0.05</f>
        <v/>
      </c>
      <c r="T302" s="8">
        <f>INDEX('2-ฐานราก เหล็กเสริม'!$S:$S,MATCH(B302,'2-ฐานราก เหล็กเสริม'!$A:$A,0))</f>
        <v/>
      </c>
      <c r="U302" s="8" t="inlineStr">
        <is>
          <t>M24</t>
        </is>
      </c>
      <c r="V302" s="10" t="inlineStr">
        <is>
          <t>แบบ S201 (ตำแหน่ง) / ระดับรอยืนยัน</t>
        </is>
      </c>
    </row>
    <row r="303">
      <c r="A303" s="8" t="inlineStr">
        <is>
          <t>F1P-254</t>
        </is>
      </c>
      <c r="B303" s="8" t="inlineStr">
        <is>
          <t>F1P</t>
        </is>
      </c>
      <c r="C303" s="8" t="inlineStr">
        <is>
          <t>8-1.51/G+1.52</t>
        </is>
      </c>
      <c r="D303" s="9" t="n">
        <v>40.491</v>
      </c>
      <c r="E303" s="9" t="n">
        <v>37.516</v>
      </c>
      <c r="F303" s="9" t="n">
        <v>1</v>
      </c>
      <c r="G303" s="9" t="n">
        <v>1</v>
      </c>
      <c r="H303" s="9" t="n">
        <v>0.2</v>
      </c>
      <c r="I303" s="9" t="n">
        <v>0.3</v>
      </c>
      <c r="J303" s="9" t="n">
        <v>0.1</v>
      </c>
      <c r="K303" s="9" t="n">
        <v>-0.05</v>
      </c>
      <c r="L303" s="9" t="n">
        <v>0.05</v>
      </c>
      <c r="M303" s="8" t="n">
        <v>1</v>
      </c>
      <c r="N303" s="8" t="inlineStr">
        <is>
          <t>1x I-350 ยาว 22 ม.</t>
        </is>
      </c>
      <c r="O303" s="8">
        <f>F303*G303*H303</f>
        <v/>
      </c>
      <c r="P303" s="8">
        <f>2*(F303+G303)*H303</f>
        <v/>
      </c>
      <c r="Q303" s="8">
        <f>IF(L303&gt;0,(F303+2*0.1)*(G303+2*0.1)*L303,0)</f>
        <v/>
      </c>
      <c r="R303" s="8">
        <f>(F303+0.2)*(G303+0.2)*0.1</f>
        <v/>
      </c>
      <c r="S303" s="8">
        <f>(F303+0.2)*(G303+0.2)*0.05</f>
        <v/>
      </c>
      <c r="T303" s="8">
        <f>INDEX('2-ฐานราก เหล็กเสริม'!$S:$S,MATCH(B303,'2-ฐานราก เหล็กเสริม'!$A:$A,0))</f>
        <v/>
      </c>
      <c r="U303" s="8" t="inlineStr">
        <is>
          <t>M24</t>
        </is>
      </c>
      <c r="V303" s="10" t="inlineStr">
        <is>
          <t>แบบ S201 (ตำแหน่ง) / ระดับรอยืนยัน</t>
        </is>
      </c>
    </row>
    <row r="304">
      <c r="A304" s="8" t="inlineStr">
        <is>
          <t>F1P-255</t>
        </is>
      </c>
      <c r="B304" s="8" t="inlineStr">
        <is>
          <t>F1P</t>
        </is>
      </c>
      <c r="C304" s="8" t="inlineStr">
        <is>
          <t>8+1.49/G+1.52</t>
        </is>
      </c>
      <c r="D304" s="9" t="n">
        <v>43.49</v>
      </c>
      <c r="E304" s="9" t="n">
        <v>37.516</v>
      </c>
      <c r="F304" s="9" t="n">
        <v>1</v>
      </c>
      <c r="G304" s="9" t="n">
        <v>1</v>
      </c>
      <c r="H304" s="9" t="n">
        <v>0.2</v>
      </c>
      <c r="I304" s="9" t="n">
        <v>0.3</v>
      </c>
      <c r="J304" s="9" t="n">
        <v>0.1</v>
      </c>
      <c r="K304" s="9" t="n">
        <v>-0.05</v>
      </c>
      <c r="L304" s="9" t="n">
        <v>0.05</v>
      </c>
      <c r="M304" s="8" t="n">
        <v>1</v>
      </c>
      <c r="N304" s="8" t="inlineStr">
        <is>
          <t>1x I-350 ยาว 22 ม.</t>
        </is>
      </c>
      <c r="O304" s="8">
        <f>F304*G304*H304</f>
        <v/>
      </c>
      <c r="P304" s="8">
        <f>2*(F304+G304)*H304</f>
        <v/>
      </c>
      <c r="Q304" s="8">
        <f>IF(L304&gt;0,(F304+2*0.1)*(G304+2*0.1)*L304,0)</f>
        <v/>
      </c>
      <c r="R304" s="8">
        <f>(F304+0.2)*(G304+0.2)*0.1</f>
        <v/>
      </c>
      <c r="S304" s="8">
        <f>(F304+0.2)*(G304+0.2)*0.05</f>
        <v/>
      </c>
      <c r="T304" s="8">
        <f>INDEX('2-ฐานราก เหล็กเสริม'!$S:$S,MATCH(B304,'2-ฐานราก เหล็กเสริม'!$A:$A,0))</f>
        <v/>
      </c>
      <c r="U304" s="8" t="inlineStr">
        <is>
          <t>M24</t>
        </is>
      </c>
      <c r="V304" s="10" t="inlineStr">
        <is>
          <t>แบบ S201 (ตำแหน่ง) / ระดับรอยืนยัน</t>
        </is>
      </c>
    </row>
    <row r="305">
      <c r="A305" s="8" t="inlineStr">
        <is>
          <t>F1P-256</t>
        </is>
      </c>
      <c r="B305" s="8" t="inlineStr">
        <is>
          <t>F1P</t>
        </is>
      </c>
      <c r="C305" s="8" t="inlineStr">
        <is>
          <t>9-1.51/G+1.52</t>
        </is>
      </c>
      <c r="D305" s="9" t="n">
        <v>46.495</v>
      </c>
      <c r="E305" s="9" t="n">
        <v>37.516</v>
      </c>
      <c r="F305" s="9" t="n">
        <v>1</v>
      </c>
      <c r="G305" s="9" t="n">
        <v>1</v>
      </c>
      <c r="H305" s="9" t="n">
        <v>0.2</v>
      </c>
      <c r="I305" s="9" t="n">
        <v>0.3</v>
      </c>
      <c r="J305" s="9" t="n">
        <v>0.1</v>
      </c>
      <c r="K305" s="9" t="n">
        <v>-0.05</v>
      </c>
      <c r="L305" s="9" t="n">
        <v>0.05</v>
      </c>
      <c r="M305" s="8" t="n">
        <v>1</v>
      </c>
      <c r="N305" s="8" t="inlineStr">
        <is>
          <t>1x I-350 ยาว 22 ม.</t>
        </is>
      </c>
      <c r="O305" s="8">
        <f>F305*G305*H305</f>
        <v/>
      </c>
      <c r="P305" s="8">
        <f>2*(F305+G305)*H305</f>
        <v/>
      </c>
      <c r="Q305" s="8">
        <f>IF(L305&gt;0,(F305+2*0.1)*(G305+2*0.1)*L305,0)</f>
        <v/>
      </c>
      <c r="R305" s="8">
        <f>(F305+0.2)*(G305+0.2)*0.1</f>
        <v/>
      </c>
      <c r="S305" s="8">
        <f>(F305+0.2)*(G305+0.2)*0.05</f>
        <v/>
      </c>
      <c r="T305" s="8">
        <f>INDEX('2-ฐานราก เหล็กเสริม'!$S:$S,MATCH(B305,'2-ฐานราก เหล็กเสริม'!$A:$A,0))</f>
        <v/>
      </c>
      <c r="U305" s="8" t="inlineStr">
        <is>
          <t>M24</t>
        </is>
      </c>
      <c r="V305" s="10" t="inlineStr">
        <is>
          <t>แบบ S201 (ตำแหน่ง) / ระดับรอยืนยัน</t>
        </is>
      </c>
    </row>
    <row r="306">
      <c r="A306" s="8" t="inlineStr">
        <is>
          <t>F1P-257</t>
        </is>
      </c>
      <c r="B306" s="8" t="inlineStr">
        <is>
          <t>F1P</t>
        </is>
      </c>
      <c r="C306" s="8" t="inlineStr">
        <is>
          <t>9+1.49/G+1.52</t>
        </is>
      </c>
      <c r="D306" s="9" t="n">
        <v>49.494</v>
      </c>
      <c r="E306" s="9" t="n">
        <v>37.516</v>
      </c>
      <c r="F306" s="9" t="n">
        <v>1</v>
      </c>
      <c r="G306" s="9" t="n">
        <v>1</v>
      </c>
      <c r="H306" s="9" t="n">
        <v>0.2</v>
      </c>
      <c r="I306" s="9" t="n">
        <v>0.3</v>
      </c>
      <c r="J306" s="9" t="n">
        <v>0.1</v>
      </c>
      <c r="K306" s="9" t="n">
        <v>-0.05</v>
      </c>
      <c r="L306" s="9" t="n">
        <v>0.05</v>
      </c>
      <c r="M306" s="8" t="n">
        <v>1</v>
      </c>
      <c r="N306" s="8" t="inlineStr">
        <is>
          <t>1x I-350 ยาว 22 ม.</t>
        </is>
      </c>
      <c r="O306" s="8">
        <f>F306*G306*H306</f>
        <v/>
      </c>
      <c r="P306" s="8">
        <f>2*(F306+G306)*H306</f>
        <v/>
      </c>
      <c r="Q306" s="8">
        <f>IF(L306&gt;0,(F306+2*0.1)*(G306+2*0.1)*L306,0)</f>
        <v/>
      </c>
      <c r="R306" s="8">
        <f>(F306+0.2)*(G306+0.2)*0.1</f>
        <v/>
      </c>
      <c r="S306" s="8">
        <f>(F306+0.2)*(G306+0.2)*0.05</f>
        <v/>
      </c>
      <c r="T306" s="8">
        <f>INDEX('2-ฐานราก เหล็กเสริม'!$S:$S,MATCH(B306,'2-ฐานราก เหล็กเสริม'!$A:$A,0))</f>
        <v/>
      </c>
      <c r="U306" s="8" t="inlineStr">
        <is>
          <t>M24</t>
        </is>
      </c>
      <c r="V306" s="10" t="inlineStr">
        <is>
          <t>แบบ S201 (ตำแหน่ง) / ระดับรอยืนยัน</t>
        </is>
      </c>
    </row>
    <row r="307">
      <c r="A307" s="8" t="inlineStr">
        <is>
          <t>F1P-258</t>
        </is>
      </c>
      <c r="B307" s="8" t="inlineStr">
        <is>
          <t>F1P</t>
        </is>
      </c>
      <c r="C307" s="8" t="inlineStr">
        <is>
          <t>10-1.51/G+1.52</t>
        </is>
      </c>
      <c r="D307" s="9" t="n">
        <v>52.493</v>
      </c>
      <c r="E307" s="9" t="n">
        <v>37.516</v>
      </c>
      <c r="F307" s="9" t="n">
        <v>1</v>
      </c>
      <c r="G307" s="9" t="n">
        <v>1</v>
      </c>
      <c r="H307" s="9" t="n">
        <v>0.2</v>
      </c>
      <c r="I307" s="9" t="n">
        <v>0.3</v>
      </c>
      <c r="J307" s="9" t="n">
        <v>0.1</v>
      </c>
      <c r="K307" s="9" t="n">
        <v>-0.05</v>
      </c>
      <c r="L307" s="9" t="n">
        <v>0.05</v>
      </c>
      <c r="M307" s="8" t="n">
        <v>1</v>
      </c>
      <c r="N307" s="8" t="inlineStr">
        <is>
          <t>1x I-350 ยาว 22 ม.</t>
        </is>
      </c>
      <c r="O307" s="8">
        <f>F307*G307*H307</f>
        <v/>
      </c>
      <c r="P307" s="8">
        <f>2*(F307+G307)*H307</f>
        <v/>
      </c>
      <c r="Q307" s="8">
        <f>IF(L307&gt;0,(F307+2*0.1)*(G307+2*0.1)*L307,0)</f>
        <v/>
      </c>
      <c r="R307" s="8">
        <f>(F307+0.2)*(G307+0.2)*0.1</f>
        <v/>
      </c>
      <c r="S307" s="8">
        <f>(F307+0.2)*(G307+0.2)*0.05</f>
        <v/>
      </c>
      <c r="T307" s="8">
        <f>INDEX('2-ฐานราก เหล็กเสริม'!$S:$S,MATCH(B307,'2-ฐานราก เหล็กเสริม'!$A:$A,0))</f>
        <v/>
      </c>
      <c r="U307" s="8" t="inlineStr">
        <is>
          <t>M24</t>
        </is>
      </c>
      <c r="V307" s="10" t="inlineStr">
        <is>
          <t>แบบ S201 (ตำแหน่ง) / ระดับรอยืนยัน</t>
        </is>
      </c>
    </row>
    <row r="308">
      <c r="A308" s="8" t="inlineStr">
        <is>
          <t>F1P-259</t>
        </is>
      </c>
      <c r="B308" s="8" t="inlineStr">
        <is>
          <t>F1P</t>
        </is>
      </c>
      <c r="C308" s="8" t="inlineStr">
        <is>
          <t>10+1.49/G+1.52</t>
        </is>
      </c>
      <c r="D308" s="9" t="n">
        <v>55.492</v>
      </c>
      <c r="E308" s="9" t="n">
        <v>37.516</v>
      </c>
      <c r="F308" s="9" t="n">
        <v>1</v>
      </c>
      <c r="G308" s="9" t="n">
        <v>1</v>
      </c>
      <c r="H308" s="9" t="n">
        <v>0.2</v>
      </c>
      <c r="I308" s="9" t="n">
        <v>0.3</v>
      </c>
      <c r="J308" s="9" t="n">
        <v>0.1</v>
      </c>
      <c r="K308" s="9" t="n">
        <v>-0.05</v>
      </c>
      <c r="L308" s="9" t="n">
        <v>0.05</v>
      </c>
      <c r="M308" s="8" t="n">
        <v>1</v>
      </c>
      <c r="N308" s="8" t="inlineStr">
        <is>
          <t>1x I-350 ยาว 22 ม.</t>
        </is>
      </c>
      <c r="O308" s="8">
        <f>F308*G308*H308</f>
        <v/>
      </c>
      <c r="P308" s="8">
        <f>2*(F308+G308)*H308</f>
        <v/>
      </c>
      <c r="Q308" s="8">
        <f>IF(L308&gt;0,(F308+2*0.1)*(G308+2*0.1)*L308,0)</f>
        <v/>
      </c>
      <c r="R308" s="8">
        <f>(F308+0.2)*(G308+0.2)*0.1</f>
        <v/>
      </c>
      <c r="S308" s="8">
        <f>(F308+0.2)*(G308+0.2)*0.05</f>
        <v/>
      </c>
      <c r="T308" s="8">
        <f>INDEX('2-ฐานราก เหล็กเสริม'!$S:$S,MATCH(B308,'2-ฐานราก เหล็กเสริม'!$A:$A,0))</f>
        <v/>
      </c>
      <c r="U308" s="8" t="inlineStr">
        <is>
          <t>M24</t>
        </is>
      </c>
      <c r="V308" s="10" t="inlineStr">
        <is>
          <t>แบบ S201 (ตำแหน่ง) / ระดับรอยืนยัน</t>
        </is>
      </c>
    </row>
    <row r="309">
      <c r="A309" s="8" t="inlineStr">
        <is>
          <t>F1P-260</t>
        </is>
      </c>
      <c r="B309" s="8" t="inlineStr">
        <is>
          <t>F1P</t>
        </is>
      </c>
      <c r="C309" s="8" t="inlineStr">
        <is>
          <t>11-1.51/G+1.52</t>
        </is>
      </c>
      <c r="D309" s="9" t="n">
        <v>58.49</v>
      </c>
      <c r="E309" s="9" t="n">
        <v>37.516</v>
      </c>
      <c r="F309" s="9" t="n">
        <v>1</v>
      </c>
      <c r="G309" s="9" t="n">
        <v>1</v>
      </c>
      <c r="H309" s="9" t="n">
        <v>0.2</v>
      </c>
      <c r="I309" s="9" t="n">
        <v>0.3</v>
      </c>
      <c r="J309" s="9" t="n">
        <v>0.1</v>
      </c>
      <c r="K309" s="9" t="n">
        <v>-0.05</v>
      </c>
      <c r="L309" s="9" t="n">
        <v>0.05</v>
      </c>
      <c r="M309" s="8" t="n">
        <v>1</v>
      </c>
      <c r="N309" s="8" t="inlineStr">
        <is>
          <t>1x I-350 ยาว 22 ม.</t>
        </is>
      </c>
      <c r="O309" s="8">
        <f>F309*G309*H309</f>
        <v/>
      </c>
      <c r="P309" s="8">
        <f>2*(F309+G309)*H309</f>
        <v/>
      </c>
      <c r="Q309" s="8">
        <f>IF(L309&gt;0,(F309+2*0.1)*(G309+2*0.1)*L309,0)</f>
        <v/>
      </c>
      <c r="R309" s="8">
        <f>(F309+0.2)*(G309+0.2)*0.1</f>
        <v/>
      </c>
      <c r="S309" s="8">
        <f>(F309+0.2)*(G309+0.2)*0.05</f>
        <v/>
      </c>
      <c r="T309" s="8">
        <f>INDEX('2-ฐานราก เหล็กเสริม'!$S:$S,MATCH(B309,'2-ฐานราก เหล็กเสริม'!$A:$A,0))</f>
        <v/>
      </c>
      <c r="U309" s="8" t="inlineStr">
        <is>
          <t>M24</t>
        </is>
      </c>
      <c r="V309" s="10" t="inlineStr">
        <is>
          <t>แบบ S201 (ตำแหน่ง) / ระดับรอยืนยัน</t>
        </is>
      </c>
    </row>
    <row r="310">
      <c r="A310" s="8" t="inlineStr">
        <is>
          <t>F1P-261</t>
        </is>
      </c>
      <c r="B310" s="8" t="inlineStr">
        <is>
          <t>F1P</t>
        </is>
      </c>
      <c r="C310" s="8" t="inlineStr">
        <is>
          <t>1+1.49/H-1.48</t>
        </is>
      </c>
      <c r="D310" s="9" t="n">
        <v>1.487</v>
      </c>
      <c r="E310" s="9" t="n">
        <v>40.515</v>
      </c>
      <c r="F310" s="9" t="n">
        <v>1</v>
      </c>
      <c r="G310" s="9" t="n">
        <v>1</v>
      </c>
      <c r="H310" s="9" t="n">
        <v>0.2</v>
      </c>
      <c r="I310" s="9" t="n">
        <v>0.3</v>
      </c>
      <c r="J310" s="9" t="n">
        <v>0.1</v>
      </c>
      <c r="K310" s="9" t="n">
        <v>-0.05</v>
      </c>
      <c r="L310" s="9" t="n">
        <v>0.05</v>
      </c>
      <c r="M310" s="8" t="n">
        <v>1</v>
      </c>
      <c r="N310" s="8" t="inlineStr">
        <is>
          <t>1x I-350 ยาว 22 ม.</t>
        </is>
      </c>
      <c r="O310" s="8">
        <f>F310*G310*H310</f>
        <v/>
      </c>
      <c r="P310" s="8">
        <f>2*(F310+G310)*H310</f>
        <v/>
      </c>
      <c r="Q310" s="8">
        <f>IF(L310&gt;0,(F310+2*0.1)*(G310+2*0.1)*L310,0)</f>
        <v/>
      </c>
      <c r="R310" s="8">
        <f>(F310+0.2)*(G310+0.2)*0.1</f>
        <v/>
      </c>
      <c r="S310" s="8">
        <f>(F310+0.2)*(G310+0.2)*0.05</f>
        <v/>
      </c>
      <c r="T310" s="8">
        <f>INDEX('2-ฐานราก เหล็กเสริม'!$S:$S,MATCH(B310,'2-ฐานราก เหล็กเสริม'!$A:$A,0))</f>
        <v/>
      </c>
      <c r="U310" s="8" t="inlineStr">
        <is>
          <t>M24</t>
        </is>
      </c>
      <c r="V310" s="10" t="inlineStr">
        <is>
          <t>แบบ S201 (ตำแหน่ง) / ระดับรอยืนยัน</t>
        </is>
      </c>
    </row>
    <row r="311">
      <c r="A311" s="8" t="inlineStr">
        <is>
          <t>F1P-262</t>
        </is>
      </c>
      <c r="B311" s="8" t="inlineStr">
        <is>
          <t>F1P</t>
        </is>
      </c>
      <c r="C311" s="8" t="inlineStr">
        <is>
          <t>2-1.51/H-1.48</t>
        </is>
      </c>
      <c r="D311" s="9" t="n">
        <v>4.485</v>
      </c>
      <c r="E311" s="9" t="n">
        <v>40.515</v>
      </c>
      <c r="F311" s="9" t="n">
        <v>1</v>
      </c>
      <c r="G311" s="9" t="n">
        <v>1</v>
      </c>
      <c r="H311" s="9" t="n">
        <v>0.2</v>
      </c>
      <c r="I311" s="9" t="n">
        <v>0.3</v>
      </c>
      <c r="J311" s="9" t="n">
        <v>0.1</v>
      </c>
      <c r="K311" s="9" t="n">
        <v>-0.05</v>
      </c>
      <c r="L311" s="9" t="n">
        <v>0.05</v>
      </c>
      <c r="M311" s="8" t="n">
        <v>1</v>
      </c>
      <c r="N311" s="8" t="inlineStr">
        <is>
          <t>1x I-350 ยาว 22 ม.</t>
        </is>
      </c>
      <c r="O311" s="8">
        <f>F311*G311*H311</f>
        <v/>
      </c>
      <c r="P311" s="8">
        <f>2*(F311+G311)*H311</f>
        <v/>
      </c>
      <c r="Q311" s="8">
        <f>IF(L311&gt;0,(F311+2*0.1)*(G311+2*0.1)*L311,0)</f>
        <v/>
      </c>
      <c r="R311" s="8">
        <f>(F311+0.2)*(G311+0.2)*0.1</f>
        <v/>
      </c>
      <c r="S311" s="8">
        <f>(F311+0.2)*(G311+0.2)*0.05</f>
        <v/>
      </c>
      <c r="T311" s="8">
        <f>INDEX('2-ฐานราก เหล็กเสริม'!$S:$S,MATCH(B311,'2-ฐานราก เหล็กเสริม'!$A:$A,0))</f>
        <v/>
      </c>
      <c r="U311" s="8" t="inlineStr">
        <is>
          <t>M24</t>
        </is>
      </c>
      <c r="V311" s="10" t="inlineStr">
        <is>
          <t>แบบ S201 (ตำแหน่ง) / ระดับรอยืนยัน</t>
        </is>
      </c>
    </row>
    <row r="312">
      <c r="A312" s="8" t="inlineStr">
        <is>
          <t>F1P-263</t>
        </is>
      </c>
      <c r="B312" s="8" t="inlineStr">
        <is>
          <t>F1P</t>
        </is>
      </c>
      <c r="C312" s="8" t="inlineStr">
        <is>
          <t>2+1.49/H-1.48</t>
        </is>
      </c>
      <c r="D312" s="9" t="n">
        <v>7.491</v>
      </c>
      <c r="E312" s="9" t="n">
        <v>40.515</v>
      </c>
      <c r="F312" s="9" t="n">
        <v>1</v>
      </c>
      <c r="G312" s="9" t="n">
        <v>1</v>
      </c>
      <c r="H312" s="9" t="n">
        <v>0.2</v>
      </c>
      <c r="I312" s="9" t="n">
        <v>0.3</v>
      </c>
      <c r="J312" s="9" t="n">
        <v>0.1</v>
      </c>
      <c r="K312" s="9" t="n">
        <v>-0.05</v>
      </c>
      <c r="L312" s="9" t="n">
        <v>0.05</v>
      </c>
      <c r="M312" s="8" t="n">
        <v>1</v>
      </c>
      <c r="N312" s="8" t="inlineStr">
        <is>
          <t>1x I-350 ยาว 22 ม.</t>
        </is>
      </c>
      <c r="O312" s="8">
        <f>F312*G312*H312</f>
        <v/>
      </c>
      <c r="P312" s="8">
        <f>2*(F312+G312)*H312</f>
        <v/>
      </c>
      <c r="Q312" s="8">
        <f>IF(L312&gt;0,(F312+2*0.1)*(G312+2*0.1)*L312,0)</f>
        <v/>
      </c>
      <c r="R312" s="8">
        <f>(F312+0.2)*(G312+0.2)*0.1</f>
        <v/>
      </c>
      <c r="S312" s="8">
        <f>(F312+0.2)*(G312+0.2)*0.05</f>
        <v/>
      </c>
      <c r="T312" s="8">
        <f>INDEX('2-ฐานราก เหล็กเสริม'!$S:$S,MATCH(B312,'2-ฐานราก เหล็กเสริม'!$A:$A,0))</f>
        <v/>
      </c>
      <c r="U312" s="8" t="inlineStr">
        <is>
          <t>M24</t>
        </is>
      </c>
      <c r="V312" s="10" t="inlineStr">
        <is>
          <t>แบบ S201 (ตำแหน่ง) / ระดับรอยืนยัน</t>
        </is>
      </c>
    </row>
    <row r="313">
      <c r="A313" s="8" t="inlineStr">
        <is>
          <t>F1P-264</t>
        </is>
      </c>
      <c r="B313" s="8" t="inlineStr">
        <is>
          <t>F1P</t>
        </is>
      </c>
      <c r="C313" s="8" t="inlineStr">
        <is>
          <t>3-1.51/H-1.48</t>
        </is>
      </c>
      <c r="D313" s="9" t="n">
        <v>10.49</v>
      </c>
      <c r="E313" s="9" t="n">
        <v>40.515</v>
      </c>
      <c r="F313" s="9" t="n">
        <v>1</v>
      </c>
      <c r="G313" s="9" t="n">
        <v>1</v>
      </c>
      <c r="H313" s="9" t="n">
        <v>0.2</v>
      </c>
      <c r="I313" s="9" t="n">
        <v>0.3</v>
      </c>
      <c r="J313" s="9" t="n">
        <v>0.1</v>
      </c>
      <c r="K313" s="9" t="n">
        <v>-0.05</v>
      </c>
      <c r="L313" s="9" t="n">
        <v>0.05</v>
      </c>
      <c r="M313" s="8" t="n">
        <v>1</v>
      </c>
      <c r="N313" s="8" t="inlineStr">
        <is>
          <t>1x I-350 ยาว 22 ม.</t>
        </is>
      </c>
      <c r="O313" s="8">
        <f>F313*G313*H313</f>
        <v/>
      </c>
      <c r="P313" s="8">
        <f>2*(F313+G313)*H313</f>
        <v/>
      </c>
      <c r="Q313" s="8">
        <f>IF(L313&gt;0,(F313+2*0.1)*(G313+2*0.1)*L313,0)</f>
        <v/>
      </c>
      <c r="R313" s="8">
        <f>(F313+0.2)*(G313+0.2)*0.1</f>
        <v/>
      </c>
      <c r="S313" s="8">
        <f>(F313+0.2)*(G313+0.2)*0.05</f>
        <v/>
      </c>
      <c r="T313" s="8">
        <f>INDEX('2-ฐานราก เหล็กเสริม'!$S:$S,MATCH(B313,'2-ฐานราก เหล็กเสริม'!$A:$A,0))</f>
        <v/>
      </c>
      <c r="U313" s="8" t="inlineStr">
        <is>
          <t>M24</t>
        </is>
      </c>
      <c r="V313" s="10" t="inlineStr">
        <is>
          <t>แบบ S201 (ตำแหน่ง) / ระดับรอยืนยัน</t>
        </is>
      </c>
    </row>
    <row r="314">
      <c r="A314" s="8" t="inlineStr">
        <is>
          <t>F1P-265</t>
        </is>
      </c>
      <c r="B314" s="8" t="inlineStr">
        <is>
          <t>F1P</t>
        </is>
      </c>
      <c r="C314" s="8" t="inlineStr">
        <is>
          <t>3+1.49/H-1.48</t>
        </is>
      </c>
      <c r="D314" s="9" t="n">
        <v>13.488</v>
      </c>
      <c r="E314" s="9" t="n">
        <v>40.515</v>
      </c>
      <c r="F314" s="9" t="n">
        <v>1</v>
      </c>
      <c r="G314" s="9" t="n">
        <v>1</v>
      </c>
      <c r="H314" s="9" t="n">
        <v>0.2</v>
      </c>
      <c r="I314" s="9" t="n">
        <v>0.3</v>
      </c>
      <c r="J314" s="9" t="n">
        <v>0.1</v>
      </c>
      <c r="K314" s="9" t="n">
        <v>-0.05</v>
      </c>
      <c r="L314" s="9" t="n">
        <v>0.05</v>
      </c>
      <c r="M314" s="8" t="n">
        <v>1</v>
      </c>
      <c r="N314" s="8" t="inlineStr">
        <is>
          <t>1x I-350 ยาว 22 ม.</t>
        </is>
      </c>
      <c r="O314" s="8">
        <f>F314*G314*H314</f>
        <v/>
      </c>
      <c r="P314" s="8">
        <f>2*(F314+G314)*H314</f>
        <v/>
      </c>
      <c r="Q314" s="8">
        <f>IF(L314&gt;0,(F314+2*0.1)*(G314+2*0.1)*L314,0)</f>
        <v/>
      </c>
      <c r="R314" s="8">
        <f>(F314+0.2)*(G314+0.2)*0.1</f>
        <v/>
      </c>
      <c r="S314" s="8">
        <f>(F314+0.2)*(G314+0.2)*0.05</f>
        <v/>
      </c>
      <c r="T314" s="8">
        <f>INDEX('2-ฐานราก เหล็กเสริม'!$S:$S,MATCH(B314,'2-ฐานราก เหล็กเสริม'!$A:$A,0))</f>
        <v/>
      </c>
      <c r="U314" s="8" t="inlineStr">
        <is>
          <t>M24</t>
        </is>
      </c>
      <c r="V314" s="10" t="inlineStr">
        <is>
          <t>แบบ S201 (ตำแหน่ง) / ระดับรอยืนยัน</t>
        </is>
      </c>
    </row>
    <row r="315">
      <c r="A315" s="8" t="inlineStr">
        <is>
          <t>F1P-266</t>
        </is>
      </c>
      <c r="B315" s="8" t="inlineStr">
        <is>
          <t>F1P</t>
        </is>
      </c>
      <c r="C315" s="8" t="inlineStr">
        <is>
          <t>4-1.51/H-1.48</t>
        </is>
      </c>
      <c r="D315" s="9" t="n">
        <v>16.487</v>
      </c>
      <c r="E315" s="9" t="n">
        <v>40.515</v>
      </c>
      <c r="F315" s="9" t="n">
        <v>1</v>
      </c>
      <c r="G315" s="9" t="n">
        <v>1</v>
      </c>
      <c r="H315" s="9" t="n">
        <v>0.2</v>
      </c>
      <c r="I315" s="9" t="n">
        <v>0.3</v>
      </c>
      <c r="J315" s="9" t="n">
        <v>0.1</v>
      </c>
      <c r="K315" s="9" t="n">
        <v>-0.05</v>
      </c>
      <c r="L315" s="9" t="n">
        <v>0.05</v>
      </c>
      <c r="M315" s="8" t="n">
        <v>1</v>
      </c>
      <c r="N315" s="8" t="inlineStr">
        <is>
          <t>1x I-350 ยาว 22 ม.</t>
        </is>
      </c>
      <c r="O315" s="8">
        <f>F315*G315*H315</f>
        <v/>
      </c>
      <c r="P315" s="8">
        <f>2*(F315+G315)*H315</f>
        <v/>
      </c>
      <c r="Q315" s="8">
        <f>IF(L315&gt;0,(F315+2*0.1)*(G315+2*0.1)*L315,0)</f>
        <v/>
      </c>
      <c r="R315" s="8">
        <f>(F315+0.2)*(G315+0.2)*0.1</f>
        <v/>
      </c>
      <c r="S315" s="8">
        <f>(F315+0.2)*(G315+0.2)*0.05</f>
        <v/>
      </c>
      <c r="T315" s="8">
        <f>INDEX('2-ฐานราก เหล็กเสริม'!$S:$S,MATCH(B315,'2-ฐานราก เหล็กเสริม'!$A:$A,0))</f>
        <v/>
      </c>
      <c r="U315" s="8" t="inlineStr">
        <is>
          <t>M24</t>
        </is>
      </c>
      <c r="V315" s="10" t="inlineStr">
        <is>
          <t>แบบ S201 (ตำแหน่ง) / ระดับรอยืนยัน</t>
        </is>
      </c>
    </row>
    <row r="316">
      <c r="A316" s="8" t="inlineStr">
        <is>
          <t>F1P-267</t>
        </is>
      </c>
      <c r="B316" s="8" t="inlineStr">
        <is>
          <t>F1P</t>
        </is>
      </c>
      <c r="C316" s="8" t="inlineStr">
        <is>
          <t>4+1.49/H-1.48</t>
        </is>
      </c>
      <c r="D316" s="9" t="n">
        <v>19.486</v>
      </c>
      <c r="E316" s="9" t="n">
        <v>40.515</v>
      </c>
      <c r="F316" s="9" t="n">
        <v>1</v>
      </c>
      <c r="G316" s="9" t="n">
        <v>1</v>
      </c>
      <c r="H316" s="9" t="n">
        <v>0.2</v>
      </c>
      <c r="I316" s="9" t="n">
        <v>0.3</v>
      </c>
      <c r="J316" s="9" t="n">
        <v>0.1</v>
      </c>
      <c r="K316" s="9" t="n">
        <v>-0.05</v>
      </c>
      <c r="L316" s="9" t="n">
        <v>0.05</v>
      </c>
      <c r="M316" s="8" t="n">
        <v>1</v>
      </c>
      <c r="N316" s="8" t="inlineStr">
        <is>
          <t>1x I-350 ยาว 22 ม.</t>
        </is>
      </c>
      <c r="O316" s="8">
        <f>F316*G316*H316</f>
        <v/>
      </c>
      <c r="P316" s="8">
        <f>2*(F316+G316)*H316</f>
        <v/>
      </c>
      <c r="Q316" s="8">
        <f>IF(L316&gt;0,(F316+2*0.1)*(G316+2*0.1)*L316,0)</f>
        <v/>
      </c>
      <c r="R316" s="8">
        <f>(F316+0.2)*(G316+0.2)*0.1</f>
        <v/>
      </c>
      <c r="S316" s="8">
        <f>(F316+0.2)*(G316+0.2)*0.05</f>
        <v/>
      </c>
      <c r="T316" s="8">
        <f>INDEX('2-ฐานราก เหล็กเสริม'!$S:$S,MATCH(B316,'2-ฐานราก เหล็กเสริม'!$A:$A,0))</f>
        <v/>
      </c>
      <c r="U316" s="8" t="inlineStr">
        <is>
          <t>M24</t>
        </is>
      </c>
      <c r="V316" s="10" t="inlineStr">
        <is>
          <t>แบบ S201 (ตำแหน่ง) / ระดับรอยืนยัน</t>
        </is>
      </c>
    </row>
    <row r="317">
      <c r="A317" s="8" t="inlineStr">
        <is>
          <t>F1P-268</t>
        </is>
      </c>
      <c r="B317" s="8" t="inlineStr">
        <is>
          <t>F1P</t>
        </is>
      </c>
      <c r="C317" s="8" t="inlineStr">
        <is>
          <t>5-1.51/H-1.48</t>
        </is>
      </c>
      <c r="D317" s="9" t="n">
        <v>22.491</v>
      </c>
      <c r="E317" s="9" t="n">
        <v>40.515</v>
      </c>
      <c r="F317" s="9" t="n">
        <v>1</v>
      </c>
      <c r="G317" s="9" t="n">
        <v>1</v>
      </c>
      <c r="H317" s="9" t="n">
        <v>0.2</v>
      </c>
      <c r="I317" s="9" t="n">
        <v>0.3</v>
      </c>
      <c r="J317" s="9" t="n">
        <v>0.1</v>
      </c>
      <c r="K317" s="9" t="n">
        <v>-0.05</v>
      </c>
      <c r="L317" s="9" t="n">
        <v>0.05</v>
      </c>
      <c r="M317" s="8" t="n">
        <v>1</v>
      </c>
      <c r="N317" s="8" t="inlineStr">
        <is>
          <t>1x I-350 ยาว 22 ม.</t>
        </is>
      </c>
      <c r="O317" s="8">
        <f>F317*G317*H317</f>
        <v/>
      </c>
      <c r="P317" s="8">
        <f>2*(F317+G317)*H317</f>
        <v/>
      </c>
      <c r="Q317" s="8">
        <f>IF(L317&gt;0,(F317+2*0.1)*(G317+2*0.1)*L317,0)</f>
        <v/>
      </c>
      <c r="R317" s="8">
        <f>(F317+0.2)*(G317+0.2)*0.1</f>
        <v/>
      </c>
      <c r="S317" s="8">
        <f>(F317+0.2)*(G317+0.2)*0.05</f>
        <v/>
      </c>
      <c r="T317" s="8">
        <f>INDEX('2-ฐานราก เหล็กเสริม'!$S:$S,MATCH(B317,'2-ฐานราก เหล็กเสริม'!$A:$A,0))</f>
        <v/>
      </c>
      <c r="U317" s="8" t="inlineStr">
        <is>
          <t>M24</t>
        </is>
      </c>
      <c r="V317" s="10" t="inlineStr">
        <is>
          <t>แบบ S201 (ตำแหน่ง) / ระดับรอยืนยัน</t>
        </is>
      </c>
    </row>
    <row r="318">
      <c r="A318" s="8" t="inlineStr">
        <is>
          <t>F1P-269</t>
        </is>
      </c>
      <c r="B318" s="8" t="inlineStr">
        <is>
          <t>F1P</t>
        </is>
      </c>
      <c r="C318" s="8" t="inlineStr">
        <is>
          <t>5+1.49/H-1.48</t>
        </is>
      </c>
      <c r="D318" s="9" t="n">
        <v>25.49</v>
      </c>
      <c r="E318" s="9" t="n">
        <v>40.515</v>
      </c>
      <c r="F318" s="9" t="n">
        <v>1</v>
      </c>
      <c r="G318" s="9" t="n">
        <v>1</v>
      </c>
      <c r="H318" s="9" t="n">
        <v>0.2</v>
      </c>
      <c r="I318" s="9" t="n">
        <v>0.3</v>
      </c>
      <c r="J318" s="9" t="n">
        <v>0.1</v>
      </c>
      <c r="K318" s="9" t="n">
        <v>-0.05</v>
      </c>
      <c r="L318" s="9" t="n">
        <v>0.05</v>
      </c>
      <c r="M318" s="8" t="n">
        <v>1</v>
      </c>
      <c r="N318" s="8" t="inlineStr">
        <is>
          <t>1x I-350 ยาว 22 ม.</t>
        </is>
      </c>
      <c r="O318" s="8">
        <f>F318*G318*H318</f>
        <v/>
      </c>
      <c r="P318" s="8">
        <f>2*(F318+G318)*H318</f>
        <v/>
      </c>
      <c r="Q318" s="8">
        <f>IF(L318&gt;0,(F318+2*0.1)*(G318+2*0.1)*L318,0)</f>
        <v/>
      </c>
      <c r="R318" s="8">
        <f>(F318+0.2)*(G318+0.2)*0.1</f>
        <v/>
      </c>
      <c r="S318" s="8">
        <f>(F318+0.2)*(G318+0.2)*0.05</f>
        <v/>
      </c>
      <c r="T318" s="8">
        <f>INDEX('2-ฐานราก เหล็กเสริม'!$S:$S,MATCH(B318,'2-ฐานราก เหล็กเสริม'!$A:$A,0))</f>
        <v/>
      </c>
      <c r="U318" s="8" t="inlineStr">
        <is>
          <t>M24</t>
        </is>
      </c>
      <c r="V318" s="10" t="inlineStr">
        <is>
          <t>แบบ S201 (ตำแหน่ง) / ระดับรอยืนยัน</t>
        </is>
      </c>
    </row>
    <row r="319">
      <c r="A319" s="8" t="inlineStr">
        <is>
          <t>F1P-270</t>
        </is>
      </c>
      <c r="B319" s="8" t="inlineStr">
        <is>
          <t>F1P</t>
        </is>
      </c>
      <c r="C319" s="8" t="inlineStr">
        <is>
          <t>6-1.51/H-1.48</t>
        </is>
      </c>
      <c r="D319" s="9" t="n">
        <v>28.489</v>
      </c>
      <c r="E319" s="9" t="n">
        <v>40.515</v>
      </c>
      <c r="F319" s="9" t="n">
        <v>1</v>
      </c>
      <c r="G319" s="9" t="n">
        <v>1</v>
      </c>
      <c r="H319" s="9" t="n">
        <v>0.2</v>
      </c>
      <c r="I319" s="9" t="n">
        <v>0.3</v>
      </c>
      <c r="J319" s="9" t="n">
        <v>0.1</v>
      </c>
      <c r="K319" s="9" t="n">
        <v>-0.05</v>
      </c>
      <c r="L319" s="9" t="n">
        <v>0.05</v>
      </c>
      <c r="M319" s="8" t="n">
        <v>1</v>
      </c>
      <c r="N319" s="8" t="inlineStr">
        <is>
          <t>1x I-350 ยาว 22 ม.</t>
        </is>
      </c>
      <c r="O319" s="8">
        <f>F319*G319*H319</f>
        <v/>
      </c>
      <c r="P319" s="8">
        <f>2*(F319+G319)*H319</f>
        <v/>
      </c>
      <c r="Q319" s="8">
        <f>IF(L319&gt;0,(F319+2*0.1)*(G319+2*0.1)*L319,0)</f>
        <v/>
      </c>
      <c r="R319" s="8">
        <f>(F319+0.2)*(G319+0.2)*0.1</f>
        <v/>
      </c>
      <c r="S319" s="8">
        <f>(F319+0.2)*(G319+0.2)*0.05</f>
        <v/>
      </c>
      <c r="T319" s="8">
        <f>INDEX('2-ฐานราก เหล็กเสริม'!$S:$S,MATCH(B319,'2-ฐานราก เหล็กเสริม'!$A:$A,0))</f>
        <v/>
      </c>
      <c r="U319" s="8" t="inlineStr">
        <is>
          <t>M24</t>
        </is>
      </c>
      <c r="V319" s="10" t="inlineStr">
        <is>
          <t>แบบ S201 (ตำแหน่ง) / ระดับรอยืนยัน</t>
        </is>
      </c>
    </row>
    <row r="320">
      <c r="A320" s="8" t="inlineStr">
        <is>
          <t>F1P-271</t>
        </is>
      </c>
      <c r="B320" s="8" t="inlineStr">
        <is>
          <t>F1P</t>
        </is>
      </c>
      <c r="C320" s="8" t="inlineStr">
        <is>
          <t>6+1.49/H-1.48</t>
        </is>
      </c>
      <c r="D320" s="9" t="n">
        <v>31.488</v>
      </c>
      <c r="E320" s="9" t="n">
        <v>40.515</v>
      </c>
      <c r="F320" s="9" t="n">
        <v>1</v>
      </c>
      <c r="G320" s="9" t="n">
        <v>1</v>
      </c>
      <c r="H320" s="9" t="n">
        <v>0.2</v>
      </c>
      <c r="I320" s="9" t="n">
        <v>0.3</v>
      </c>
      <c r="J320" s="9" t="n">
        <v>0.1</v>
      </c>
      <c r="K320" s="9" t="n">
        <v>-0.05</v>
      </c>
      <c r="L320" s="9" t="n">
        <v>0.05</v>
      </c>
      <c r="M320" s="8" t="n">
        <v>1</v>
      </c>
      <c r="N320" s="8" t="inlineStr">
        <is>
          <t>1x I-350 ยาว 22 ม.</t>
        </is>
      </c>
      <c r="O320" s="8">
        <f>F320*G320*H320</f>
        <v/>
      </c>
      <c r="P320" s="8">
        <f>2*(F320+G320)*H320</f>
        <v/>
      </c>
      <c r="Q320" s="8">
        <f>IF(L320&gt;0,(F320+2*0.1)*(G320+2*0.1)*L320,0)</f>
        <v/>
      </c>
      <c r="R320" s="8">
        <f>(F320+0.2)*(G320+0.2)*0.1</f>
        <v/>
      </c>
      <c r="S320" s="8">
        <f>(F320+0.2)*(G320+0.2)*0.05</f>
        <v/>
      </c>
      <c r="T320" s="8">
        <f>INDEX('2-ฐานราก เหล็กเสริม'!$S:$S,MATCH(B320,'2-ฐานราก เหล็กเสริม'!$A:$A,0))</f>
        <v/>
      </c>
      <c r="U320" s="8" t="inlineStr">
        <is>
          <t>M24</t>
        </is>
      </c>
      <c r="V320" s="10" t="inlineStr">
        <is>
          <t>แบบ S201 (ตำแหน่ง) / ระดับรอยืนยัน</t>
        </is>
      </c>
    </row>
    <row r="321">
      <c r="A321" s="8" t="inlineStr">
        <is>
          <t>F1P-272</t>
        </is>
      </c>
      <c r="B321" s="8" t="inlineStr">
        <is>
          <t>F1P</t>
        </is>
      </c>
      <c r="C321" s="8" t="inlineStr">
        <is>
          <t>7-1.51/H-1.48</t>
        </is>
      </c>
      <c r="D321" s="9" t="n">
        <v>34.493</v>
      </c>
      <c r="E321" s="9" t="n">
        <v>40.515</v>
      </c>
      <c r="F321" s="9" t="n">
        <v>1</v>
      </c>
      <c r="G321" s="9" t="n">
        <v>1</v>
      </c>
      <c r="H321" s="9" t="n">
        <v>0.2</v>
      </c>
      <c r="I321" s="9" t="n">
        <v>0.3</v>
      </c>
      <c r="J321" s="9" t="n">
        <v>0.1</v>
      </c>
      <c r="K321" s="9" t="n">
        <v>-0.05</v>
      </c>
      <c r="L321" s="9" t="n">
        <v>0.05</v>
      </c>
      <c r="M321" s="8" t="n">
        <v>1</v>
      </c>
      <c r="N321" s="8" t="inlineStr">
        <is>
          <t>1x I-350 ยาว 22 ม.</t>
        </is>
      </c>
      <c r="O321" s="8">
        <f>F321*G321*H321</f>
        <v/>
      </c>
      <c r="P321" s="8">
        <f>2*(F321+G321)*H321</f>
        <v/>
      </c>
      <c r="Q321" s="8">
        <f>IF(L321&gt;0,(F321+2*0.1)*(G321+2*0.1)*L321,0)</f>
        <v/>
      </c>
      <c r="R321" s="8">
        <f>(F321+0.2)*(G321+0.2)*0.1</f>
        <v/>
      </c>
      <c r="S321" s="8">
        <f>(F321+0.2)*(G321+0.2)*0.05</f>
        <v/>
      </c>
      <c r="T321" s="8">
        <f>INDEX('2-ฐานราก เหล็กเสริม'!$S:$S,MATCH(B321,'2-ฐานราก เหล็กเสริม'!$A:$A,0))</f>
        <v/>
      </c>
      <c r="U321" s="8" t="inlineStr">
        <is>
          <t>M24</t>
        </is>
      </c>
      <c r="V321" s="10" t="inlineStr">
        <is>
          <t>แบบ S201 (ตำแหน่ง) / ระดับรอยืนยัน</t>
        </is>
      </c>
    </row>
    <row r="322">
      <c r="A322" s="8" t="inlineStr">
        <is>
          <t>F1P-273</t>
        </is>
      </c>
      <c r="B322" s="8" t="inlineStr">
        <is>
          <t>F1P</t>
        </is>
      </c>
      <c r="C322" s="8" t="inlineStr">
        <is>
          <t>7+1.49/H-1.48</t>
        </is>
      </c>
      <c r="D322" s="9" t="n">
        <v>37.492</v>
      </c>
      <c r="E322" s="9" t="n">
        <v>40.515</v>
      </c>
      <c r="F322" s="9" t="n">
        <v>1</v>
      </c>
      <c r="G322" s="9" t="n">
        <v>1</v>
      </c>
      <c r="H322" s="9" t="n">
        <v>0.2</v>
      </c>
      <c r="I322" s="9" t="n">
        <v>0.3</v>
      </c>
      <c r="J322" s="9" t="n">
        <v>0.1</v>
      </c>
      <c r="K322" s="9" t="n">
        <v>-0.05</v>
      </c>
      <c r="L322" s="9" t="n">
        <v>0.05</v>
      </c>
      <c r="M322" s="8" t="n">
        <v>1</v>
      </c>
      <c r="N322" s="8" t="inlineStr">
        <is>
          <t>1x I-350 ยาว 22 ม.</t>
        </is>
      </c>
      <c r="O322" s="8">
        <f>F322*G322*H322</f>
        <v/>
      </c>
      <c r="P322" s="8">
        <f>2*(F322+G322)*H322</f>
        <v/>
      </c>
      <c r="Q322" s="8">
        <f>IF(L322&gt;0,(F322+2*0.1)*(G322+2*0.1)*L322,0)</f>
        <v/>
      </c>
      <c r="R322" s="8">
        <f>(F322+0.2)*(G322+0.2)*0.1</f>
        <v/>
      </c>
      <c r="S322" s="8">
        <f>(F322+0.2)*(G322+0.2)*0.05</f>
        <v/>
      </c>
      <c r="T322" s="8">
        <f>INDEX('2-ฐานราก เหล็กเสริม'!$S:$S,MATCH(B322,'2-ฐานราก เหล็กเสริม'!$A:$A,0))</f>
        <v/>
      </c>
      <c r="U322" s="8" t="inlineStr">
        <is>
          <t>M24</t>
        </is>
      </c>
      <c r="V322" s="10" t="inlineStr">
        <is>
          <t>แบบ S201 (ตำแหน่ง) / ระดับรอยืนยัน</t>
        </is>
      </c>
    </row>
    <row r="323">
      <c r="A323" s="8" t="inlineStr">
        <is>
          <t>F1P-274</t>
        </is>
      </c>
      <c r="B323" s="8" t="inlineStr">
        <is>
          <t>F1P</t>
        </is>
      </c>
      <c r="C323" s="8" t="inlineStr">
        <is>
          <t>8-1.51/H-1.48</t>
        </is>
      </c>
      <c r="D323" s="9" t="n">
        <v>40.491</v>
      </c>
      <c r="E323" s="9" t="n">
        <v>40.515</v>
      </c>
      <c r="F323" s="9" t="n">
        <v>1</v>
      </c>
      <c r="G323" s="9" t="n">
        <v>1</v>
      </c>
      <c r="H323" s="9" t="n">
        <v>0.2</v>
      </c>
      <c r="I323" s="9" t="n">
        <v>0.3</v>
      </c>
      <c r="J323" s="9" t="n">
        <v>0.1</v>
      </c>
      <c r="K323" s="9" t="n">
        <v>-0.05</v>
      </c>
      <c r="L323" s="9" t="n">
        <v>0.05</v>
      </c>
      <c r="M323" s="8" t="n">
        <v>1</v>
      </c>
      <c r="N323" s="8" t="inlineStr">
        <is>
          <t>1x I-350 ยาว 22 ม.</t>
        </is>
      </c>
      <c r="O323" s="8">
        <f>F323*G323*H323</f>
        <v/>
      </c>
      <c r="P323" s="8">
        <f>2*(F323+G323)*H323</f>
        <v/>
      </c>
      <c r="Q323" s="8">
        <f>IF(L323&gt;0,(F323+2*0.1)*(G323+2*0.1)*L323,0)</f>
        <v/>
      </c>
      <c r="R323" s="8">
        <f>(F323+0.2)*(G323+0.2)*0.1</f>
        <v/>
      </c>
      <c r="S323" s="8">
        <f>(F323+0.2)*(G323+0.2)*0.05</f>
        <v/>
      </c>
      <c r="T323" s="8">
        <f>INDEX('2-ฐานราก เหล็กเสริม'!$S:$S,MATCH(B323,'2-ฐานราก เหล็กเสริม'!$A:$A,0))</f>
        <v/>
      </c>
      <c r="U323" s="8" t="inlineStr">
        <is>
          <t>M24</t>
        </is>
      </c>
      <c r="V323" s="10" t="inlineStr">
        <is>
          <t>แบบ S201 (ตำแหน่ง) / ระดับรอยืนยัน</t>
        </is>
      </c>
    </row>
    <row r="324">
      <c r="A324" s="8" t="inlineStr">
        <is>
          <t>F1P-275</t>
        </is>
      </c>
      <c r="B324" s="8" t="inlineStr">
        <is>
          <t>F1P</t>
        </is>
      </c>
      <c r="C324" s="8" t="inlineStr">
        <is>
          <t>8+1.49/H-1.48</t>
        </is>
      </c>
      <c r="D324" s="9" t="n">
        <v>43.49</v>
      </c>
      <c r="E324" s="9" t="n">
        <v>40.515</v>
      </c>
      <c r="F324" s="9" t="n">
        <v>1</v>
      </c>
      <c r="G324" s="9" t="n">
        <v>1</v>
      </c>
      <c r="H324" s="9" t="n">
        <v>0.2</v>
      </c>
      <c r="I324" s="9" t="n">
        <v>0.3</v>
      </c>
      <c r="J324" s="9" t="n">
        <v>0.1</v>
      </c>
      <c r="K324" s="9" t="n">
        <v>-0.05</v>
      </c>
      <c r="L324" s="9" t="n">
        <v>0.05</v>
      </c>
      <c r="M324" s="8" t="n">
        <v>1</v>
      </c>
      <c r="N324" s="8" t="inlineStr">
        <is>
          <t>1x I-350 ยาว 22 ม.</t>
        </is>
      </c>
      <c r="O324" s="8">
        <f>F324*G324*H324</f>
        <v/>
      </c>
      <c r="P324" s="8">
        <f>2*(F324+G324)*H324</f>
        <v/>
      </c>
      <c r="Q324" s="8">
        <f>IF(L324&gt;0,(F324+2*0.1)*(G324+2*0.1)*L324,0)</f>
        <v/>
      </c>
      <c r="R324" s="8">
        <f>(F324+0.2)*(G324+0.2)*0.1</f>
        <v/>
      </c>
      <c r="S324" s="8">
        <f>(F324+0.2)*(G324+0.2)*0.05</f>
        <v/>
      </c>
      <c r="T324" s="8">
        <f>INDEX('2-ฐานราก เหล็กเสริม'!$S:$S,MATCH(B324,'2-ฐานราก เหล็กเสริม'!$A:$A,0))</f>
        <v/>
      </c>
      <c r="U324" s="8" t="inlineStr">
        <is>
          <t>M24</t>
        </is>
      </c>
      <c r="V324" s="10" t="inlineStr">
        <is>
          <t>แบบ S201 (ตำแหน่ง) / ระดับรอยืนยัน</t>
        </is>
      </c>
    </row>
    <row r="325">
      <c r="A325" s="8" t="inlineStr">
        <is>
          <t>F1P-276</t>
        </is>
      </c>
      <c r="B325" s="8" t="inlineStr">
        <is>
          <t>F1P</t>
        </is>
      </c>
      <c r="C325" s="8" t="inlineStr">
        <is>
          <t>9-1.51/H-1.48</t>
        </is>
      </c>
      <c r="D325" s="9" t="n">
        <v>46.495</v>
      </c>
      <c r="E325" s="9" t="n">
        <v>40.515</v>
      </c>
      <c r="F325" s="9" t="n">
        <v>1</v>
      </c>
      <c r="G325" s="9" t="n">
        <v>1</v>
      </c>
      <c r="H325" s="9" t="n">
        <v>0.2</v>
      </c>
      <c r="I325" s="9" t="n">
        <v>0.3</v>
      </c>
      <c r="J325" s="9" t="n">
        <v>0.1</v>
      </c>
      <c r="K325" s="9" t="n">
        <v>-0.05</v>
      </c>
      <c r="L325" s="9" t="n">
        <v>0.05</v>
      </c>
      <c r="M325" s="8" t="n">
        <v>1</v>
      </c>
      <c r="N325" s="8" t="inlineStr">
        <is>
          <t>1x I-350 ยาว 22 ม.</t>
        </is>
      </c>
      <c r="O325" s="8">
        <f>F325*G325*H325</f>
        <v/>
      </c>
      <c r="P325" s="8">
        <f>2*(F325+G325)*H325</f>
        <v/>
      </c>
      <c r="Q325" s="8">
        <f>IF(L325&gt;0,(F325+2*0.1)*(G325+2*0.1)*L325,0)</f>
        <v/>
      </c>
      <c r="R325" s="8">
        <f>(F325+0.2)*(G325+0.2)*0.1</f>
        <v/>
      </c>
      <c r="S325" s="8">
        <f>(F325+0.2)*(G325+0.2)*0.05</f>
        <v/>
      </c>
      <c r="T325" s="8">
        <f>INDEX('2-ฐานราก เหล็กเสริม'!$S:$S,MATCH(B325,'2-ฐานราก เหล็กเสริม'!$A:$A,0))</f>
        <v/>
      </c>
      <c r="U325" s="8" t="inlineStr">
        <is>
          <t>M24</t>
        </is>
      </c>
      <c r="V325" s="10" t="inlineStr">
        <is>
          <t>แบบ S201 (ตำแหน่ง) / ระดับรอยืนยัน</t>
        </is>
      </c>
    </row>
    <row r="326">
      <c r="A326" s="8" t="inlineStr">
        <is>
          <t>F1P-277</t>
        </is>
      </c>
      <c r="B326" s="8" t="inlineStr">
        <is>
          <t>F1P</t>
        </is>
      </c>
      <c r="C326" s="8" t="inlineStr">
        <is>
          <t>9+1.49/H-1.48</t>
        </is>
      </c>
      <c r="D326" s="9" t="n">
        <v>49.494</v>
      </c>
      <c r="E326" s="9" t="n">
        <v>40.515</v>
      </c>
      <c r="F326" s="9" t="n">
        <v>1</v>
      </c>
      <c r="G326" s="9" t="n">
        <v>1</v>
      </c>
      <c r="H326" s="9" t="n">
        <v>0.2</v>
      </c>
      <c r="I326" s="9" t="n">
        <v>0.3</v>
      </c>
      <c r="J326" s="9" t="n">
        <v>0.1</v>
      </c>
      <c r="K326" s="9" t="n">
        <v>-0.05</v>
      </c>
      <c r="L326" s="9" t="n">
        <v>0.05</v>
      </c>
      <c r="M326" s="8" t="n">
        <v>1</v>
      </c>
      <c r="N326" s="8" t="inlineStr">
        <is>
          <t>1x I-350 ยาว 22 ม.</t>
        </is>
      </c>
      <c r="O326" s="8">
        <f>F326*G326*H326</f>
        <v/>
      </c>
      <c r="P326" s="8">
        <f>2*(F326+G326)*H326</f>
        <v/>
      </c>
      <c r="Q326" s="8">
        <f>IF(L326&gt;0,(F326+2*0.1)*(G326+2*0.1)*L326,0)</f>
        <v/>
      </c>
      <c r="R326" s="8">
        <f>(F326+0.2)*(G326+0.2)*0.1</f>
        <v/>
      </c>
      <c r="S326" s="8">
        <f>(F326+0.2)*(G326+0.2)*0.05</f>
        <v/>
      </c>
      <c r="T326" s="8">
        <f>INDEX('2-ฐานราก เหล็กเสริม'!$S:$S,MATCH(B326,'2-ฐานราก เหล็กเสริม'!$A:$A,0))</f>
        <v/>
      </c>
      <c r="U326" s="8" t="inlineStr">
        <is>
          <t>M24</t>
        </is>
      </c>
      <c r="V326" s="10" t="inlineStr">
        <is>
          <t>แบบ S201 (ตำแหน่ง) / ระดับรอยืนยัน</t>
        </is>
      </c>
    </row>
    <row r="327">
      <c r="A327" s="8" t="inlineStr">
        <is>
          <t>F1P-278</t>
        </is>
      </c>
      <c r="B327" s="8" t="inlineStr">
        <is>
          <t>F1P</t>
        </is>
      </c>
      <c r="C327" s="8" t="inlineStr">
        <is>
          <t>10-1.51/H-1.48</t>
        </is>
      </c>
      <c r="D327" s="9" t="n">
        <v>52.493</v>
      </c>
      <c r="E327" s="9" t="n">
        <v>40.515</v>
      </c>
      <c r="F327" s="9" t="n">
        <v>1</v>
      </c>
      <c r="G327" s="9" t="n">
        <v>1</v>
      </c>
      <c r="H327" s="9" t="n">
        <v>0.2</v>
      </c>
      <c r="I327" s="9" t="n">
        <v>0.3</v>
      </c>
      <c r="J327" s="9" t="n">
        <v>0.1</v>
      </c>
      <c r="K327" s="9" t="n">
        <v>-0.05</v>
      </c>
      <c r="L327" s="9" t="n">
        <v>0.05</v>
      </c>
      <c r="M327" s="8" t="n">
        <v>1</v>
      </c>
      <c r="N327" s="8" t="inlineStr">
        <is>
          <t>1x I-350 ยาว 22 ม.</t>
        </is>
      </c>
      <c r="O327" s="8">
        <f>F327*G327*H327</f>
        <v/>
      </c>
      <c r="P327" s="8">
        <f>2*(F327+G327)*H327</f>
        <v/>
      </c>
      <c r="Q327" s="8">
        <f>IF(L327&gt;0,(F327+2*0.1)*(G327+2*0.1)*L327,0)</f>
        <v/>
      </c>
      <c r="R327" s="8">
        <f>(F327+0.2)*(G327+0.2)*0.1</f>
        <v/>
      </c>
      <c r="S327" s="8">
        <f>(F327+0.2)*(G327+0.2)*0.05</f>
        <v/>
      </c>
      <c r="T327" s="8">
        <f>INDEX('2-ฐานราก เหล็กเสริม'!$S:$S,MATCH(B327,'2-ฐานราก เหล็กเสริม'!$A:$A,0))</f>
        <v/>
      </c>
      <c r="U327" s="8" t="inlineStr">
        <is>
          <t>M24</t>
        </is>
      </c>
      <c r="V327" s="10" t="inlineStr">
        <is>
          <t>แบบ S201 (ตำแหน่ง) / ระดับรอยืนยัน</t>
        </is>
      </c>
    </row>
    <row r="328">
      <c r="A328" s="8" t="inlineStr">
        <is>
          <t>F1P-279</t>
        </is>
      </c>
      <c r="B328" s="8" t="inlineStr">
        <is>
          <t>F1P</t>
        </is>
      </c>
      <c r="C328" s="8" t="inlineStr">
        <is>
          <t>10+1.49/H-1.48</t>
        </is>
      </c>
      <c r="D328" s="9" t="n">
        <v>55.492</v>
      </c>
      <c r="E328" s="9" t="n">
        <v>40.515</v>
      </c>
      <c r="F328" s="9" t="n">
        <v>1</v>
      </c>
      <c r="G328" s="9" t="n">
        <v>1</v>
      </c>
      <c r="H328" s="9" t="n">
        <v>0.2</v>
      </c>
      <c r="I328" s="9" t="n">
        <v>0.3</v>
      </c>
      <c r="J328" s="9" t="n">
        <v>0.1</v>
      </c>
      <c r="K328" s="9" t="n">
        <v>-0.05</v>
      </c>
      <c r="L328" s="9" t="n">
        <v>0.05</v>
      </c>
      <c r="M328" s="8" t="n">
        <v>1</v>
      </c>
      <c r="N328" s="8" t="inlineStr">
        <is>
          <t>1x I-350 ยาว 22 ม.</t>
        </is>
      </c>
      <c r="O328" s="8">
        <f>F328*G328*H328</f>
        <v/>
      </c>
      <c r="P328" s="8">
        <f>2*(F328+G328)*H328</f>
        <v/>
      </c>
      <c r="Q328" s="8">
        <f>IF(L328&gt;0,(F328+2*0.1)*(G328+2*0.1)*L328,0)</f>
        <v/>
      </c>
      <c r="R328" s="8">
        <f>(F328+0.2)*(G328+0.2)*0.1</f>
        <v/>
      </c>
      <c r="S328" s="8">
        <f>(F328+0.2)*(G328+0.2)*0.05</f>
        <v/>
      </c>
      <c r="T328" s="8">
        <f>INDEX('2-ฐานราก เหล็กเสริม'!$S:$S,MATCH(B328,'2-ฐานราก เหล็กเสริม'!$A:$A,0))</f>
        <v/>
      </c>
      <c r="U328" s="8" t="inlineStr">
        <is>
          <t>M24</t>
        </is>
      </c>
      <c r="V328" s="10" t="inlineStr">
        <is>
          <t>แบบ S201 (ตำแหน่ง) / ระดับรอยืนยัน</t>
        </is>
      </c>
    </row>
    <row r="329">
      <c r="A329" s="8" t="inlineStr">
        <is>
          <t>F1P-280</t>
        </is>
      </c>
      <c r="B329" s="8" t="inlineStr">
        <is>
          <t>F1P</t>
        </is>
      </c>
      <c r="C329" s="8" t="inlineStr">
        <is>
          <t>11-1.51/H-1.48</t>
        </is>
      </c>
      <c r="D329" s="9" t="n">
        <v>58.49</v>
      </c>
      <c r="E329" s="9" t="n">
        <v>40.515</v>
      </c>
      <c r="F329" s="9" t="n">
        <v>1</v>
      </c>
      <c r="G329" s="9" t="n">
        <v>1</v>
      </c>
      <c r="H329" s="9" t="n">
        <v>0.2</v>
      </c>
      <c r="I329" s="9" t="n">
        <v>0.3</v>
      </c>
      <c r="J329" s="9" t="n">
        <v>0.1</v>
      </c>
      <c r="K329" s="9" t="n">
        <v>-0.05</v>
      </c>
      <c r="L329" s="9" t="n">
        <v>0.05</v>
      </c>
      <c r="M329" s="8" t="n">
        <v>1</v>
      </c>
      <c r="N329" s="8" t="inlineStr">
        <is>
          <t>1x I-350 ยาว 22 ม.</t>
        </is>
      </c>
      <c r="O329" s="8">
        <f>F329*G329*H329</f>
        <v/>
      </c>
      <c r="P329" s="8">
        <f>2*(F329+G329)*H329</f>
        <v/>
      </c>
      <c r="Q329" s="8">
        <f>IF(L329&gt;0,(F329+2*0.1)*(G329+2*0.1)*L329,0)</f>
        <v/>
      </c>
      <c r="R329" s="8">
        <f>(F329+0.2)*(G329+0.2)*0.1</f>
        <v/>
      </c>
      <c r="S329" s="8">
        <f>(F329+0.2)*(G329+0.2)*0.05</f>
        <v/>
      </c>
      <c r="T329" s="8">
        <f>INDEX('2-ฐานราก เหล็กเสริม'!$S:$S,MATCH(B329,'2-ฐานราก เหล็กเสริม'!$A:$A,0))</f>
        <v/>
      </c>
      <c r="U329" s="8" t="inlineStr">
        <is>
          <t>M24</t>
        </is>
      </c>
      <c r="V329" s="10" t="inlineStr">
        <is>
          <t>แบบ S201 (ตำแหน่ง) / ระดับรอยืนยัน</t>
        </is>
      </c>
    </row>
    <row r="330">
      <c r="A330" s="8" t="inlineStr">
        <is>
          <t>F1P-281</t>
        </is>
      </c>
      <c r="B330" s="8" t="inlineStr">
        <is>
          <t>F1P</t>
        </is>
      </c>
      <c r="C330" s="8" t="inlineStr">
        <is>
          <t>1+1.49/H+1.51</t>
        </is>
      </c>
      <c r="D330" s="9" t="n">
        <v>1.487</v>
      </c>
      <c r="E330" s="9" t="n">
        <v>43.514</v>
      </c>
      <c r="F330" s="9" t="n">
        <v>1</v>
      </c>
      <c r="G330" s="9" t="n">
        <v>1</v>
      </c>
      <c r="H330" s="9" t="n">
        <v>0.2</v>
      </c>
      <c r="I330" s="9" t="n">
        <v>0.3</v>
      </c>
      <c r="J330" s="9" t="n">
        <v>0.1</v>
      </c>
      <c r="K330" s="9" t="n">
        <v>-0.05</v>
      </c>
      <c r="L330" s="9" t="n">
        <v>0.05</v>
      </c>
      <c r="M330" s="8" t="n">
        <v>1</v>
      </c>
      <c r="N330" s="8" t="inlineStr">
        <is>
          <t>1x I-350 ยาว 22 ม.</t>
        </is>
      </c>
      <c r="O330" s="8">
        <f>F330*G330*H330</f>
        <v/>
      </c>
      <c r="P330" s="8">
        <f>2*(F330+G330)*H330</f>
        <v/>
      </c>
      <c r="Q330" s="8">
        <f>IF(L330&gt;0,(F330+2*0.1)*(G330+2*0.1)*L330,0)</f>
        <v/>
      </c>
      <c r="R330" s="8">
        <f>(F330+0.2)*(G330+0.2)*0.1</f>
        <v/>
      </c>
      <c r="S330" s="8">
        <f>(F330+0.2)*(G330+0.2)*0.05</f>
        <v/>
      </c>
      <c r="T330" s="8">
        <f>INDEX('2-ฐานราก เหล็กเสริม'!$S:$S,MATCH(B330,'2-ฐานราก เหล็กเสริม'!$A:$A,0))</f>
        <v/>
      </c>
      <c r="U330" s="8" t="inlineStr">
        <is>
          <t>M24</t>
        </is>
      </c>
      <c r="V330" s="10" t="inlineStr">
        <is>
          <t>แบบ S201 (ตำแหน่ง) / ระดับรอยืนยัน</t>
        </is>
      </c>
    </row>
    <row r="331">
      <c r="A331" s="8" t="inlineStr">
        <is>
          <t>F1P-282</t>
        </is>
      </c>
      <c r="B331" s="8" t="inlineStr">
        <is>
          <t>F1P</t>
        </is>
      </c>
      <c r="C331" s="8" t="inlineStr">
        <is>
          <t>2-1.51/H+1.51</t>
        </is>
      </c>
      <c r="D331" s="9" t="n">
        <v>4.485</v>
      </c>
      <c r="E331" s="9" t="n">
        <v>43.514</v>
      </c>
      <c r="F331" s="9" t="n">
        <v>1</v>
      </c>
      <c r="G331" s="9" t="n">
        <v>1</v>
      </c>
      <c r="H331" s="9" t="n">
        <v>0.2</v>
      </c>
      <c r="I331" s="9" t="n">
        <v>0.3</v>
      </c>
      <c r="J331" s="9" t="n">
        <v>0.1</v>
      </c>
      <c r="K331" s="9" t="n">
        <v>-0.05</v>
      </c>
      <c r="L331" s="9" t="n">
        <v>0.05</v>
      </c>
      <c r="M331" s="8" t="n">
        <v>1</v>
      </c>
      <c r="N331" s="8" t="inlineStr">
        <is>
          <t>1x I-350 ยาว 22 ม.</t>
        </is>
      </c>
      <c r="O331" s="8">
        <f>F331*G331*H331</f>
        <v/>
      </c>
      <c r="P331" s="8">
        <f>2*(F331+G331)*H331</f>
        <v/>
      </c>
      <c r="Q331" s="8">
        <f>IF(L331&gt;0,(F331+2*0.1)*(G331+2*0.1)*L331,0)</f>
        <v/>
      </c>
      <c r="R331" s="8">
        <f>(F331+0.2)*(G331+0.2)*0.1</f>
        <v/>
      </c>
      <c r="S331" s="8">
        <f>(F331+0.2)*(G331+0.2)*0.05</f>
        <v/>
      </c>
      <c r="T331" s="8">
        <f>INDEX('2-ฐานราก เหล็กเสริม'!$S:$S,MATCH(B331,'2-ฐานราก เหล็กเสริม'!$A:$A,0))</f>
        <v/>
      </c>
      <c r="U331" s="8" t="inlineStr">
        <is>
          <t>M24</t>
        </is>
      </c>
      <c r="V331" s="10" t="inlineStr">
        <is>
          <t>แบบ S201 (ตำแหน่ง) / ระดับรอยืนยัน</t>
        </is>
      </c>
    </row>
    <row r="332">
      <c r="A332" s="8" t="inlineStr">
        <is>
          <t>F1P-283</t>
        </is>
      </c>
      <c r="B332" s="8" t="inlineStr">
        <is>
          <t>F1P</t>
        </is>
      </c>
      <c r="C332" s="8" t="inlineStr">
        <is>
          <t>2+1.49/H+1.51</t>
        </is>
      </c>
      <c r="D332" s="9" t="n">
        <v>7.491</v>
      </c>
      <c r="E332" s="9" t="n">
        <v>43.514</v>
      </c>
      <c r="F332" s="9" t="n">
        <v>1</v>
      </c>
      <c r="G332" s="9" t="n">
        <v>1</v>
      </c>
      <c r="H332" s="9" t="n">
        <v>0.2</v>
      </c>
      <c r="I332" s="9" t="n">
        <v>0.3</v>
      </c>
      <c r="J332" s="9" t="n">
        <v>0.1</v>
      </c>
      <c r="K332" s="9" t="n">
        <v>-0.05</v>
      </c>
      <c r="L332" s="9" t="n">
        <v>0.05</v>
      </c>
      <c r="M332" s="8" t="n">
        <v>1</v>
      </c>
      <c r="N332" s="8" t="inlineStr">
        <is>
          <t>1x I-350 ยาว 22 ม.</t>
        </is>
      </c>
      <c r="O332" s="8">
        <f>F332*G332*H332</f>
        <v/>
      </c>
      <c r="P332" s="8">
        <f>2*(F332+G332)*H332</f>
        <v/>
      </c>
      <c r="Q332" s="8">
        <f>IF(L332&gt;0,(F332+2*0.1)*(G332+2*0.1)*L332,0)</f>
        <v/>
      </c>
      <c r="R332" s="8">
        <f>(F332+0.2)*(G332+0.2)*0.1</f>
        <v/>
      </c>
      <c r="S332" s="8">
        <f>(F332+0.2)*(G332+0.2)*0.05</f>
        <v/>
      </c>
      <c r="T332" s="8">
        <f>INDEX('2-ฐานราก เหล็กเสริม'!$S:$S,MATCH(B332,'2-ฐานราก เหล็กเสริม'!$A:$A,0))</f>
        <v/>
      </c>
      <c r="U332" s="8" t="inlineStr">
        <is>
          <t>M24</t>
        </is>
      </c>
      <c r="V332" s="10" t="inlineStr">
        <is>
          <t>แบบ S201 (ตำแหน่ง) / ระดับรอยืนยัน</t>
        </is>
      </c>
    </row>
    <row r="333">
      <c r="A333" s="8" t="inlineStr">
        <is>
          <t>F1P-284</t>
        </is>
      </c>
      <c r="B333" s="8" t="inlineStr">
        <is>
          <t>F1P</t>
        </is>
      </c>
      <c r="C333" s="8" t="inlineStr">
        <is>
          <t>3-1.51/H+1.51</t>
        </is>
      </c>
      <c r="D333" s="9" t="n">
        <v>10.49</v>
      </c>
      <c r="E333" s="9" t="n">
        <v>43.514</v>
      </c>
      <c r="F333" s="9" t="n">
        <v>1</v>
      </c>
      <c r="G333" s="9" t="n">
        <v>1</v>
      </c>
      <c r="H333" s="9" t="n">
        <v>0.2</v>
      </c>
      <c r="I333" s="9" t="n">
        <v>0.3</v>
      </c>
      <c r="J333" s="9" t="n">
        <v>0.1</v>
      </c>
      <c r="K333" s="9" t="n">
        <v>-0.05</v>
      </c>
      <c r="L333" s="9" t="n">
        <v>0.05</v>
      </c>
      <c r="M333" s="8" t="n">
        <v>1</v>
      </c>
      <c r="N333" s="8" t="inlineStr">
        <is>
          <t>1x I-350 ยาว 22 ม.</t>
        </is>
      </c>
      <c r="O333" s="8">
        <f>F333*G333*H333</f>
        <v/>
      </c>
      <c r="P333" s="8">
        <f>2*(F333+G333)*H333</f>
        <v/>
      </c>
      <c r="Q333" s="8">
        <f>IF(L333&gt;0,(F333+2*0.1)*(G333+2*0.1)*L333,0)</f>
        <v/>
      </c>
      <c r="R333" s="8">
        <f>(F333+0.2)*(G333+0.2)*0.1</f>
        <v/>
      </c>
      <c r="S333" s="8">
        <f>(F333+0.2)*(G333+0.2)*0.05</f>
        <v/>
      </c>
      <c r="T333" s="8">
        <f>INDEX('2-ฐานราก เหล็กเสริม'!$S:$S,MATCH(B333,'2-ฐานราก เหล็กเสริม'!$A:$A,0))</f>
        <v/>
      </c>
      <c r="U333" s="8" t="inlineStr">
        <is>
          <t>M24</t>
        </is>
      </c>
      <c r="V333" s="10" t="inlineStr">
        <is>
          <t>แบบ S201 (ตำแหน่ง) / ระดับรอยืนยัน</t>
        </is>
      </c>
    </row>
    <row r="334">
      <c r="A334" s="8" t="inlineStr">
        <is>
          <t>F1P-285</t>
        </is>
      </c>
      <c r="B334" s="8" t="inlineStr">
        <is>
          <t>F1P</t>
        </is>
      </c>
      <c r="C334" s="8" t="inlineStr">
        <is>
          <t>3+1.49/H+1.51</t>
        </is>
      </c>
      <c r="D334" s="9" t="n">
        <v>13.488</v>
      </c>
      <c r="E334" s="9" t="n">
        <v>43.514</v>
      </c>
      <c r="F334" s="9" t="n">
        <v>1</v>
      </c>
      <c r="G334" s="9" t="n">
        <v>1</v>
      </c>
      <c r="H334" s="9" t="n">
        <v>0.2</v>
      </c>
      <c r="I334" s="9" t="n">
        <v>0.3</v>
      </c>
      <c r="J334" s="9" t="n">
        <v>0.1</v>
      </c>
      <c r="K334" s="9" t="n">
        <v>-0.05</v>
      </c>
      <c r="L334" s="9" t="n">
        <v>0.05</v>
      </c>
      <c r="M334" s="8" t="n">
        <v>1</v>
      </c>
      <c r="N334" s="8" t="inlineStr">
        <is>
          <t>1x I-350 ยาว 22 ม.</t>
        </is>
      </c>
      <c r="O334" s="8">
        <f>F334*G334*H334</f>
        <v/>
      </c>
      <c r="P334" s="8">
        <f>2*(F334+G334)*H334</f>
        <v/>
      </c>
      <c r="Q334" s="8">
        <f>IF(L334&gt;0,(F334+2*0.1)*(G334+2*0.1)*L334,0)</f>
        <v/>
      </c>
      <c r="R334" s="8">
        <f>(F334+0.2)*(G334+0.2)*0.1</f>
        <v/>
      </c>
      <c r="S334" s="8">
        <f>(F334+0.2)*(G334+0.2)*0.05</f>
        <v/>
      </c>
      <c r="T334" s="8">
        <f>INDEX('2-ฐานราก เหล็กเสริม'!$S:$S,MATCH(B334,'2-ฐานราก เหล็กเสริม'!$A:$A,0))</f>
        <v/>
      </c>
      <c r="U334" s="8" t="inlineStr">
        <is>
          <t>M24</t>
        </is>
      </c>
      <c r="V334" s="10" t="inlineStr">
        <is>
          <t>แบบ S201 (ตำแหน่ง) / ระดับรอยืนยัน</t>
        </is>
      </c>
    </row>
    <row r="335">
      <c r="A335" s="8" t="inlineStr">
        <is>
          <t>F1P-286</t>
        </is>
      </c>
      <c r="B335" s="8" t="inlineStr">
        <is>
          <t>F1P</t>
        </is>
      </c>
      <c r="C335" s="8" t="inlineStr">
        <is>
          <t>4-1.51/H+1.51</t>
        </is>
      </c>
      <c r="D335" s="9" t="n">
        <v>16.487</v>
      </c>
      <c r="E335" s="9" t="n">
        <v>43.514</v>
      </c>
      <c r="F335" s="9" t="n">
        <v>1</v>
      </c>
      <c r="G335" s="9" t="n">
        <v>1</v>
      </c>
      <c r="H335" s="9" t="n">
        <v>0.2</v>
      </c>
      <c r="I335" s="9" t="n">
        <v>0.3</v>
      </c>
      <c r="J335" s="9" t="n">
        <v>0.1</v>
      </c>
      <c r="K335" s="9" t="n">
        <v>-0.05</v>
      </c>
      <c r="L335" s="9" t="n">
        <v>0.05</v>
      </c>
      <c r="M335" s="8" t="n">
        <v>1</v>
      </c>
      <c r="N335" s="8" t="inlineStr">
        <is>
          <t>1x I-350 ยาว 22 ม.</t>
        </is>
      </c>
      <c r="O335" s="8">
        <f>F335*G335*H335</f>
        <v/>
      </c>
      <c r="P335" s="8">
        <f>2*(F335+G335)*H335</f>
        <v/>
      </c>
      <c r="Q335" s="8">
        <f>IF(L335&gt;0,(F335+2*0.1)*(G335+2*0.1)*L335,0)</f>
        <v/>
      </c>
      <c r="R335" s="8">
        <f>(F335+0.2)*(G335+0.2)*0.1</f>
        <v/>
      </c>
      <c r="S335" s="8">
        <f>(F335+0.2)*(G335+0.2)*0.05</f>
        <v/>
      </c>
      <c r="T335" s="8">
        <f>INDEX('2-ฐานราก เหล็กเสริม'!$S:$S,MATCH(B335,'2-ฐานราก เหล็กเสริม'!$A:$A,0))</f>
        <v/>
      </c>
      <c r="U335" s="8" t="inlineStr">
        <is>
          <t>M24</t>
        </is>
      </c>
      <c r="V335" s="10" t="inlineStr">
        <is>
          <t>แบบ S201 (ตำแหน่ง) / ระดับรอยืนยัน</t>
        </is>
      </c>
    </row>
    <row r="336">
      <c r="A336" s="8" t="inlineStr">
        <is>
          <t>F1P-287</t>
        </is>
      </c>
      <c r="B336" s="8" t="inlineStr">
        <is>
          <t>F1P</t>
        </is>
      </c>
      <c r="C336" s="8" t="inlineStr">
        <is>
          <t>4+1.49/H+1.51</t>
        </is>
      </c>
      <c r="D336" s="9" t="n">
        <v>19.486</v>
      </c>
      <c r="E336" s="9" t="n">
        <v>43.514</v>
      </c>
      <c r="F336" s="9" t="n">
        <v>1</v>
      </c>
      <c r="G336" s="9" t="n">
        <v>1</v>
      </c>
      <c r="H336" s="9" t="n">
        <v>0.2</v>
      </c>
      <c r="I336" s="9" t="n">
        <v>0.3</v>
      </c>
      <c r="J336" s="9" t="n">
        <v>0.1</v>
      </c>
      <c r="K336" s="9" t="n">
        <v>-0.05</v>
      </c>
      <c r="L336" s="9" t="n">
        <v>0.05</v>
      </c>
      <c r="M336" s="8" t="n">
        <v>1</v>
      </c>
      <c r="N336" s="8" t="inlineStr">
        <is>
          <t>1x I-350 ยาว 22 ม.</t>
        </is>
      </c>
      <c r="O336" s="8">
        <f>F336*G336*H336</f>
        <v/>
      </c>
      <c r="P336" s="8">
        <f>2*(F336+G336)*H336</f>
        <v/>
      </c>
      <c r="Q336" s="8">
        <f>IF(L336&gt;0,(F336+2*0.1)*(G336+2*0.1)*L336,0)</f>
        <v/>
      </c>
      <c r="R336" s="8">
        <f>(F336+0.2)*(G336+0.2)*0.1</f>
        <v/>
      </c>
      <c r="S336" s="8">
        <f>(F336+0.2)*(G336+0.2)*0.05</f>
        <v/>
      </c>
      <c r="T336" s="8">
        <f>INDEX('2-ฐานราก เหล็กเสริม'!$S:$S,MATCH(B336,'2-ฐานราก เหล็กเสริม'!$A:$A,0))</f>
        <v/>
      </c>
      <c r="U336" s="8" t="inlineStr">
        <is>
          <t>M24</t>
        </is>
      </c>
      <c r="V336" s="10" t="inlineStr">
        <is>
          <t>แบบ S201 (ตำแหน่ง) / ระดับรอยืนยัน</t>
        </is>
      </c>
    </row>
    <row r="337">
      <c r="A337" s="8" t="inlineStr">
        <is>
          <t>F1P-288</t>
        </is>
      </c>
      <c r="B337" s="8" t="inlineStr">
        <is>
          <t>F1P</t>
        </is>
      </c>
      <c r="C337" s="8" t="inlineStr">
        <is>
          <t>5-1.51/H+1.51</t>
        </is>
      </c>
      <c r="D337" s="9" t="n">
        <v>22.491</v>
      </c>
      <c r="E337" s="9" t="n">
        <v>43.514</v>
      </c>
      <c r="F337" s="9" t="n">
        <v>1</v>
      </c>
      <c r="G337" s="9" t="n">
        <v>1</v>
      </c>
      <c r="H337" s="9" t="n">
        <v>0.2</v>
      </c>
      <c r="I337" s="9" t="n">
        <v>0.3</v>
      </c>
      <c r="J337" s="9" t="n">
        <v>0.1</v>
      </c>
      <c r="K337" s="9" t="n">
        <v>-0.05</v>
      </c>
      <c r="L337" s="9" t="n">
        <v>0.05</v>
      </c>
      <c r="M337" s="8" t="n">
        <v>1</v>
      </c>
      <c r="N337" s="8" t="inlineStr">
        <is>
          <t>1x I-350 ยาว 22 ม.</t>
        </is>
      </c>
      <c r="O337" s="8">
        <f>F337*G337*H337</f>
        <v/>
      </c>
      <c r="P337" s="8">
        <f>2*(F337+G337)*H337</f>
        <v/>
      </c>
      <c r="Q337" s="8">
        <f>IF(L337&gt;0,(F337+2*0.1)*(G337+2*0.1)*L337,0)</f>
        <v/>
      </c>
      <c r="R337" s="8">
        <f>(F337+0.2)*(G337+0.2)*0.1</f>
        <v/>
      </c>
      <c r="S337" s="8">
        <f>(F337+0.2)*(G337+0.2)*0.05</f>
        <v/>
      </c>
      <c r="T337" s="8">
        <f>INDEX('2-ฐานราก เหล็กเสริม'!$S:$S,MATCH(B337,'2-ฐานราก เหล็กเสริม'!$A:$A,0))</f>
        <v/>
      </c>
      <c r="U337" s="8" t="inlineStr">
        <is>
          <t>M24</t>
        </is>
      </c>
      <c r="V337" s="10" t="inlineStr">
        <is>
          <t>แบบ S201 (ตำแหน่ง) / ระดับรอยืนยัน</t>
        </is>
      </c>
    </row>
    <row r="338">
      <c r="A338" s="8" t="inlineStr">
        <is>
          <t>F1P-289</t>
        </is>
      </c>
      <c r="B338" s="8" t="inlineStr">
        <is>
          <t>F1P</t>
        </is>
      </c>
      <c r="C338" s="8" t="inlineStr">
        <is>
          <t>5+1.49/H+1.51</t>
        </is>
      </c>
      <c r="D338" s="9" t="n">
        <v>25.49</v>
      </c>
      <c r="E338" s="9" t="n">
        <v>43.514</v>
      </c>
      <c r="F338" s="9" t="n">
        <v>1</v>
      </c>
      <c r="G338" s="9" t="n">
        <v>1</v>
      </c>
      <c r="H338" s="9" t="n">
        <v>0.2</v>
      </c>
      <c r="I338" s="9" t="n">
        <v>0.3</v>
      </c>
      <c r="J338" s="9" t="n">
        <v>0.1</v>
      </c>
      <c r="K338" s="9" t="n">
        <v>-0.05</v>
      </c>
      <c r="L338" s="9" t="n">
        <v>0.05</v>
      </c>
      <c r="M338" s="8" t="n">
        <v>1</v>
      </c>
      <c r="N338" s="8" t="inlineStr">
        <is>
          <t>1x I-350 ยาว 22 ม.</t>
        </is>
      </c>
      <c r="O338" s="8">
        <f>F338*G338*H338</f>
        <v/>
      </c>
      <c r="P338" s="8">
        <f>2*(F338+G338)*H338</f>
        <v/>
      </c>
      <c r="Q338" s="8">
        <f>IF(L338&gt;0,(F338+2*0.1)*(G338+2*0.1)*L338,0)</f>
        <v/>
      </c>
      <c r="R338" s="8">
        <f>(F338+0.2)*(G338+0.2)*0.1</f>
        <v/>
      </c>
      <c r="S338" s="8">
        <f>(F338+0.2)*(G338+0.2)*0.05</f>
        <v/>
      </c>
      <c r="T338" s="8">
        <f>INDEX('2-ฐานราก เหล็กเสริม'!$S:$S,MATCH(B338,'2-ฐานราก เหล็กเสริม'!$A:$A,0))</f>
        <v/>
      </c>
      <c r="U338" s="8" t="inlineStr">
        <is>
          <t>M24</t>
        </is>
      </c>
      <c r="V338" s="10" t="inlineStr">
        <is>
          <t>แบบ S201 (ตำแหน่ง) / ระดับรอยืนยัน</t>
        </is>
      </c>
    </row>
    <row r="339">
      <c r="A339" s="8" t="inlineStr">
        <is>
          <t>F1P-290</t>
        </is>
      </c>
      <c r="B339" s="8" t="inlineStr">
        <is>
          <t>F1P</t>
        </is>
      </c>
      <c r="C339" s="8" t="inlineStr">
        <is>
          <t>6-1.51/H+1.51</t>
        </is>
      </c>
      <c r="D339" s="9" t="n">
        <v>28.489</v>
      </c>
      <c r="E339" s="9" t="n">
        <v>43.514</v>
      </c>
      <c r="F339" s="9" t="n">
        <v>1</v>
      </c>
      <c r="G339" s="9" t="n">
        <v>1</v>
      </c>
      <c r="H339" s="9" t="n">
        <v>0.2</v>
      </c>
      <c r="I339" s="9" t="n">
        <v>0.3</v>
      </c>
      <c r="J339" s="9" t="n">
        <v>0.1</v>
      </c>
      <c r="K339" s="9" t="n">
        <v>-0.05</v>
      </c>
      <c r="L339" s="9" t="n">
        <v>0.05</v>
      </c>
      <c r="M339" s="8" t="n">
        <v>1</v>
      </c>
      <c r="N339" s="8" t="inlineStr">
        <is>
          <t>1x I-350 ยาว 22 ม.</t>
        </is>
      </c>
      <c r="O339" s="8">
        <f>F339*G339*H339</f>
        <v/>
      </c>
      <c r="P339" s="8">
        <f>2*(F339+G339)*H339</f>
        <v/>
      </c>
      <c r="Q339" s="8">
        <f>IF(L339&gt;0,(F339+2*0.1)*(G339+2*0.1)*L339,0)</f>
        <v/>
      </c>
      <c r="R339" s="8">
        <f>(F339+0.2)*(G339+0.2)*0.1</f>
        <v/>
      </c>
      <c r="S339" s="8">
        <f>(F339+0.2)*(G339+0.2)*0.05</f>
        <v/>
      </c>
      <c r="T339" s="8">
        <f>INDEX('2-ฐานราก เหล็กเสริม'!$S:$S,MATCH(B339,'2-ฐานราก เหล็กเสริม'!$A:$A,0))</f>
        <v/>
      </c>
      <c r="U339" s="8" t="inlineStr">
        <is>
          <t>M24</t>
        </is>
      </c>
      <c r="V339" s="10" t="inlineStr">
        <is>
          <t>แบบ S201 (ตำแหน่ง) / ระดับรอยืนยัน</t>
        </is>
      </c>
    </row>
    <row r="340">
      <c r="A340" s="8" t="inlineStr">
        <is>
          <t>F1P-291</t>
        </is>
      </c>
      <c r="B340" s="8" t="inlineStr">
        <is>
          <t>F1P</t>
        </is>
      </c>
      <c r="C340" s="8" t="inlineStr">
        <is>
          <t>6+1.49/H+1.51</t>
        </is>
      </c>
      <c r="D340" s="9" t="n">
        <v>31.488</v>
      </c>
      <c r="E340" s="9" t="n">
        <v>43.514</v>
      </c>
      <c r="F340" s="9" t="n">
        <v>1</v>
      </c>
      <c r="G340" s="9" t="n">
        <v>1</v>
      </c>
      <c r="H340" s="9" t="n">
        <v>0.2</v>
      </c>
      <c r="I340" s="9" t="n">
        <v>0.3</v>
      </c>
      <c r="J340" s="9" t="n">
        <v>0.1</v>
      </c>
      <c r="K340" s="9" t="n">
        <v>-0.05</v>
      </c>
      <c r="L340" s="9" t="n">
        <v>0.05</v>
      </c>
      <c r="M340" s="8" t="n">
        <v>1</v>
      </c>
      <c r="N340" s="8" t="inlineStr">
        <is>
          <t>1x I-350 ยาว 22 ม.</t>
        </is>
      </c>
      <c r="O340" s="8">
        <f>F340*G340*H340</f>
        <v/>
      </c>
      <c r="P340" s="8">
        <f>2*(F340+G340)*H340</f>
        <v/>
      </c>
      <c r="Q340" s="8">
        <f>IF(L340&gt;0,(F340+2*0.1)*(G340+2*0.1)*L340,0)</f>
        <v/>
      </c>
      <c r="R340" s="8">
        <f>(F340+0.2)*(G340+0.2)*0.1</f>
        <v/>
      </c>
      <c r="S340" s="8">
        <f>(F340+0.2)*(G340+0.2)*0.05</f>
        <v/>
      </c>
      <c r="T340" s="8">
        <f>INDEX('2-ฐานราก เหล็กเสริม'!$S:$S,MATCH(B340,'2-ฐานราก เหล็กเสริม'!$A:$A,0))</f>
        <v/>
      </c>
      <c r="U340" s="8" t="inlineStr">
        <is>
          <t>M24</t>
        </is>
      </c>
      <c r="V340" s="10" t="inlineStr">
        <is>
          <t>แบบ S201 (ตำแหน่ง) / ระดับรอยืนยัน</t>
        </is>
      </c>
    </row>
    <row r="341">
      <c r="A341" s="8" t="inlineStr">
        <is>
          <t>F1P-292</t>
        </is>
      </c>
      <c r="B341" s="8" t="inlineStr">
        <is>
          <t>F1P</t>
        </is>
      </c>
      <c r="C341" s="8" t="inlineStr">
        <is>
          <t>7-1.51/H+1.51</t>
        </is>
      </c>
      <c r="D341" s="9" t="n">
        <v>34.493</v>
      </c>
      <c r="E341" s="9" t="n">
        <v>43.514</v>
      </c>
      <c r="F341" s="9" t="n">
        <v>1</v>
      </c>
      <c r="G341" s="9" t="n">
        <v>1</v>
      </c>
      <c r="H341" s="9" t="n">
        <v>0.2</v>
      </c>
      <c r="I341" s="9" t="n">
        <v>0.3</v>
      </c>
      <c r="J341" s="9" t="n">
        <v>0.1</v>
      </c>
      <c r="K341" s="9" t="n">
        <v>-0.05</v>
      </c>
      <c r="L341" s="9" t="n">
        <v>0.05</v>
      </c>
      <c r="M341" s="8" t="n">
        <v>1</v>
      </c>
      <c r="N341" s="8" t="inlineStr">
        <is>
          <t>1x I-350 ยาว 22 ม.</t>
        </is>
      </c>
      <c r="O341" s="8">
        <f>F341*G341*H341</f>
        <v/>
      </c>
      <c r="P341" s="8">
        <f>2*(F341+G341)*H341</f>
        <v/>
      </c>
      <c r="Q341" s="8">
        <f>IF(L341&gt;0,(F341+2*0.1)*(G341+2*0.1)*L341,0)</f>
        <v/>
      </c>
      <c r="R341" s="8">
        <f>(F341+0.2)*(G341+0.2)*0.1</f>
        <v/>
      </c>
      <c r="S341" s="8">
        <f>(F341+0.2)*(G341+0.2)*0.05</f>
        <v/>
      </c>
      <c r="T341" s="8">
        <f>INDEX('2-ฐานราก เหล็กเสริม'!$S:$S,MATCH(B341,'2-ฐานราก เหล็กเสริม'!$A:$A,0))</f>
        <v/>
      </c>
      <c r="U341" s="8" t="inlineStr">
        <is>
          <t>M24</t>
        </is>
      </c>
      <c r="V341" s="10" t="inlineStr">
        <is>
          <t>แบบ S201 (ตำแหน่ง) / ระดับรอยืนยัน</t>
        </is>
      </c>
    </row>
    <row r="342">
      <c r="A342" s="8" t="inlineStr">
        <is>
          <t>F1P-293</t>
        </is>
      </c>
      <c r="B342" s="8" t="inlineStr">
        <is>
          <t>F1P</t>
        </is>
      </c>
      <c r="C342" s="8" t="inlineStr">
        <is>
          <t>7+1.49/H+1.51</t>
        </is>
      </c>
      <c r="D342" s="9" t="n">
        <v>37.492</v>
      </c>
      <c r="E342" s="9" t="n">
        <v>43.514</v>
      </c>
      <c r="F342" s="9" t="n">
        <v>1</v>
      </c>
      <c r="G342" s="9" t="n">
        <v>1</v>
      </c>
      <c r="H342" s="9" t="n">
        <v>0.2</v>
      </c>
      <c r="I342" s="9" t="n">
        <v>0.3</v>
      </c>
      <c r="J342" s="9" t="n">
        <v>0.1</v>
      </c>
      <c r="K342" s="9" t="n">
        <v>-0.05</v>
      </c>
      <c r="L342" s="9" t="n">
        <v>0.05</v>
      </c>
      <c r="M342" s="8" t="n">
        <v>1</v>
      </c>
      <c r="N342" s="8" t="inlineStr">
        <is>
          <t>1x I-350 ยาว 22 ม.</t>
        </is>
      </c>
      <c r="O342" s="8">
        <f>F342*G342*H342</f>
        <v/>
      </c>
      <c r="P342" s="8">
        <f>2*(F342+G342)*H342</f>
        <v/>
      </c>
      <c r="Q342" s="8">
        <f>IF(L342&gt;0,(F342+2*0.1)*(G342+2*0.1)*L342,0)</f>
        <v/>
      </c>
      <c r="R342" s="8">
        <f>(F342+0.2)*(G342+0.2)*0.1</f>
        <v/>
      </c>
      <c r="S342" s="8">
        <f>(F342+0.2)*(G342+0.2)*0.05</f>
        <v/>
      </c>
      <c r="T342" s="8">
        <f>INDEX('2-ฐานราก เหล็กเสริม'!$S:$S,MATCH(B342,'2-ฐานราก เหล็กเสริม'!$A:$A,0))</f>
        <v/>
      </c>
      <c r="U342" s="8" t="inlineStr">
        <is>
          <t>M24</t>
        </is>
      </c>
      <c r="V342" s="10" t="inlineStr">
        <is>
          <t>แบบ S201 (ตำแหน่ง) / ระดับรอยืนยัน</t>
        </is>
      </c>
    </row>
    <row r="343">
      <c r="A343" s="8" t="inlineStr">
        <is>
          <t>F1P-294</t>
        </is>
      </c>
      <c r="B343" s="8" t="inlineStr">
        <is>
          <t>F1P</t>
        </is>
      </c>
      <c r="C343" s="8" t="inlineStr">
        <is>
          <t>8-1.51/H+1.51</t>
        </is>
      </c>
      <c r="D343" s="9" t="n">
        <v>40.491</v>
      </c>
      <c r="E343" s="9" t="n">
        <v>43.514</v>
      </c>
      <c r="F343" s="9" t="n">
        <v>1</v>
      </c>
      <c r="G343" s="9" t="n">
        <v>1</v>
      </c>
      <c r="H343" s="9" t="n">
        <v>0.2</v>
      </c>
      <c r="I343" s="9" t="n">
        <v>0.3</v>
      </c>
      <c r="J343" s="9" t="n">
        <v>0.1</v>
      </c>
      <c r="K343" s="9" t="n">
        <v>-0.05</v>
      </c>
      <c r="L343" s="9" t="n">
        <v>0.05</v>
      </c>
      <c r="M343" s="8" t="n">
        <v>1</v>
      </c>
      <c r="N343" s="8" t="inlineStr">
        <is>
          <t>1x I-350 ยาว 22 ม.</t>
        </is>
      </c>
      <c r="O343" s="8">
        <f>F343*G343*H343</f>
        <v/>
      </c>
      <c r="P343" s="8">
        <f>2*(F343+G343)*H343</f>
        <v/>
      </c>
      <c r="Q343" s="8">
        <f>IF(L343&gt;0,(F343+2*0.1)*(G343+2*0.1)*L343,0)</f>
        <v/>
      </c>
      <c r="R343" s="8">
        <f>(F343+0.2)*(G343+0.2)*0.1</f>
        <v/>
      </c>
      <c r="S343" s="8">
        <f>(F343+0.2)*(G343+0.2)*0.05</f>
        <v/>
      </c>
      <c r="T343" s="8">
        <f>INDEX('2-ฐานราก เหล็กเสริม'!$S:$S,MATCH(B343,'2-ฐานราก เหล็กเสริม'!$A:$A,0))</f>
        <v/>
      </c>
      <c r="U343" s="8" t="inlineStr">
        <is>
          <t>M24</t>
        </is>
      </c>
      <c r="V343" s="10" t="inlineStr">
        <is>
          <t>แบบ S201 (ตำแหน่ง) / ระดับรอยืนยัน</t>
        </is>
      </c>
    </row>
    <row r="344">
      <c r="A344" s="8" t="inlineStr">
        <is>
          <t>F1P-295</t>
        </is>
      </c>
      <c r="B344" s="8" t="inlineStr">
        <is>
          <t>F1P</t>
        </is>
      </c>
      <c r="C344" s="8" t="inlineStr">
        <is>
          <t>8+1.49/H+1.51</t>
        </is>
      </c>
      <c r="D344" s="9" t="n">
        <v>43.49</v>
      </c>
      <c r="E344" s="9" t="n">
        <v>43.514</v>
      </c>
      <c r="F344" s="9" t="n">
        <v>1</v>
      </c>
      <c r="G344" s="9" t="n">
        <v>1</v>
      </c>
      <c r="H344" s="9" t="n">
        <v>0.2</v>
      </c>
      <c r="I344" s="9" t="n">
        <v>0.3</v>
      </c>
      <c r="J344" s="9" t="n">
        <v>0.1</v>
      </c>
      <c r="K344" s="9" t="n">
        <v>-0.05</v>
      </c>
      <c r="L344" s="9" t="n">
        <v>0.05</v>
      </c>
      <c r="M344" s="8" t="n">
        <v>1</v>
      </c>
      <c r="N344" s="8" t="inlineStr">
        <is>
          <t>1x I-350 ยาว 22 ม.</t>
        </is>
      </c>
      <c r="O344" s="8">
        <f>F344*G344*H344</f>
        <v/>
      </c>
      <c r="P344" s="8">
        <f>2*(F344+G344)*H344</f>
        <v/>
      </c>
      <c r="Q344" s="8">
        <f>IF(L344&gt;0,(F344+2*0.1)*(G344+2*0.1)*L344,0)</f>
        <v/>
      </c>
      <c r="R344" s="8">
        <f>(F344+0.2)*(G344+0.2)*0.1</f>
        <v/>
      </c>
      <c r="S344" s="8">
        <f>(F344+0.2)*(G344+0.2)*0.05</f>
        <v/>
      </c>
      <c r="T344" s="8">
        <f>INDEX('2-ฐานราก เหล็กเสริม'!$S:$S,MATCH(B344,'2-ฐานราก เหล็กเสริม'!$A:$A,0))</f>
        <v/>
      </c>
      <c r="U344" s="8" t="inlineStr">
        <is>
          <t>M24</t>
        </is>
      </c>
      <c r="V344" s="10" t="inlineStr">
        <is>
          <t>แบบ S201 (ตำแหน่ง) / ระดับรอยืนยัน</t>
        </is>
      </c>
    </row>
    <row r="345">
      <c r="A345" s="8" t="inlineStr">
        <is>
          <t>F1P-296</t>
        </is>
      </c>
      <c r="B345" s="8" t="inlineStr">
        <is>
          <t>F1P</t>
        </is>
      </c>
      <c r="C345" s="8" t="inlineStr">
        <is>
          <t>9-1.51/H+1.51</t>
        </is>
      </c>
      <c r="D345" s="9" t="n">
        <v>46.495</v>
      </c>
      <c r="E345" s="9" t="n">
        <v>43.514</v>
      </c>
      <c r="F345" s="9" t="n">
        <v>1</v>
      </c>
      <c r="G345" s="9" t="n">
        <v>1</v>
      </c>
      <c r="H345" s="9" t="n">
        <v>0.2</v>
      </c>
      <c r="I345" s="9" t="n">
        <v>0.3</v>
      </c>
      <c r="J345" s="9" t="n">
        <v>0.1</v>
      </c>
      <c r="K345" s="9" t="n">
        <v>-0.05</v>
      </c>
      <c r="L345" s="9" t="n">
        <v>0.05</v>
      </c>
      <c r="M345" s="8" t="n">
        <v>1</v>
      </c>
      <c r="N345" s="8" t="inlineStr">
        <is>
          <t>1x I-350 ยาว 22 ม.</t>
        </is>
      </c>
      <c r="O345" s="8">
        <f>F345*G345*H345</f>
        <v/>
      </c>
      <c r="P345" s="8">
        <f>2*(F345+G345)*H345</f>
        <v/>
      </c>
      <c r="Q345" s="8">
        <f>IF(L345&gt;0,(F345+2*0.1)*(G345+2*0.1)*L345,0)</f>
        <v/>
      </c>
      <c r="R345" s="8">
        <f>(F345+0.2)*(G345+0.2)*0.1</f>
        <v/>
      </c>
      <c r="S345" s="8">
        <f>(F345+0.2)*(G345+0.2)*0.05</f>
        <v/>
      </c>
      <c r="T345" s="8">
        <f>INDEX('2-ฐานราก เหล็กเสริม'!$S:$S,MATCH(B345,'2-ฐานราก เหล็กเสริม'!$A:$A,0))</f>
        <v/>
      </c>
      <c r="U345" s="8" t="inlineStr">
        <is>
          <t>M24</t>
        </is>
      </c>
      <c r="V345" s="10" t="inlineStr">
        <is>
          <t>แบบ S201 (ตำแหน่ง) / ระดับรอยืนยัน</t>
        </is>
      </c>
    </row>
    <row r="346">
      <c r="A346" s="8" t="inlineStr">
        <is>
          <t>F1P-297</t>
        </is>
      </c>
      <c r="B346" s="8" t="inlineStr">
        <is>
          <t>F1P</t>
        </is>
      </c>
      <c r="C346" s="8" t="inlineStr">
        <is>
          <t>9+1.49/H+1.51</t>
        </is>
      </c>
      <c r="D346" s="9" t="n">
        <v>49.494</v>
      </c>
      <c r="E346" s="9" t="n">
        <v>43.514</v>
      </c>
      <c r="F346" s="9" t="n">
        <v>1</v>
      </c>
      <c r="G346" s="9" t="n">
        <v>1</v>
      </c>
      <c r="H346" s="9" t="n">
        <v>0.2</v>
      </c>
      <c r="I346" s="9" t="n">
        <v>0.3</v>
      </c>
      <c r="J346" s="9" t="n">
        <v>0.1</v>
      </c>
      <c r="K346" s="9" t="n">
        <v>-0.05</v>
      </c>
      <c r="L346" s="9" t="n">
        <v>0.05</v>
      </c>
      <c r="M346" s="8" t="n">
        <v>1</v>
      </c>
      <c r="N346" s="8" t="inlineStr">
        <is>
          <t>1x I-350 ยาว 22 ม.</t>
        </is>
      </c>
      <c r="O346" s="8">
        <f>F346*G346*H346</f>
        <v/>
      </c>
      <c r="P346" s="8">
        <f>2*(F346+G346)*H346</f>
        <v/>
      </c>
      <c r="Q346" s="8">
        <f>IF(L346&gt;0,(F346+2*0.1)*(G346+2*0.1)*L346,0)</f>
        <v/>
      </c>
      <c r="R346" s="8">
        <f>(F346+0.2)*(G346+0.2)*0.1</f>
        <v/>
      </c>
      <c r="S346" s="8">
        <f>(F346+0.2)*(G346+0.2)*0.05</f>
        <v/>
      </c>
      <c r="T346" s="8">
        <f>INDEX('2-ฐานราก เหล็กเสริม'!$S:$S,MATCH(B346,'2-ฐานราก เหล็กเสริม'!$A:$A,0))</f>
        <v/>
      </c>
      <c r="U346" s="8" t="inlineStr">
        <is>
          <t>M24</t>
        </is>
      </c>
      <c r="V346" s="10" t="inlineStr">
        <is>
          <t>แบบ S201 (ตำแหน่ง) / ระดับรอยืนยัน</t>
        </is>
      </c>
    </row>
    <row r="347">
      <c r="A347" s="8" t="inlineStr">
        <is>
          <t>F1P-298</t>
        </is>
      </c>
      <c r="B347" s="8" t="inlineStr">
        <is>
          <t>F1P</t>
        </is>
      </c>
      <c r="C347" s="8" t="inlineStr">
        <is>
          <t>10-1.51/H+1.51</t>
        </is>
      </c>
      <c r="D347" s="9" t="n">
        <v>52.493</v>
      </c>
      <c r="E347" s="9" t="n">
        <v>43.514</v>
      </c>
      <c r="F347" s="9" t="n">
        <v>1</v>
      </c>
      <c r="G347" s="9" t="n">
        <v>1</v>
      </c>
      <c r="H347" s="9" t="n">
        <v>0.2</v>
      </c>
      <c r="I347" s="9" t="n">
        <v>0.3</v>
      </c>
      <c r="J347" s="9" t="n">
        <v>0.1</v>
      </c>
      <c r="K347" s="9" t="n">
        <v>-0.05</v>
      </c>
      <c r="L347" s="9" t="n">
        <v>0.05</v>
      </c>
      <c r="M347" s="8" t="n">
        <v>1</v>
      </c>
      <c r="N347" s="8" t="inlineStr">
        <is>
          <t>1x I-350 ยาว 22 ม.</t>
        </is>
      </c>
      <c r="O347" s="8">
        <f>F347*G347*H347</f>
        <v/>
      </c>
      <c r="P347" s="8">
        <f>2*(F347+G347)*H347</f>
        <v/>
      </c>
      <c r="Q347" s="8">
        <f>IF(L347&gt;0,(F347+2*0.1)*(G347+2*0.1)*L347,0)</f>
        <v/>
      </c>
      <c r="R347" s="8">
        <f>(F347+0.2)*(G347+0.2)*0.1</f>
        <v/>
      </c>
      <c r="S347" s="8">
        <f>(F347+0.2)*(G347+0.2)*0.05</f>
        <v/>
      </c>
      <c r="T347" s="8">
        <f>INDEX('2-ฐานราก เหล็กเสริม'!$S:$S,MATCH(B347,'2-ฐานราก เหล็กเสริม'!$A:$A,0))</f>
        <v/>
      </c>
      <c r="U347" s="8" t="inlineStr">
        <is>
          <t>M24</t>
        </is>
      </c>
      <c r="V347" s="10" t="inlineStr">
        <is>
          <t>แบบ S201 (ตำแหน่ง) / ระดับรอยืนยัน</t>
        </is>
      </c>
    </row>
    <row r="348">
      <c r="A348" s="8" t="inlineStr">
        <is>
          <t>F1P-299</t>
        </is>
      </c>
      <c r="B348" s="8" t="inlineStr">
        <is>
          <t>F1P</t>
        </is>
      </c>
      <c r="C348" s="8" t="inlineStr">
        <is>
          <t>10+1.49/H+1.51</t>
        </is>
      </c>
      <c r="D348" s="9" t="n">
        <v>55.492</v>
      </c>
      <c r="E348" s="9" t="n">
        <v>43.514</v>
      </c>
      <c r="F348" s="9" t="n">
        <v>1</v>
      </c>
      <c r="G348" s="9" t="n">
        <v>1</v>
      </c>
      <c r="H348" s="9" t="n">
        <v>0.2</v>
      </c>
      <c r="I348" s="9" t="n">
        <v>0.3</v>
      </c>
      <c r="J348" s="9" t="n">
        <v>0.1</v>
      </c>
      <c r="K348" s="9" t="n">
        <v>-0.05</v>
      </c>
      <c r="L348" s="9" t="n">
        <v>0.05</v>
      </c>
      <c r="M348" s="8" t="n">
        <v>1</v>
      </c>
      <c r="N348" s="8" t="inlineStr">
        <is>
          <t>1x I-350 ยาว 22 ม.</t>
        </is>
      </c>
      <c r="O348" s="8">
        <f>F348*G348*H348</f>
        <v/>
      </c>
      <c r="P348" s="8">
        <f>2*(F348+G348)*H348</f>
        <v/>
      </c>
      <c r="Q348" s="8">
        <f>IF(L348&gt;0,(F348+2*0.1)*(G348+2*0.1)*L348,0)</f>
        <v/>
      </c>
      <c r="R348" s="8">
        <f>(F348+0.2)*(G348+0.2)*0.1</f>
        <v/>
      </c>
      <c r="S348" s="8">
        <f>(F348+0.2)*(G348+0.2)*0.05</f>
        <v/>
      </c>
      <c r="T348" s="8">
        <f>INDEX('2-ฐานราก เหล็กเสริม'!$S:$S,MATCH(B348,'2-ฐานราก เหล็กเสริม'!$A:$A,0))</f>
        <v/>
      </c>
      <c r="U348" s="8" t="inlineStr">
        <is>
          <t>M24</t>
        </is>
      </c>
      <c r="V348" s="10" t="inlineStr">
        <is>
          <t>แบบ S201 (ตำแหน่ง) / ระดับรอยืนยัน</t>
        </is>
      </c>
    </row>
    <row r="349">
      <c r="A349" s="8" t="inlineStr">
        <is>
          <t>F1P-300</t>
        </is>
      </c>
      <c r="B349" s="8" t="inlineStr">
        <is>
          <t>F1P</t>
        </is>
      </c>
      <c r="C349" s="8" t="inlineStr">
        <is>
          <t>11-1.51/H+1.51</t>
        </is>
      </c>
      <c r="D349" s="9" t="n">
        <v>58.49</v>
      </c>
      <c r="E349" s="9" t="n">
        <v>43.514</v>
      </c>
      <c r="F349" s="9" t="n">
        <v>1</v>
      </c>
      <c r="G349" s="9" t="n">
        <v>1</v>
      </c>
      <c r="H349" s="9" t="n">
        <v>0.2</v>
      </c>
      <c r="I349" s="9" t="n">
        <v>0.3</v>
      </c>
      <c r="J349" s="9" t="n">
        <v>0.1</v>
      </c>
      <c r="K349" s="9" t="n">
        <v>-0.05</v>
      </c>
      <c r="L349" s="9" t="n">
        <v>0.05</v>
      </c>
      <c r="M349" s="8" t="n">
        <v>1</v>
      </c>
      <c r="N349" s="8" t="inlineStr">
        <is>
          <t>1x I-350 ยาว 22 ม.</t>
        </is>
      </c>
      <c r="O349" s="8">
        <f>F349*G349*H349</f>
        <v/>
      </c>
      <c r="P349" s="8">
        <f>2*(F349+G349)*H349</f>
        <v/>
      </c>
      <c r="Q349" s="8">
        <f>IF(L349&gt;0,(F349+2*0.1)*(G349+2*0.1)*L349,0)</f>
        <v/>
      </c>
      <c r="R349" s="8">
        <f>(F349+0.2)*(G349+0.2)*0.1</f>
        <v/>
      </c>
      <c r="S349" s="8">
        <f>(F349+0.2)*(G349+0.2)*0.05</f>
        <v/>
      </c>
      <c r="T349" s="8">
        <f>INDEX('2-ฐานราก เหล็กเสริม'!$S:$S,MATCH(B349,'2-ฐานราก เหล็กเสริม'!$A:$A,0))</f>
        <v/>
      </c>
      <c r="U349" s="8" t="inlineStr">
        <is>
          <t>M24</t>
        </is>
      </c>
      <c r="V349" s="10" t="inlineStr">
        <is>
          <t>แบบ S201 (ตำแหน่ง) / ระดับรอยืนยัน</t>
        </is>
      </c>
    </row>
    <row r="350">
      <c r="A350" s="8" t="inlineStr">
        <is>
          <t>F1P-301</t>
        </is>
      </c>
      <c r="B350" s="8" t="inlineStr">
        <is>
          <t>F1P</t>
        </is>
      </c>
      <c r="C350" s="8" t="inlineStr">
        <is>
          <t>1+1.49/I-1.49</t>
        </is>
      </c>
      <c r="D350" s="9" t="n">
        <v>1.487</v>
      </c>
      <c r="E350" s="9" t="n">
        <v>46.513</v>
      </c>
      <c r="F350" s="9" t="n">
        <v>1</v>
      </c>
      <c r="G350" s="9" t="n">
        <v>1</v>
      </c>
      <c r="H350" s="9" t="n">
        <v>0.2</v>
      </c>
      <c r="I350" s="9" t="n">
        <v>0.3</v>
      </c>
      <c r="J350" s="9" t="n">
        <v>0.1</v>
      </c>
      <c r="K350" s="9" t="n">
        <v>-0.05</v>
      </c>
      <c r="L350" s="9" t="n">
        <v>0.05</v>
      </c>
      <c r="M350" s="8" t="n">
        <v>1</v>
      </c>
      <c r="N350" s="8" t="inlineStr">
        <is>
          <t>1x I-350 ยาว 22 ม.</t>
        </is>
      </c>
      <c r="O350" s="8">
        <f>F350*G350*H350</f>
        <v/>
      </c>
      <c r="P350" s="8">
        <f>2*(F350+G350)*H350</f>
        <v/>
      </c>
      <c r="Q350" s="8">
        <f>IF(L350&gt;0,(F350+2*0.1)*(G350+2*0.1)*L350,0)</f>
        <v/>
      </c>
      <c r="R350" s="8">
        <f>(F350+0.2)*(G350+0.2)*0.1</f>
        <v/>
      </c>
      <c r="S350" s="8">
        <f>(F350+0.2)*(G350+0.2)*0.05</f>
        <v/>
      </c>
      <c r="T350" s="8">
        <f>INDEX('2-ฐานราก เหล็กเสริม'!$S:$S,MATCH(B350,'2-ฐานราก เหล็กเสริม'!$A:$A,0))</f>
        <v/>
      </c>
      <c r="U350" s="8" t="inlineStr">
        <is>
          <t>M24</t>
        </is>
      </c>
      <c r="V350" s="10" t="inlineStr">
        <is>
          <t>แบบ S201 (ตำแหน่ง) / ระดับรอยืนยัน</t>
        </is>
      </c>
    </row>
    <row r="351">
      <c r="A351" s="8" t="inlineStr">
        <is>
          <t>F1P-302</t>
        </is>
      </c>
      <c r="B351" s="8" t="inlineStr">
        <is>
          <t>F1P</t>
        </is>
      </c>
      <c r="C351" s="8" t="inlineStr">
        <is>
          <t>2-1.51/I-1.49</t>
        </is>
      </c>
      <c r="D351" s="9" t="n">
        <v>4.485</v>
      </c>
      <c r="E351" s="9" t="n">
        <v>46.513</v>
      </c>
      <c r="F351" s="9" t="n">
        <v>1</v>
      </c>
      <c r="G351" s="9" t="n">
        <v>1</v>
      </c>
      <c r="H351" s="9" t="n">
        <v>0.2</v>
      </c>
      <c r="I351" s="9" t="n">
        <v>0.3</v>
      </c>
      <c r="J351" s="9" t="n">
        <v>0.1</v>
      </c>
      <c r="K351" s="9" t="n">
        <v>-0.05</v>
      </c>
      <c r="L351" s="9" t="n">
        <v>0.05</v>
      </c>
      <c r="M351" s="8" t="n">
        <v>1</v>
      </c>
      <c r="N351" s="8" t="inlineStr">
        <is>
          <t>1x I-350 ยาว 22 ม.</t>
        </is>
      </c>
      <c r="O351" s="8">
        <f>F351*G351*H351</f>
        <v/>
      </c>
      <c r="P351" s="8">
        <f>2*(F351+G351)*H351</f>
        <v/>
      </c>
      <c r="Q351" s="8">
        <f>IF(L351&gt;0,(F351+2*0.1)*(G351+2*0.1)*L351,0)</f>
        <v/>
      </c>
      <c r="R351" s="8">
        <f>(F351+0.2)*(G351+0.2)*0.1</f>
        <v/>
      </c>
      <c r="S351" s="8">
        <f>(F351+0.2)*(G351+0.2)*0.05</f>
        <v/>
      </c>
      <c r="T351" s="8">
        <f>INDEX('2-ฐานราก เหล็กเสริม'!$S:$S,MATCH(B351,'2-ฐานราก เหล็กเสริม'!$A:$A,0))</f>
        <v/>
      </c>
      <c r="U351" s="8" t="inlineStr">
        <is>
          <t>M24</t>
        </is>
      </c>
      <c r="V351" s="10" t="inlineStr">
        <is>
          <t>แบบ S201 (ตำแหน่ง) / ระดับรอยืนยัน</t>
        </is>
      </c>
    </row>
    <row r="352">
      <c r="A352" s="8" t="inlineStr">
        <is>
          <t>F1P-303</t>
        </is>
      </c>
      <c r="B352" s="8" t="inlineStr">
        <is>
          <t>F1P</t>
        </is>
      </c>
      <c r="C352" s="8" t="inlineStr">
        <is>
          <t>2+1.49/I-1.49</t>
        </is>
      </c>
      <c r="D352" s="9" t="n">
        <v>7.491</v>
      </c>
      <c r="E352" s="9" t="n">
        <v>46.513</v>
      </c>
      <c r="F352" s="9" t="n">
        <v>1</v>
      </c>
      <c r="G352" s="9" t="n">
        <v>1</v>
      </c>
      <c r="H352" s="9" t="n">
        <v>0.2</v>
      </c>
      <c r="I352" s="9" t="n">
        <v>0.3</v>
      </c>
      <c r="J352" s="9" t="n">
        <v>0.1</v>
      </c>
      <c r="K352" s="9" t="n">
        <v>-0.05</v>
      </c>
      <c r="L352" s="9" t="n">
        <v>0.05</v>
      </c>
      <c r="M352" s="8" t="n">
        <v>1</v>
      </c>
      <c r="N352" s="8" t="inlineStr">
        <is>
          <t>1x I-350 ยาว 22 ม.</t>
        </is>
      </c>
      <c r="O352" s="8">
        <f>F352*G352*H352</f>
        <v/>
      </c>
      <c r="P352" s="8">
        <f>2*(F352+G352)*H352</f>
        <v/>
      </c>
      <c r="Q352" s="8">
        <f>IF(L352&gt;0,(F352+2*0.1)*(G352+2*0.1)*L352,0)</f>
        <v/>
      </c>
      <c r="R352" s="8">
        <f>(F352+0.2)*(G352+0.2)*0.1</f>
        <v/>
      </c>
      <c r="S352" s="8">
        <f>(F352+0.2)*(G352+0.2)*0.05</f>
        <v/>
      </c>
      <c r="T352" s="8">
        <f>INDEX('2-ฐานราก เหล็กเสริม'!$S:$S,MATCH(B352,'2-ฐานราก เหล็กเสริม'!$A:$A,0))</f>
        <v/>
      </c>
      <c r="U352" s="8" t="inlineStr">
        <is>
          <t>M24</t>
        </is>
      </c>
      <c r="V352" s="10" t="inlineStr">
        <is>
          <t>แบบ S201 (ตำแหน่ง) / ระดับรอยืนยัน</t>
        </is>
      </c>
    </row>
    <row r="353">
      <c r="A353" s="8" t="inlineStr">
        <is>
          <t>F1P-304</t>
        </is>
      </c>
      <c r="B353" s="8" t="inlineStr">
        <is>
          <t>F1P</t>
        </is>
      </c>
      <c r="C353" s="8" t="inlineStr">
        <is>
          <t>3-1.51/I-1.49</t>
        </is>
      </c>
      <c r="D353" s="9" t="n">
        <v>10.49</v>
      </c>
      <c r="E353" s="9" t="n">
        <v>46.513</v>
      </c>
      <c r="F353" s="9" t="n">
        <v>1</v>
      </c>
      <c r="G353" s="9" t="n">
        <v>1</v>
      </c>
      <c r="H353" s="9" t="n">
        <v>0.2</v>
      </c>
      <c r="I353" s="9" t="n">
        <v>0.3</v>
      </c>
      <c r="J353" s="9" t="n">
        <v>0.1</v>
      </c>
      <c r="K353" s="9" t="n">
        <v>-0.05</v>
      </c>
      <c r="L353" s="9" t="n">
        <v>0.05</v>
      </c>
      <c r="M353" s="8" t="n">
        <v>1</v>
      </c>
      <c r="N353" s="8" t="inlineStr">
        <is>
          <t>1x I-350 ยาว 22 ม.</t>
        </is>
      </c>
      <c r="O353" s="8">
        <f>F353*G353*H353</f>
        <v/>
      </c>
      <c r="P353" s="8">
        <f>2*(F353+G353)*H353</f>
        <v/>
      </c>
      <c r="Q353" s="8">
        <f>IF(L353&gt;0,(F353+2*0.1)*(G353+2*0.1)*L353,0)</f>
        <v/>
      </c>
      <c r="R353" s="8">
        <f>(F353+0.2)*(G353+0.2)*0.1</f>
        <v/>
      </c>
      <c r="S353" s="8">
        <f>(F353+0.2)*(G353+0.2)*0.05</f>
        <v/>
      </c>
      <c r="T353" s="8">
        <f>INDEX('2-ฐานราก เหล็กเสริม'!$S:$S,MATCH(B353,'2-ฐานราก เหล็กเสริม'!$A:$A,0))</f>
        <v/>
      </c>
      <c r="U353" s="8" t="inlineStr">
        <is>
          <t>M24</t>
        </is>
      </c>
      <c r="V353" s="10" t="inlineStr">
        <is>
          <t>แบบ S201 (ตำแหน่ง) / ระดับรอยืนยัน</t>
        </is>
      </c>
    </row>
    <row r="354">
      <c r="A354" s="8" t="inlineStr">
        <is>
          <t>F1P-305</t>
        </is>
      </c>
      <c r="B354" s="8" t="inlineStr">
        <is>
          <t>F1P</t>
        </is>
      </c>
      <c r="C354" s="8" t="inlineStr">
        <is>
          <t>3+1.49/I-1.49</t>
        </is>
      </c>
      <c r="D354" s="9" t="n">
        <v>13.488</v>
      </c>
      <c r="E354" s="9" t="n">
        <v>46.513</v>
      </c>
      <c r="F354" s="9" t="n">
        <v>1</v>
      </c>
      <c r="G354" s="9" t="n">
        <v>1</v>
      </c>
      <c r="H354" s="9" t="n">
        <v>0.2</v>
      </c>
      <c r="I354" s="9" t="n">
        <v>0.3</v>
      </c>
      <c r="J354" s="9" t="n">
        <v>0.1</v>
      </c>
      <c r="K354" s="9" t="n">
        <v>-0.05</v>
      </c>
      <c r="L354" s="9" t="n">
        <v>0.05</v>
      </c>
      <c r="M354" s="8" t="n">
        <v>1</v>
      </c>
      <c r="N354" s="8" t="inlineStr">
        <is>
          <t>1x I-350 ยาว 22 ม.</t>
        </is>
      </c>
      <c r="O354" s="8">
        <f>F354*G354*H354</f>
        <v/>
      </c>
      <c r="P354" s="8">
        <f>2*(F354+G354)*H354</f>
        <v/>
      </c>
      <c r="Q354" s="8">
        <f>IF(L354&gt;0,(F354+2*0.1)*(G354+2*0.1)*L354,0)</f>
        <v/>
      </c>
      <c r="R354" s="8">
        <f>(F354+0.2)*(G354+0.2)*0.1</f>
        <v/>
      </c>
      <c r="S354" s="8">
        <f>(F354+0.2)*(G354+0.2)*0.05</f>
        <v/>
      </c>
      <c r="T354" s="8">
        <f>INDEX('2-ฐานราก เหล็กเสริม'!$S:$S,MATCH(B354,'2-ฐานราก เหล็กเสริม'!$A:$A,0))</f>
        <v/>
      </c>
      <c r="U354" s="8" t="inlineStr">
        <is>
          <t>M24</t>
        </is>
      </c>
      <c r="V354" s="10" t="inlineStr">
        <is>
          <t>แบบ S201 (ตำแหน่ง) / ระดับรอยืนยัน</t>
        </is>
      </c>
    </row>
    <row r="355">
      <c r="A355" s="8" t="inlineStr">
        <is>
          <t>F1P-306</t>
        </is>
      </c>
      <c r="B355" s="8" t="inlineStr">
        <is>
          <t>F1P</t>
        </is>
      </c>
      <c r="C355" s="8" t="inlineStr">
        <is>
          <t>4-1.51/I-1.49</t>
        </is>
      </c>
      <c r="D355" s="9" t="n">
        <v>16.487</v>
      </c>
      <c r="E355" s="9" t="n">
        <v>46.513</v>
      </c>
      <c r="F355" s="9" t="n">
        <v>1</v>
      </c>
      <c r="G355" s="9" t="n">
        <v>1</v>
      </c>
      <c r="H355" s="9" t="n">
        <v>0.2</v>
      </c>
      <c r="I355" s="9" t="n">
        <v>0.3</v>
      </c>
      <c r="J355" s="9" t="n">
        <v>0.1</v>
      </c>
      <c r="K355" s="9" t="n">
        <v>-0.05</v>
      </c>
      <c r="L355" s="9" t="n">
        <v>0.05</v>
      </c>
      <c r="M355" s="8" t="n">
        <v>1</v>
      </c>
      <c r="N355" s="8" t="inlineStr">
        <is>
          <t>1x I-350 ยาว 22 ม.</t>
        </is>
      </c>
      <c r="O355" s="8">
        <f>F355*G355*H355</f>
        <v/>
      </c>
      <c r="P355" s="8">
        <f>2*(F355+G355)*H355</f>
        <v/>
      </c>
      <c r="Q355" s="8">
        <f>IF(L355&gt;0,(F355+2*0.1)*(G355+2*0.1)*L355,0)</f>
        <v/>
      </c>
      <c r="R355" s="8">
        <f>(F355+0.2)*(G355+0.2)*0.1</f>
        <v/>
      </c>
      <c r="S355" s="8">
        <f>(F355+0.2)*(G355+0.2)*0.05</f>
        <v/>
      </c>
      <c r="T355" s="8">
        <f>INDEX('2-ฐานราก เหล็กเสริม'!$S:$S,MATCH(B355,'2-ฐานราก เหล็กเสริม'!$A:$A,0))</f>
        <v/>
      </c>
      <c r="U355" s="8" t="inlineStr">
        <is>
          <t>M24</t>
        </is>
      </c>
      <c r="V355" s="10" t="inlineStr">
        <is>
          <t>แบบ S201 (ตำแหน่ง) / ระดับรอยืนยัน</t>
        </is>
      </c>
    </row>
    <row r="356">
      <c r="A356" s="8" t="inlineStr">
        <is>
          <t>F1P-307</t>
        </is>
      </c>
      <c r="B356" s="8" t="inlineStr">
        <is>
          <t>F1P</t>
        </is>
      </c>
      <c r="C356" s="8" t="inlineStr">
        <is>
          <t>4+1.49/I-1.49</t>
        </is>
      </c>
      <c r="D356" s="9" t="n">
        <v>19.486</v>
      </c>
      <c r="E356" s="9" t="n">
        <v>46.513</v>
      </c>
      <c r="F356" s="9" t="n">
        <v>1</v>
      </c>
      <c r="G356" s="9" t="n">
        <v>1</v>
      </c>
      <c r="H356" s="9" t="n">
        <v>0.2</v>
      </c>
      <c r="I356" s="9" t="n">
        <v>0.3</v>
      </c>
      <c r="J356" s="9" t="n">
        <v>0.1</v>
      </c>
      <c r="K356" s="9" t="n">
        <v>-0.05</v>
      </c>
      <c r="L356" s="9" t="n">
        <v>0.05</v>
      </c>
      <c r="M356" s="8" t="n">
        <v>1</v>
      </c>
      <c r="N356" s="8" t="inlineStr">
        <is>
          <t>1x I-350 ยาว 22 ม.</t>
        </is>
      </c>
      <c r="O356" s="8">
        <f>F356*G356*H356</f>
        <v/>
      </c>
      <c r="P356" s="8">
        <f>2*(F356+G356)*H356</f>
        <v/>
      </c>
      <c r="Q356" s="8">
        <f>IF(L356&gt;0,(F356+2*0.1)*(G356+2*0.1)*L356,0)</f>
        <v/>
      </c>
      <c r="R356" s="8">
        <f>(F356+0.2)*(G356+0.2)*0.1</f>
        <v/>
      </c>
      <c r="S356" s="8">
        <f>(F356+0.2)*(G356+0.2)*0.05</f>
        <v/>
      </c>
      <c r="T356" s="8">
        <f>INDEX('2-ฐานราก เหล็กเสริม'!$S:$S,MATCH(B356,'2-ฐานราก เหล็กเสริม'!$A:$A,0))</f>
        <v/>
      </c>
      <c r="U356" s="8" t="inlineStr">
        <is>
          <t>M24</t>
        </is>
      </c>
      <c r="V356" s="10" t="inlineStr">
        <is>
          <t>แบบ S201 (ตำแหน่ง) / ระดับรอยืนยัน</t>
        </is>
      </c>
    </row>
    <row r="357">
      <c r="A357" s="8" t="inlineStr">
        <is>
          <t>F1P-308</t>
        </is>
      </c>
      <c r="B357" s="8" t="inlineStr">
        <is>
          <t>F1P</t>
        </is>
      </c>
      <c r="C357" s="8" t="inlineStr">
        <is>
          <t>5-1.51/I-1.49</t>
        </is>
      </c>
      <c r="D357" s="9" t="n">
        <v>22.491</v>
      </c>
      <c r="E357" s="9" t="n">
        <v>46.513</v>
      </c>
      <c r="F357" s="9" t="n">
        <v>1</v>
      </c>
      <c r="G357" s="9" t="n">
        <v>1</v>
      </c>
      <c r="H357" s="9" t="n">
        <v>0.2</v>
      </c>
      <c r="I357" s="9" t="n">
        <v>0.3</v>
      </c>
      <c r="J357" s="9" t="n">
        <v>0.1</v>
      </c>
      <c r="K357" s="9" t="n">
        <v>-0.05</v>
      </c>
      <c r="L357" s="9" t="n">
        <v>0.05</v>
      </c>
      <c r="M357" s="8" t="n">
        <v>1</v>
      </c>
      <c r="N357" s="8" t="inlineStr">
        <is>
          <t>1x I-350 ยาว 22 ม.</t>
        </is>
      </c>
      <c r="O357" s="8">
        <f>F357*G357*H357</f>
        <v/>
      </c>
      <c r="P357" s="8">
        <f>2*(F357+G357)*H357</f>
        <v/>
      </c>
      <c r="Q357" s="8">
        <f>IF(L357&gt;0,(F357+2*0.1)*(G357+2*0.1)*L357,0)</f>
        <v/>
      </c>
      <c r="R357" s="8">
        <f>(F357+0.2)*(G357+0.2)*0.1</f>
        <v/>
      </c>
      <c r="S357" s="8">
        <f>(F357+0.2)*(G357+0.2)*0.05</f>
        <v/>
      </c>
      <c r="T357" s="8">
        <f>INDEX('2-ฐานราก เหล็กเสริม'!$S:$S,MATCH(B357,'2-ฐานราก เหล็กเสริม'!$A:$A,0))</f>
        <v/>
      </c>
      <c r="U357" s="8" t="inlineStr">
        <is>
          <t>M24</t>
        </is>
      </c>
      <c r="V357" s="10" t="inlineStr">
        <is>
          <t>แบบ S201 (ตำแหน่ง) / ระดับรอยืนยัน</t>
        </is>
      </c>
    </row>
    <row r="358">
      <c r="A358" s="8" t="inlineStr">
        <is>
          <t>F1P-309</t>
        </is>
      </c>
      <c r="B358" s="8" t="inlineStr">
        <is>
          <t>F1P</t>
        </is>
      </c>
      <c r="C358" s="8" t="inlineStr">
        <is>
          <t>5+1.49/I-1.49</t>
        </is>
      </c>
      <c r="D358" s="9" t="n">
        <v>25.49</v>
      </c>
      <c r="E358" s="9" t="n">
        <v>46.513</v>
      </c>
      <c r="F358" s="9" t="n">
        <v>1</v>
      </c>
      <c r="G358" s="9" t="n">
        <v>1</v>
      </c>
      <c r="H358" s="9" t="n">
        <v>0.2</v>
      </c>
      <c r="I358" s="9" t="n">
        <v>0.3</v>
      </c>
      <c r="J358" s="9" t="n">
        <v>0.1</v>
      </c>
      <c r="K358" s="9" t="n">
        <v>-0.05</v>
      </c>
      <c r="L358" s="9" t="n">
        <v>0.05</v>
      </c>
      <c r="M358" s="8" t="n">
        <v>1</v>
      </c>
      <c r="N358" s="8" t="inlineStr">
        <is>
          <t>1x I-350 ยาว 22 ม.</t>
        </is>
      </c>
      <c r="O358" s="8">
        <f>F358*G358*H358</f>
        <v/>
      </c>
      <c r="P358" s="8">
        <f>2*(F358+G358)*H358</f>
        <v/>
      </c>
      <c r="Q358" s="8">
        <f>IF(L358&gt;0,(F358+2*0.1)*(G358+2*0.1)*L358,0)</f>
        <v/>
      </c>
      <c r="R358" s="8">
        <f>(F358+0.2)*(G358+0.2)*0.1</f>
        <v/>
      </c>
      <c r="S358" s="8">
        <f>(F358+0.2)*(G358+0.2)*0.05</f>
        <v/>
      </c>
      <c r="T358" s="8">
        <f>INDEX('2-ฐานราก เหล็กเสริม'!$S:$S,MATCH(B358,'2-ฐานราก เหล็กเสริม'!$A:$A,0))</f>
        <v/>
      </c>
      <c r="U358" s="8" t="inlineStr">
        <is>
          <t>M24</t>
        </is>
      </c>
      <c r="V358" s="10" t="inlineStr">
        <is>
          <t>แบบ S201 (ตำแหน่ง) / ระดับรอยืนยัน</t>
        </is>
      </c>
    </row>
    <row r="359">
      <c r="A359" s="8" t="inlineStr">
        <is>
          <t>F1P-310</t>
        </is>
      </c>
      <c r="B359" s="8" t="inlineStr">
        <is>
          <t>F1P</t>
        </is>
      </c>
      <c r="C359" s="8" t="inlineStr">
        <is>
          <t>6-1.51/I-1.49</t>
        </is>
      </c>
      <c r="D359" s="9" t="n">
        <v>28.489</v>
      </c>
      <c r="E359" s="9" t="n">
        <v>46.513</v>
      </c>
      <c r="F359" s="9" t="n">
        <v>1</v>
      </c>
      <c r="G359" s="9" t="n">
        <v>1</v>
      </c>
      <c r="H359" s="9" t="n">
        <v>0.2</v>
      </c>
      <c r="I359" s="9" t="n">
        <v>0.3</v>
      </c>
      <c r="J359" s="9" t="n">
        <v>0.1</v>
      </c>
      <c r="K359" s="9" t="n">
        <v>-0.05</v>
      </c>
      <c r="L359" s="9" t="n">
        <v>0.05</v>
      </c>
      <c r="M359" s="8" t="n">
        <v>1</v>
      </c>
      <c r="N359" s="8" t="inlineStr">
        <is>
          <t>1x I-350 ยาว 22 ม.</t>
        </is>
      </c>
      <c r="O359" s="8">
        <f>F359*G359*H359</f>
        <v/>
      </c>
      <c r="P359" s="8">
        <f>2*(F359+G359)*H359</f>
        <v/>
      </c>
      <c r="Q359" s="8">
        <f>IF(L359&gt;0,(F359+2*0.1)*(G359+2*0.1)*L359,0)</f>
        <v/>
      </c>
      <c r="R359" s="8">
        <f>(F359+0.2)*(G359+0.2)*0.1</f>
        <v/>
      </c>
      <c r="S359" s="8">
        <f>(F359+0.2)*(G359+0.2)*0.05</f>
        <v/>
      </c>
      <c r="T359" s="8">
        <f>INDEX('2-ฐานราก เหล็กเสริม'!$S:$S,MATCH(B359,'2-ฐานราก เหล็กเสริม'!$A:$A,0))</f>
        <v/>
      </c>
      <c r="U359" s="8" t="inlineStr">
        <is>
          <t>M24</t>
        </is>
      </c>
      <c r="V359" s="10" t="inlineStr">
        <is>
          <t>แบบ S201 (ตำแหน่ง) / ระดับรอยืนยัน</t>
        </is>
      </c>
    </row>
    <row r="360">
      <c r="A360" s="8" t="inlineStr">
        <is>
          <t>F1P-311</t>
        </is>
      </c>
      <c r="B360" s="8" t="inlineStr">
        <is>
          <t>F1P</t>
        </is>
      </c>
      <c r="C360" s="8" t="inlineStr">
        <is>
          <t>6+1.49/I-1.49</t>
        </is>
      </c>
      <c r="D360" s="9" t="n">
        <v>31.488</v>
      </c>
      <c r="E360" s="9" t="n">
        <v>46.513</v>
      </c>
      <c r="F360" s="9" t="n">
        <v>1</v>
      </c>
      <c r="G360" s="9" t="n">
        <v>1</v>
      </c>
      <c r="H360" s="9" t="n">
        <v>0.2</v>
      </c>
      <c r="I360" s="9" t="n">
        <v>0.3</v>
      </c>
      <c r="J360" s="9" t="n">
        <v>0.1</v>
      </c>
      <c r="K360" s="9" t="n">
        <v>-0.05</v>
      </c>
      <c r="L360" s="9" t="n">
        <v>0.05</v>
      </c>
      <c r="M360" s="8" t="n">
        <v>1</v>
      </c>
      <c r="N360" s="8" t="inlineStr">
        <is>
          <t>1x I-350 ยาว 22 ม.</t>
        </is>
      </c>
      <c r="O360" s="8">
        <f>F360*G360*H360</f>
        <v/>
      </c>
      <c r="P360" s="8">
        <f>2*(F360+G360)*H360</f>
        <v/>
      </c>
      <c r="Q360" s="8">
        <f>IF(L360&gt;0,(F360+2*0.1)*(G360+2*0.1)*L360,0)</f>
        <v/>
      </c>
      <c r="R360" s="8">
        <f>(F360+0.2)*(G360+0.2)*0.1</f>
        <v/>
      </c>
      <c r="S360" s="8">
        <f>(F360+0.2)*(G360+0.2)*0.05</f>
        <v/>
      </c>
      <c r="T360" s="8">
        <f>INDEX('2-ฐานราก เหล็กเสริม'!$S:$S,MATCH(B360,'2-ฐานราก เหล็กเสริม'!$A:$A,0))</f>
        <v/>
      </c>
      <c r="U360" s="8" t="inlineStr">
        <is>
          <t>M24</t>
        </is>
      </c>
      <c r="V360" s="10" t="inlineStr">
        <is>
          <t>แบบ S201 (ตำแหน่ง) / ระดับรอยืนยัน</t>
        </is>
      </c>
    </row>
    <row r="361">
      <c r="A361" s="8" t="inlineStr">
        <is>
          <t>F1P-312</t>
        </is>
      </c>
      <c r="B361" s="8" t="inlineStr">
        <is>
          <t>F1P</t>
        </is>
      </c>
      <c r="C361" s="8" t="inlineStr">
        <is>
          <t>7-1.51/I-1.49</t>
        </is>
      </c>
      <c r="D361" s="9" t="n">
        <v>34.493</v>
      </c>
      <c r="E361" s="9" t="n">
        <v>46.513</v>
      </c>
      <c r="F361" s="9" t="n">
        <v>1</v>
      </c>
      <c r="G361" s="9" t="n">
        <v>1</v>
      </c>
      <c r="H361" s="9" t="n">
        <v>0.2</v>
      </c>
      <c r="I361" s="9" t="n">
        <v>0.3</v>
      </c>
      <c r="J361" s="9" t="n">
        <v>0.1</v>
      </c>
      <c r="K361" s="9" t="n">
        <v>-0.05</v>
      </c>
      <c r="L361" s="9" t="n">
        <v>0.05</v>
      </c>
      <c r="M361" s="8" t="n">
        <v>1</v>
      </c>
      <c r="N361" s="8" t="inlineStr">
        <is>
          <t>1x I-350 ยาว 22 ม.</t>
        </is>
      </c>
      <c r="O361" s="8">
        <f>F361*G361*H361</f>
        <v/>
      </c>
      <c r="P361" s="8">
        <f>2*(F361+G361)*H361</f>
        <v/>
      </c>
      <c r="Q361" s="8">
        <f>IF(L361&gt;0,(F361+2*0.1)*(G361+2*0.1)*L361,0)</f>
        <v/>
      </c>
      <c r="R361" s="8">
        <f>(F361+0.2)*(G361+0.2)*0.1</f>
        <v/>
      </c>
      <c r="S361" s="8">
        <f>(F361+0.2)*(G361+0.2)*0.05</f>
        <v/>
      </c>
      <c r="T361" s="8">
        <f>INDEX('2-ฐานราก เหล็กเสริม'!$S:$S,MATCH(B361,'2-ฐานราก เหล็กเสริม'!$A:$A,0))</f>
        <v/>
      </c>
      <c r="U361" s="8" t="inlineStr">
        <is>
          <t>M24</t>
        </is>
      </c>
      <c r="V361" s="10" t="inlineStr">
        <is>
          <t>แบบ S201 (ตำแหน่ง) / ระดับรอยืนยัน</t>
        </is>
      </c>
    </row>
    <row r="362">
      <c r="A362" s="8" t="inlineStr">
        <is>
          <t>F1P-313</t>
        </is>
      </c>
      <c r="B362" s="8" t="inlineStr">
        <is>
          <t>F1P</t>
        </is>
      </c>
      <c r="C362" s="8" t="inlineStr">
        <is>
          <t>7+1.49/I-1.49</t>
        </is>
      </c>
      <c r="D362" s="9" t="n">
        <v>37.492</v>
      </c>
      <c r="E362" s="9" t="n">
        <v>46.513</v>
      </c>
      <c r="F362" s="9" t="n">
        <v>1</v>
      </c>
      <c r="G362" s="9" t="n">
        <v>1</v>
      </c>
      <c r="H362" s="9" t="n">
        <v>0.2</v>
      </c>
      <c r="I362" s="9" t="n">
        <v>0.3</v>
      </c>
      <c r="J362" s="9" t="n">
        <v>0.1</v>
      </c>
      <c r="K362" s="9" t="n">
        <v>-0.05</v>
      </c>
      <c r="L362" s="9" t="n">
        <v>0.05</v>
      </c>
      <c r="M362" s="8" t="n">
        <v>1</v>
      </c>
      <c r="N362" s="8" t="inlineStr">
        <is>
          <t>1x I-350 ยาว 22 ม.</t>
        </is>
      </c>
      <c r="O362" s="8">
        <f>F362*G362*H362</f>
        <v/>
      </c>
      <c r="P362" s="8">
        <f>2*(F362+G362)*H362</f>
        <v/>
      </c>
      <c r="Q362" s="8">
        <f>IF(L362&gt;0,(F362+2*0.1)*(G362+2*0.1)*L362,0)</f>
        <v/>
      </c>
      <c r="R362" s="8">
        <f>(F362+0.2)*(G362+0.2)*0.1</f>
        <v/>
      </c>
      <c r="S362" s="8">
        <f>(F362+0.2)*(G362+0.2)*0.05</f>
        <v/>
      </c>
      <c r="T362" s="8">
        <f>INDEX('2-ฐานราก เหล็กเสริม'!$S:$S,MATCH(B362,'2-ฐานราก เหล็กเสริม'!$A:$A,0))</f>
        <v/>
      </c>
      <c r="U362" s="8" t="inlineStr">
        <is>
          <t>M24</t>
        </is>
      </c>
      <c r="V362" s="10" t="inlineStr">
        <is>
          <t>แบบ S201 (ตำแหน่ง) / ระดับรอยืนยัน</t>
        </is>
      </c>
    </row>
    <row r="363">
      <c r="A363" s="8" t="inlineStr">
        <is>
          <t>F1P-314</t>
        </is>
      </c>
      <c r="B363" s="8" t="inlineStr">
        <is>
          <t>F1P</t>
        </is>
      </c>
      <c r="C363" s="8" t="inlineStr">
        <is>
          <t>8-1.51/I-1.49</t>
        </is>
      </c>
      <c r="D363" s="9" t="n">
        <v>40.491</v>
      </c>
      <c r="E363" s="9" t="n">
        <v>46.513</v>
      </c>
      <c r="F363" s="9" t="n">
        <v>1</v>
      </c>
      <c r="G363" s="9" t="n">
        <v>1</v>
      </c>
      <c r="H363" s="9" t="n">
        <v>0.2</v>
      </c>
      <c r="I363" s="9" t="n">
        <v>0.3</v>
      </c>
      <c r="J363" s="9" t="n">
        <v>0.1</v>
      </c>
      <c r="K363" s="9" t="n">
        <v>-0.05</v>
      </c>
      <c r="L363" s="9" t="n">
        <v>0.05</v>
      </c>
      <c r="M363" s="8" t="n">
        <v>1</v>
      </c>
      <c r="N363" s="8" t="inlineStr">
        <is>
          <t>1x I-350 ยาว 22 ม.</t>
        </is>
      </c>
      <c r="O363" s="8">
        <f>F363*G363*H363</f>
        <v/>
      </c>
      <c r="P363" s="8">
        <f>2*(F363+G363)*H363</f>
        <v/>
      </c>
      <c r="Q363" s="8">
        <f>IF(L363&gt;0,(F363+2*0.1)*(G363+2*0.1)*L363,0)</f>
        <v/>
      </c>
      <c r="R363" s="8">
        <f>(F363+0.2)*(G363+0.2)*0.1</f>
        <v/>
      </c>
      <c r="S363" s="8">
        <f>(F363+0.2)*(G363+0.2)*0.05</f>
        <v/>
      </c>
      <c r="T363" s="8">
        <f>INDEX('2-ฐานราก เหล็กเสริม'!$S:$S,MATCH(B363,'2-ฐานราก เหล็กเสริม'!$A:$A,0))</f>
        <v/>
      </c>
      <c r="U363" s="8" t="inlineStr">
        <is>
          <t>M24</t>
        </is>
      </c>
      <c r="V363" s="10" t="inlineStr">
        <is>
          <t>แบบ S201 (ตำแหน่ง) / ระดับรอยืนยัน</t>
        </is>
      </c>
    </row>
    <row r="364">
      <c r="A364" s="8" t="inlineStr">
        <is>
          <t>F1P-315</t>
        </is>
      </c>
      <c r="B364" s="8" t="inlineStr">
        <is>
          <t>F1P</t>
        </is>
      </c>
      <c r="C364" s="8" t="inlineStr">
        <is>
          <t>8+1.49/I-1.49</t>
        </is>
      </c>
      <c r="D364" s="9" t="n">
        <v>43.49</v>
      </c>
      <c r="E364" s="9" t="n">
        <v>46.513</v>
      </c>
      <c r="F364" s="9" t="n">
        <v>1</v>
      </c>
      <c r="G364" s="9" t="n">
        <v>1</v>
      </c>
      <c r="H364" s="9" t="n">
        <v>0.2</v>
      </c>
      <c r="I364" s="9" t="n">
        <v>0.3</v>
      </c>
      <c r="J364" s="9" t="n">
        <v>0.1</v>
      </c>
      <c r="K364" s="9" t="n">
        <v>-0.05</v>
      </c>
      <c r="L364" s="9" t="n">
        <v>0.05</v>
      </c>
      <c r="M364" s="8" t="n">
        <v>1</v>
      </c>
      <c r="N364" s="8" t="inlineStr">
        <is>
          <t>1x I-350 ยาว 22 ม.</t>
        </is>
      </c>
      <c r="O364" s="8">
        <f>F364*G364*H364</f>
        <v/>
      </c>
      <c r="P364" s="8">
        <f>2*(F364+G364)*H364</f>
        <v/>
      </c>
      <c r="Q364" s="8">
        <f>IF(L364&gt;0,(F364+2*0.1)*(G364+2*0.1)*L364,0)</f>
        <v/>
      </c>
      <c r="R364" s="8">
        <f>(F364+0.2)*(G364+0.2)*0.1</f>
        <v/>
      </c>
      <c r="S364" s="8">
        <f>(F364+0.2)*(G364+0.2)*0.05</f>
        <v/>
      </c>
      <c r="T364" s="8">
        <f>INDEX('2-ฐานราก เหล็กเสริม'!$S:$S,MATCH(B364,'2-ฐานราก เหล็กเสริม'!$A:$A,0))</f>
        <v/>
      </c>
      <c r="U364" s="8" t="inlineStr">
        <is>
          <t>M24</t>
        </is>
      </c>
      <c r="V364" s="10" t="inlineStr">
        <is>
          <t>แบบ S201 (ตำแหน่ง) / ระดับรอยืนยัน</t>
        </is>
      </c>
    </row>
    <row r="365">
      <c r="A365" s="8" t="inlineStr">
        <is>
          <t>F1P-316</t>
        </is>
      </c>
      <c r="B365" s="8" t="inlineStr">
        <is>
          <t>F1P</t>
        </is>
      </c>
      <c r="C365" s="8" t="inlineStr">
        <is>
          <t>9-1.51/I-1.49</t>
        </is>
      </c>
      <c r="D365" s="9" t="n">
        <v>46.495</v>
      </c>
      <c r="E365" s="9" t="n">
        <v>46.513</v>
      </c>
      <c r="F365" s="9" t="n">
        <v>1</v>
      </c>
      <c r="G365" s="9" t="n">
        <v>1</v>
      </c>
      <c r="H365" s="9" t="n">
        <v>0.2</v>
      </c>
      <c r="I365" s="9" t="n">
        <v>0.3</v>
      </c>
      <c r="J365" s="9" t="n">
        <v>0.1</v>
      </c>
      <c r="K365" s="9" t="n">
        <v>-0.05</v>
      </c>
      <c r="L365" s="9" t="n">
        <v>0.05</v>
      </c>
      <c r="M365" s="8" t="n">
        <v>1</v>
      </c>
      <c r="N365" s="8" t="inlineStr">
        <is>
          <t>1x I-350 ยาว 22 ม.</t>
        </is>
      </c>
      <c r="O365" s="8">
        <f>F365*G365*H365</f>
        <v/>
      </c>
      <c r="P365" s="8">
        <f>2*(F365+G365)*H365</f>
        <v/>
      </c>
      <c r="Q365" s="8">
        <f>IF(L365&gt;0,(F365+2*0.1)*(G365+2*0.1)*L365,0)</f>
        <v/>
      </c>
      <c r="R365" s="8">
        <f>(F365+0.2)*(G365+0.2)*0.1</f>
        <v/>
      </c>
      <c r="S365" s="8">
        <f>(F365+0.2)*(G365+0.2)*0.05</f>
        <v/>
      </c>
      <c r="T365" s="8">
        <f>INDEX('2-ฐานราก เหล็กเสริม'!$S:$S,MATCH(B365,'2-ฐานราก เหล็กเสริม'!$A:$A,0))</f>
        <v/>
      </c>
      <c r="U365" s="8" t="inlineStr">
        <is>
          <t>M24</t>
        </is>
      </c>
      <c r="V365" s="10" t="inlineStr">
        <is>
          <t>แบบ S201 (ตำแหน่ง) / ระดับรอยืนยัน</t>
        </is>
      </c>
    </row>
    <row r="366">
      <c r="A366" s="8" t="inlineStr">
        <is>
          <t>F1P-317</t>
        </is>
      </c>
      <c r="B366" s="8" t="inlineStr">
        <is>
          <t>F1P</t>
        </is>
      </c>
      <c r="C366" s="8" t="inlineStr">
        <is>
          <t>9+1.49/I-1.49</t>
        </is>
      </c>
      <c r="D366" s="9" t="n">
        <v>49.494</v>
      </c>
      <c r="E366" s="9" t="n">
        <v>46.513</v>
      </c>
      <c r="F366" s="9" t="n">
        <v>1</v>
      </c>
      <c r="G366" s="9" t="n">
        <v>1</v>
      </c>
      <c r="H366" s="9" t="n">
        <v>0.2</v>
      </c>
      <c r="I366" s="9" t="n">
        <v>0.3</v>
      </c>
      <c r="J366" s="9" t="n">
        <v>0.1</v>
      </c>
      <c r="K366" s="9" t="n">
        <v>-0.05</v>
      </c>
      <c r="L366" s="9" t="n">
        <v>0.05</v>
      </c>
      <c r="M366" s="8" t="n">
        <v>1</v>
      </c>
      <c r="N366" s="8" t="inlineStr">
        <is>
          <t>1x I-350 ยาว 22 ม.</t>
        </is>
      </c>
      <c r="O366" s="8">
        <f>F366*G366*H366</f>
        <v/>
      </c>
      <c r="P366" s="8">
        <f>2*(F366+G366)*H366</f>
        <v/>
      </c>
      <c r="Q366" s="8">
        <f>IF(L366&gt;0,(F366+2*0.1)*(G366+2*0.1)*L366,0)</f>
        <v/>
      </c>
      <c r="R366" s="8">
        <f>(F366+0.2)*(G366+0.2)*0.1</f>
        <v/>
      </c>
      <c r="S366" s="8">
        <f>(F366+0.2)*(G366+0.2)*0.05</f>
        <v/>
      </c>
      <c r="T366" s="8">
        <f>INDEX('2-ฐานราก เหล็กเสริม'!$S:$S,MATCH(B366,'2-ฐานราก เหล็กเสริม'!$A:$A,0))</f>
        <v/>
      </c>
      <c r="U366" s="8" t="inlineStr">
        <is>
          <t>M24</t>
        </is>
      </c>
      <c r="V366" s="10" t="inlineStr">
        <is>
          <t>แบบ S201 (ตำแหน่ง) / ระดับรอยืนยัน</t>
        </is>
      </c>
    </row>
    <row r="367">
      <c r="A367" s="8" t="inlineStr">
        <is>
          <t>F1P-318</t>
        </is>
      </c>
      <c r="B367" s="8" t="inlineStr">
        <is>
          <t>F1P</t>
        </is>
      </c>
      <c r="C367" s="8" t="inlineStr">
        <is>
          <t>10-1.51/I-1.49</t>
        </is>
      </c>
      <c r="D367" s="9" t="n">
        <v>52.493</v>
      </c>
      <c r="E367" s="9" t="n">
        <v>46.513</v>
      </c>
      <c r="F367" s="9" t="n">
        <v>1</v>
      </c>
      <c r="G367" s="9" t="n">
        <v>1</v>
      </c>
      <c r="H367" s="9" t="n">
        <v>0.2</v>
      </c>
      <c r="I367" s="9" t="n">
        <v>0.3</v>
      </c>
      <c r="J367" s="9" t="n">
        <v>0.1</v>
      </c>
      <c r="K367" s="9" t="n">
        <v>-0.05</v>
      </c>
      <c r="L367" s="9" t="n">
        <v>0.05</v>
      </c>
      <c r="M367" s="8" t="n">
        <v>1</v>
      </c>
      <c r="N367" s="8" t="inlineStr">
        <is>
          <t>1x I-350 ยาว 22 ม.</t>
        </is>
      </c>
      <c r="O367" s="8">
        <f>F367*G367*H367</f>
        <v/>
      </c>
      <c r="P367" s="8">
        <f>2*(F367+G367)*H367</f>
        <v/>
      </c>
      <c r="Q367" s="8">
        <f>IF(L367&gt;0,(F367+2*0.1)*(G367+2*0.1)*L367,0)</f>
        <v/>
      </c>
      <c r="R367" s="8">
        <f>(F367+0.2)*(G367+0.2)*0.1</f>
        <v/>
      </c>
      <c r="S367" s="8">
        <f>(F367+0.2)*(G367+0.2)*0.05</f>
        <v/>
      </c>
      <c r="T367" s="8">
        <f>INDEX('2-ฐานราก เหล็กเสริม'!$S:$S,MATCH(B367,'2-ฐานราก เหล็กเสริม'!$A:$A,0))</f>
        <v/>
      </c>
      <c r="U367" s="8" t="inlineStr">
        <is>
          <t>M24</t>
        </is>
      </c>
      <c r="V367" s="10" t="inlineStr">
        <is>
          <t>แบบ S201 (ตำแหน่ง) / ระดับรอยืนยัน</t>
        </is>
      </c>
    </row>
    <row r="368">
      <c r="A368" s="8" t="inlineStr">
        <is>
          <t>F1P-319</t>
        </is>
      </c>
      <c r="B368" s="8" t="inlineStr">
        <is>
          <t>F1P</t>
        </is>
      </c>
      <c r="C368" s="8" t="inlineStr">
        <is>
          <t>10+1.49/I-1.49</t>
        </is>
      </c>
      <c r="D368" s="9" t="n">
        <v>55.492</v>
      </c>
      <c r="E368" s="9" t="n">
        <v>46.513</v>
      </c>
      <c r="F368" s="9" t="n">
        <v>1</v>
      </c>
      <c r="G368" s="9" t="n">
        <v>1</v>
      </c>
      <c r="H368" s="9" t="n">
        <v>0.2</v>
      </c>
      <c r="I368" s="9" t="n">
        <v>0.3</v>
      </c>
      <c r="J368" s="9" t="n">
        <v>0.1</v>
      </c>
      <c r="K368" s="9" t="n">
        <v>-0.05</v>
      </c>
      <c r="L368" s="9" t="n">
        <v>0.05</v>
      </c>
      <c r="M368" s="8" t="n">
        <v>1</v>
      </c>
      <c r="N368" s="8" t="inlineStr">
        <is>
          <t>1x I-350 ยาว 22 ม.</t>
        </is>
      </c>
      <c r="O368" s="8">
        <f>F368*G368*H368</f>
        <v/>
      </c>
      <c r="P368" s="8">
        <f>2*(F368+G368)*H368</f>
        <v/>
      </c>
      <c r="Q368" s="8">
        <f>IF(L368&gt;0,(F368+2*0.1)*(G368+2*0.1)*L368,0)</f>
        <v/>
      </c>
      <c r="R368" s="8">
        <f>(F368+0.2)*(G368+0.2)*0.1</f>
        <v/>
      </c>
      <c r="S368" s="8">
        <f>(F368+0.2)*(G368+0.2)*0.05</f>
        <v/>
      </c>
      <c r="T368" s="8">
        <f>INDEX('2-ฐานราก เหล็กเสริม'!$S:$S,MATCH(B368,'2-ฐานราก เหล็กเสริม'!$A:$A,0))</f>
        <v/>
      </c>
      <c r="U368" s="8" t="inlineStr">
        <is>
          <t>M24</t>
        </is>
      </c>
      <c r="V368" s="10" t="inlineStr">
        <is>
          <t>แบบ S201 (ตำแหน่ง) / ระดับรอยืนยัน</t>
        </is>
      </c>
    </row>
    <row r="369">
      <c r="A369" s="8" t="inlineStr">
        <is>
          <t>F1P-320</t>
        </is>
      </c>
      <c r="B369" s="8" t="inlineStr">
        <is>
          <t>F1P</t>
        </is>
      </c>
      <c r="C369" s="8" t="inlineStr">
        <is>
          <t>11-1.51/I-1.49</t>
        </is>
      </c>
      <c r="D369" s="9" t="n">
        <v>58.49</v>
      </c>
      <c r="E369" s="9" t="n">
        <v>46.513</v>
      </c>
      <c r="F369" s="9" t="n">
        <v>1</v>
      </c>
      <c r="G369" s="9" t="n">
        <v>1</v>
      </c>
      <c r="H369" s="9" t="n">
        <v>0.2</v>
      </c>
      <c r="I369" s="9" t="n">
        <v>0.3</v>
      </c>
      <c r="J369" s="9" t="n">
        <v>0.1</v>
      </c>
      <c r="K369" s="9" t="n">
        <v>-0.05</v>
      </c>
      <c r="L369" s="9" t="n">
        <v>0.05</v>
      </c>
      <c r="M369" s="8" t="n">
        <v>1</v>
      </c>
      <c r="N369" s="8" t="inlineStr">
        <is>
          <t>1x I-350 ยาว 22 ม.</t>
        </is>
      </c>
      <c r="O369" s="8">
        <f>F369*G369*H369</f>
        <v/>
      </c>
      <c r="P369" s="8">
        <f>2*(F369+G369)*H369</f>
        <v/>
      </c>
      <c r="Q369" s="8">
        <f>IF(L369&gt;0,(F369+2*0.1)*(G369+2*0.1)*L369,0)</f>
        <v/>
      </c>
      <c r="R369" s="8">
        <f>(F369+0.2)*(G369+0.2)*0.1</f>
        <v/>
      </c>
      <c r="S369" s="8">
        <f>(F369+0.2)*(G369+0.2)*0.05</f>
        <v/>
      </c>
      <c r="T369" s="8">
        <f>INDEX('2-ฐานราก เหล็กเสริม'!$S:$S,MATCH(B369,'2-ฐานราก เหล็กเสริม'!$A:$A,0))</f>
        <v/>
      </c>
      <c r="U369" s="8" t="inlineStr">
        <is>
          <t>M24</t>
        </is>
      </c>
      <c r="V369" s="10" t="inlineStr">
        <is>
          <t>แบบ S201 (ตำแหน่ง) / ระดับรอยืนยัน</t>
        </is>
      </c>
    </row>
    <row r="370">
      <c r="A370" s="8" t="inlineStr">
        <is>
          <t>F1P-321</t>
        </is>
      </c>
      <c r="B370" s="8" t="inlineStr">
        <is>
          <t>F1P</t>
        </is>
      </c>
      <c r="C370" s="8" t="inlineStr">
        <is>
          <t>1+1.49/I+1.51</t>
        </is>
      </c>
      <c r="D370" s="9" t="n">
        <v>1.487</v>
      </c>
      <c r="E370" s="9" t="n">
        <v>49.511</v>
      </c>
      <c r="F370" s="9" t="n">
        <v>1</v>
      </c>
      <c r="G370" s="9" t="n">
        <v>1</v>
      </c>
      <c r="H370" s="9" t="n">
        <v>0.2</v>
      </c>
      <c r="I370" s="9" t="n">
        <v>0.3</v>
      </c>
      <c r="J370" s="9" t="n">
        <v>0.1</v>
      </c>
      <c r="K370" s="9" t="n">
        <v>-0.05</v>
      </c>
      <c r="L370" s="9" t="n">
        <v>0.05</v>
      </c>
      <c r="M370" s="8" t="n">
        <v>1</v>
      </c>
      <c r="N370" s="8" t="inlineStr">
        <is>
          <t>1x I-350 ยาว 22 ม.</t>
        </is>
      </c>
      <c r="O370" s="8">
        <f>F370*G370*H370</f>
        <v/>
      </c>
      <c r="P370" s="8">
        <f>2*(F370+G370)*H370</f>
        <v/>
      </c>
      <c r="Q370" s="8">
        <f>IF(L370&gt;0,(F370+2*0.1)*(G370+2*0.1)*L370,0)</f>
        <v/>
      </c>
      <c r="R370" s="8">
        <f>(F370+0.2)*(G370+0.2)*0.1</f>
        <v/>
      </c>
      <c r="S370" s="8">
        <f>(F370+0.2)*(G370+0.2)*0.05</f>
        <v/>
      </c>
      <c r="T370" s="8">
        <f>INDEX('2-ฐานราก เหล็กเสริม'!$S:$S,MATCH(B370,'2-ฐานราก เหล็กเสริม'!$A:$A,0))</f>
        <v/>
      </c>
      <c r="U370" s="8" t="inlineStr">
        <is>
          <t>M24</t>
        </is>
      </c>
      <c r="V370" s="10" t="inlineStr">
        <is>
          <t>แบบ S201 (ตำแหน่ง) / ระดับรอยืนยัน</t>
        </is>
      </c>
    </row>
    <row r="371">
      <c r="A371" s="8" t="inlineStr">
        <is>
          <t>F1P-322</t>
        </is>
      </c>
      <c r="B371" s="8" t="inlineStr">
        <is>
          <t>F1P</t>
        </is>
      </c>
      <c r="C371" s="8" t="inlineStr">
        <is>
          <t>2-1.51/I+1.51</t>
        </is>
      </c>
      <c r="D371" s="9" t="n">
        <v>4.485</v>
      </c>
      <c r="E371" s="9" t="n">
        <v>49.511</v>
      </c>
      <c r="F371" s="9" t="n">
        <v>1</v>
      </c>
      <c r="G371" s="9" t="n">
        <v>1</v>
      </c>
      <c r="H371" s="9" t="n">
        <v>0.2</v>
      </c>
      <c r="I371" s="9" t="n">
        <v>0.3</v>
      </c>
      <c r="J371" s="9" t="n">
        <v>0.1</v>
      </c>
      <c r="K371" s="9" t="n">
        <v>-0.05</v>
      </c>
      <c r="L371" s="9" t="n">
        <v>0.05</v>
      </c>
      <c r="M371" s="8" t="n">
        <v>1</v>
      </c>
      <c r="N371" s="8" t="inlineStr">
        <is>
          <t>1x I-350 ยาว 22 ม.</t>
        </is>
      </c>
      <c r="O371" s="8">
        <f>F371*G371*H371</f>
        <v/>
      </c>
      <c r="P371" s="8">
        <f>2*(F371+G371)*H371</f>
        <v/>
      </c>
      <c r="Q371" s="8">
        <f>IF(L371&gt;0,(F371+2*0.1)*(G371+2*0.1)*L371,0)</f>
        <v/>
      </c>
      <c r="R371" s="8">
        <f>(F371+0.2)*(G371+0.2)*0.1</f>
        <v/>
      </c>
      <c r="S371" s="8">
        <f>(F371+0.2)*(G371+0.2)*0.05</f>
        <v/>
      </c>
      <c r="T371" s="8">
        <f>INDEX('2-ฐานราก เหล็กเสริม'!$S:$S,MATCH(B371,'2-ฐานราก เหล็กเสริม'!$A:$A,0))</f>
        <v/>
      </c>
      <c r="U371" s="8" t="inlineStr">
        <is>
          <t>M24</t>
        </is>
      </c>
      <c r="V371" s="10" t="inlineStr">
        <is>
          <t>แบบ S201 (ตำแหน่ง) / ระดับรอยืนยัน</t>
        </is>
      </c>
    </row>
    <row r="372">
      <c r="A372" s="8" t="inlineStr">
        <is>
          <t>F1P-323</t>
        </is>
      </c>
      <c r="B372" s="8" t="inlineStr">
        <is>
          <t>F1P</t>
        </is>
      </c>
      <c r="C372" s="8" t="inlineStr">
        <is>
          <t>2+1.49/I+1.51</t>
        </is>
      </c>
      <c r="D372" s="9" t="n">
        <v>7.491</v>
      </c>
      <c r="E372" s="9" t="n">
        <v>49.511</v>
      </c>
      <c r="F372" s="9" t="n">
        <v>1</v>
      </c>
      <c r="G372" s="9" t="n">
        <v>1</v>
      </c>
      <c r="H372" s="9" t="n">
        <v>0.2</v>
      </c>
      <c r="I372" s="9" t="n">
        <v>0.3</v>
      </c>
      <c r="J372" s="9" t="n">
        <v>0.1</v>
      </c>
      <c r="K372" s="9" t="n">
        <v>-0.05</v>
      </c>
      <c r="L372" s="9" t="n">
        <v>0.05</v>
      </c>
      <c r="M372" s="8" t="n">
        <v>1</v>
      </c>
      <c r="N372" s="8" t="inlineStr">
        <is>
          <t>1x I-350 ยาว 22 ม.</t>
        </is>
      </c>
      <c r="O372" s="8">
        <f>F372*G372*H372</f>
        <v/>
      </c>
      <c r="P372" s="8">
        <f>2*(F372+G372)*H372</f>
        <v/>
      </c>
      <c r="Q372" s="8">
        <f>IF(L372&gt;0,(F372+2*0.1)*(G372+2*0.1)*L372,0)</f>
        <v/>
      </c>
      <c r="R372" s="8">
        <f>(F372+0.2)*(G372+0.2)*0.1</f>
        <v/>
      </c>
      <c r="S372" s="8">
        <f>(F372+0.2)*(G372+0.2)*0.05</f>
        <v/>
      </c>
      <c r="T372" s="8">
        <f>INDEX('2-ฐานราก เหล็กเสริม'!$S:$S,MATCH(B372,'2-ฐานราก เหล็กเสริม'!$A:$A,0))</f>
        <v/>
      </c>
      <c r="U372" s="8" t="inlineStr">
        <is>
          <t>M24</t>
        </is>
      </c>
      <c r="V372" s="10" t="inlineStr">
        <is>
          <t>แบบ S201 (ตำแหน่ง) / ระดับรอยืนยัน</t>
        </is>
      </c>
    </row>
    <row r="373">
      <c r="A373" s="8" t="inlineStr">
        <is>
          <t>F1P-324</t>
        </is>
      </c>
      <c r="B373" s="8" t="inlineStr">
        <is>
          <t>F1P</t>
        </is>
      </c>
      <c r="C373" s="8" t="inlineStr">
        <is>
          <t>3-1.51/I+1.51</t>
        </is>
      </c>
      <c r="D373" s="9" t="n">
        <v>10.49</v>
      </c>
      <c r="E373" s="9" t="n">
        <v>49.511</v>
      </c>
      <c r="F373" s="9" t="n">
        <v>1</v>
      </c>
      <c r="G373" s="9" t="n">
        <v>1</v>
      </c>
      <c r="H373" s="9" t="n">
        <v>0.2</v>
      </c>
      <c r="I373" s="9" t="n">
        <v>0.3</v>
      </c>
      <c r="J373" s="9" t="n">
        <v>0.1</v>
      </c>
      <c r="K373" s="9" t="n">
        <v>-0.05</v>
      </c>
      <c r="L373" s="9" t="n">
        <v>0.05</v>
      </c>
      <c r="M373" s="8" t="n">
        <v>1</v>
      </c>
      <c r="N373" s="8" t="inlineStr">
        <is>
          <t>1x I-350 ยาว 22 ม.</t>
        </is>
      </c>
      <c r="O373" s="8">
        <f>F373*G373*H373</f>
        <v/>
      </c>
      <c r="P373" s="8">
        <f>2*(F373+G373)*H373</f>
        <v/>
      </c>
      <c r="Q373" s="8">
        <f>IF(L373&gt;0,(F373+2*0.1)*(G373+2*0.1)*L373,0)</f>
        <v/>
      </c>
      <c r="R373" s="8">
        <f>(F373+0.2)*(G373+0.2)*0.1</f>
        <v/>
      </c>
      <c r="S373" s="8">
        <f>(F373+0.2)*(G373+0.2)*0.05</f>
        <v/>
      </c>
      <c r="T373" s="8">
        <f>INDEX('2-ฐานราก เหล็กเสริม'!$S:$S,MATCH(B373,'2-ฐานราก เหล็กเสริม'!$A:$A,0))</f>
        <v/>
      </c>
      <c r="U373" s="8" t="inlineStr">
        <is>
          <t>M24</t>
        </is>
      </c>
      <c r="V373" s="10" t="inlineStr">
        <is>
          <t>แบบ S201 (ตำแหน่ง) / ระดับรอยืนยัน</t>
        </is>
      </c>
    </row>
    <row r="374">
      <c r="A374" s="8" t="inlineStr">
        <is>
          <t>F1P-325</t>
        </is>
      </c>
      <c r="B374" s="8" t="inlineStr">
        <is>
          <t>F1P</t>
        </is>
      </c>
      <c r="C374" s="8" t="inlineStr">
        <is>
          <t>3+1.49/I+1.51</t>
        </is>
      </c>
      <c r="D374" s="9" t="n">
        <v>13.488</v>
      </c>
      <c r="E374" s="9" t="n">
        <v>49.511</v>
      </c>
      <c r="F374" s="9" t="n">
        <v>1</v>
      </c>
      <c r="G374" s="9" t="n">
        <v>1</v>
      </c>
      <c r="H374" s="9" t="n">
        <v>0.2</v>
      </c>
      <c r="I374" s="9" t="n">
        <v>0.3</v>
      </c>
      <c r="J374" s="9" t="n">
        <v>0.1</v>
      </c>
      <c r="K374" s="9" t="n">
        <v>-0.05</v>
      </c>
      <c r="L374" s="9" t="n">
        <v>0.05</v>
      </c>
      <c r="M374" s="8" t="n">
        <v>1</v>
      </c>
      <c r="N374" s="8" t="inlineStr">
        <is>
          <t>1x I-350 ยาว 22 ม.</t>
        </is>
      </c>
      <c r="O374" s="8">
        <f>F374*G374*H374</f>
        <v/>
      </c>
      <c r="P374" s="8">
        <f>2*(F374+G374)*H374</f>
        <v/>
      </c>
      <c r="Q374" s="8">
        <f>IF(L374&gt;0,(F374+2*0.1)*(G374+2*0.1)*L374,0)</f>
        <v/>
      </c>
      <c r="R374" s="8">
        <f>(F374+0.2)*(G374+0.2)*0.1</f>
        <v/>
      </c>
      <c r="S374" s="8">
        <f>(F374+0.2)*(G374+0.2)*0.05</f>
        <v/>
      </c>
      <c r="T374" s="8">
        <f>INDEX('2-ฐานราก เหล็กเสริม'!$S:$S,MATCH(B374,'2-ฐานราก เหล็กเสริม'!$A:$A,0))</f>
        <v/>
      </c>
      <c r="U374" s="8" t="inlineStr">
        <is>
          <t>M24</t>
        </is>
      </c>
      <c r="V374" s="10" t="inlineStr">
        <is>
          <t>แบบ S201 (ตำแหน่ง) / ระดับรอยืนยัน</t>
        </is>
      </c>
    </row>
    <row r="375">
      <c r="A375" s="8" t="inlineStr">
        <is>
          <t>F1P-326</t>
        </is>
      </c>
      <c r="B375" s="8" t="inlineStr">
        <is>
          <t>F1P</t>
        </is>
      </c>
      <c r="C375" s="8" t="inlineStr">
        <is>
          <t>4-1.51/I+1.51</t>
        </is>
      </c>
      <c r="D375" s="9" t="n">
        <v>16.487</v>
      </c>
      <c r="E375" s="9" t="n">
        <v>49.511</v>
      </c>
      <c r="F375" s="9" t="n">
        <v>1</v>
      </c>
      <c r="G375" s="9" t="n">
        <v>1</v>
      </c>
      <c r="H375" s="9" t="n">
        <v>0.2</v>
      </c>
      <c r="I375" s="9" t="n">
        <v>0.3</v>
      </c>
      <c r="J375" s="9" t="n">
        <v>0.1</v>
      </c>
      <c r="K375" s="9" t="n">
        <v>-0.05</v>
      </c>
      <c r="L375" s="9" t="n">
        <v>0.05</v>
      </c>
      <c r="M375" s="8" t="n">
        <v>1</v>
      </c>
      <c r="N375" s="8" t="inlineStr">
        <is>
          <t>1x I-350 ยาว 22 ม.</t>
        </is>
      </c>
      <c r="O375" s="8">
        <f>F375*G375*H375</f>
        <v/>
      </c>
      <c r="P375" s="8">
        <f>2*(F375+G375)*H375</f>
        <v/>
      </c>
      <c r="Q375" s="8">
        <f>IF(L375&gt;0,(F375+2*0.1)*(G375+2*0.1)*L375,0)</f>
        <v/>
      </c>
      <c r="R375" s="8">
        <f>(F375+0.2)*(G375+0.2)*0.1</f>
        <v/>
      </c>
      <c r="S375" s="8">
        <f>(F375+0.2)*(G375+0.2)*0.05</f>
        <v/>
      </c>
      <c r="T375" s="8">
        <f>INDEX('2-ฐานราก เหล็กเสริม'!$S:$S,MATCH(B375,'2-ฐานราก เหล็กเสริม'!$A:$A,0))</f>
        <v/>
      </c>
      <c r="U375" s="8" t="inlineStr">
        <is>
          <t>M24</t>
        </is>
      </c>
      <c r="V375" s="10" t="inlineStr">
        <is>
          <t>แบบ S201 (ตำแหน่ง) / ระดับรอยืนยัน</t>
        </is>
      </c>
    </row>
    <row r="376">
      <c r="A376" s="8" t="inlineStr">
        <is>
          <t>F1P-327</t>
        </is>
      </c>
      <c r="B376" s="8" t="inlineStr">
        <is>
          <t>F1P</t>
        </is>
      </c>
      <c r="C376" s="8" t="inlineStr">
        <is>
          <t>4+1.49/I+1.51</t>
        </is>
      </c>
      <c r="D376" s="9" t="n">
        <v>19.486</v>
      </c>
      <c r="E376" s="9" t="n">
        <v>49.511</v>
      </c>
      <c r="F376" s="9" t="n">
        <v>1</v>
      </c>
      <c r="G376" s="9" t="n">
        <v>1</v>
      </c>
      <c r="H376" s="9" t="n">
        <v>0.2</v>
      </c>
      <c r="I376" s="9" t="n">
        <v>0.3</v>
      </c>
      <c r="J376" s="9" t="n">
        <v>0.1</v>
      </c>
      <c r="K376" s="9" t="n">
        <v>-0.05</v>
      </c>
      <c r="L376" s="9" t="n">
        <v>0.05</v>
      </c>
      <c r="M376" s="8" t="n">
        <v>1</v>
      </c>
      <c r="N376" s="8" t="inlineStr">
        <is>
          <t>1x I-350 ยาว 22 ม.</t>
        </is>
      </c>
      <c r="O376" s="8">
        <f>F376*G376*H376</f>
        <v/>
      </c>
      <c r="P376" s="8">
        <f>2*(F376+G376)*H376</f>
        <v/>
      </c>
      <c r="Q376" s="8">
        <f>IF(L376&gt;0,(F376+2*0.1)*(G376+2*0.1)*L376,0)</f>
        <v/>
      </c>
      <c r="R376" s="8">
        <f>(F376+0.2)*(G376+0.2)*0.1</f>
        <v/>
      </c>
      <c r="S376" s="8">
        <f>(F376+0.2)*(G376+0.2)*0.05</f>
        <v/>
      </c>
      <c r="T376" s="8">
        <f>INDEX('2-ฐานราก เหล็กเสริม'!$S:$S,MATCH(B376,'2-ฐานราก เหล็กเสริม'!$A:$A,0))</f>
        <v/>
      </c>
      <c r="U376" s="8" t="inlineStr">
        <is>
          <t>M24</t>
        </is>
      </c>
      <c r="V376" s="10" t="inlineStr">
        <is>
          <t>แบบ S201 (ตำแหน่ง) / ระดับรอยืนยัน</t>
        </is>
      </c>
    </row>
    <row r="377">
      <c r="A377" s="8" t="inlineStr">
        <is>
          <t>F1P-328</t>
        </is>
      </c>
      <c r="B377" s="8" t="inlineStr">
        <is>
          <t>F1P</t>
        </is>
      </c>
      <c r="C377" s="8" t="inlineStr">
        <is>
          <t>5-1.51/I+1.51</t>
        </is>
      </c>
      <c r="D377" s="9" t="n">
        <v>22.491</v>
      </c>
      <c r="E377" s="9" t="n">
        <v>49.511</v>
      </c>
      <c r="F377" s="9" t="n">
        <v>1</v>
      </c>
      <c r="G377" s="9" t="n">
        <v>1</v>
      </c>
      <c r="H377" s="9" t="n">
        <v>0.2</v>
      </c>
      <c r="I377" s="9" t="n">
        <v>0.3</v>
      </c>
      <c r="J377" s="9" t="n">
        <v>0.1</v>
      </c>
      <c r="K377" s="9" t="n">
        <v>-0.05</v>
      </c>
      <c r="L377" s="9" t="n">
        <v>0.05</v>
      </c>
      <c r="M377" s="8" t="n">
        <v>1</v>
      </c>
      <c r="N377" s="8" t="inlineStr">
        <is>
          <t>1x I-350 ยาว 22 ม.</t>
        </is>
      </c>
      <c r="O377" s="8">
        <f>F377*G377*H377</f>
        <v/>
      </c>
      <c r="P377" s="8">
        <f>2*(F377+G377)*H377</f>
        <v/>
      </c>
      <c r="Q377" s="8">
        <f>IF(L377&gt;0,(F377+2*0.1)*(G377+2*0.1)*L377,0)</f>
        <v/>
      </c>
      <c r="R377" s="8">
        <f>(F377+0.2)*(G377+0.2)*0.1</f>
        <v/>
      </c>
      <c r="S377" s="8">
        <f>(F377+0.2)*(G377+0.2)*0.05</f>
        <v/>
      </c>
      <c r="T377" s="8">
        <f>INDEX('2-ฐานราก เหล็กเสริม'!$S:$S,MATCH(B377,'2-ฐานราก เหล็กเสริม'!$A:$A,0))</f>
        <v/>
      </c>
      <c r="U377" s="8" t="inlineStr">
        <is>
          <t>M24</t>
        </is>
      </c>
      <c r="V377" s="10" t="inlineStr">
        <is>
          <t>แบบ S201 (ตำแหน่ง) / ระดับรอยืนยัน</t>
        </is>
      </c>
    </row>
    <row r="378">
      <c r="A378" s="8" t="inlineStr">
        <is>
          <t>F1P-329</t>
        </is>
      </c>
      <c r="B378" s="8" t="inlineStr">
        <is>
          <t>F1P</t>
        </is>
      </c>
      <c r="C378" s="8" t="inlineStr">
        <is>
          <t>5+1.49/I+1.51</t>
        </is>
      </c>
      <c r="D378" s="9" t="n">
        <v>25.49</v>
      </c>
      <c r="E378" s="9" t="n">
        <v>49.511</v>
      </c>
      <c r="F378" s="9" t="n">
        <v>1</v>
      </c>
      <c r="G378" s="9" t="n">
        <v>1</v>
      </c>
      <c r="H378" s="9" t="n">
        <v>0.2</v>
      </c>
      <c r="I378" s="9" t="n">
        <v>0.3</v>
      </c>
      <c r="J378" s="9" t="n">
        <v>0.1</v>
      </c>
      <c r="K378" s="9" t="n">
        <v>-0.05</v>
      </c>
      <c r="L378" s="9" t="n">
        <v>0.05</v>
      </c>
      <c r="M378" s="8" t="n">
        <v>1</v>
      </c>
      <c r="N378" s="8" t="inlineStr">
        <is>
          <t>1x I-350 ยาว 22 ม.</t>
        </is>
      </c>
      <c r="O378" s="8">
        <f>F378*G378*H378</f>
        <v/>
      </c>
      <c r="P378" s="8">
        <f>2*(F378+G378)*H378</f>
        <v/>
      </c>
      <c r="Q378" s="8">
        <f>IF(L378&gt;0,(F378+2*0.1)*(G378+2*0.1)*L378,0)</f>
        <v/>
      </c>
      <c r="R378" s="8">
        <f>(F378+0.2)*(G378+0.2)*0.1</f>
        <v/>
      </c>
      <c r="S378" s="8">
        <f>(F378+0.2)*(G378+0.2)*0.05</f>
        <v/>
      </c>
      <c r="T378" s="8">
        <f>INDEX('2-ฐานราก เหล็กเสริม'!$S:$S,MATCH(B378,'2-ฐานราก เหล็กเสริม'!$A:$A,0))</f>
        <v/>
      </c>
      <c r="U378" s="8" t="inlineStr">
        <is>
          <t>M24</t>
        </is>
      </c>
      <c r="V378" s="10" t="inlineStr">
        <is>
          <t>แบบ S201 (ตำแหน่ง) / ระดับรอยืนยัน</t>
        </is>
      </c>
    </row>
    <row r="379">
      <c r="A379" s="8" t="inlineStr">
        <is>
          <t>F1P-330</t>
        </is>
      </c>
      <c r="B379" s="8" t="inlineStr">
        <is>
          <t>F1P</t>
        </is>
      </c>
      <c r="C379" s="8" t="inlineStr">
        <is>
          <t>6-1.51/I+1.51</t>
        </is>
      </c>
      <c r="D379" s="9" t="n">
        <v>28.489</v>
      </c>
      <c r="E379" s="9" t="n">
        <v>49.511</v>
      </c>
      <c r="F379" s="9" t="n">
        <v>1</v>
      </c>
      <c r="G379" s="9" t="n">
        <v>1</v>
      </c>
      <c r="H379" s="9" t="n">
        <v>0.2</v>
      </c>
      <c r="I379" s="9" t="n">
        <v>0.3</v>
      </c>
      <c r="J379" s="9" t="n">
        <v>0.1</v>
      </c>
      <c r="K379" s="9" t="n">
        <v>-0.05</v>
      </c>
      <c r="L379" s="9" t="n">
        <v>0.05</v>
      </c>
      <c r="M379" s="8" t="n">
        <v>1</v>
      </c>
      <c r="N379" s="8" t="inlineStr">
        <is>
          <t>1x I-350 ยาว 22 ม.</t>
        </is>
      </c>
      <c r="O379" s="8">
        <f>F379*G379*H379</f>
        <v/>
      </c>
      <c r="P379" s="8">
        <f>2*(F379+G379)*H379</f>
        <v/>
      </c>
      <c r="Q379" s="8">
        <f>IF(L379&gt;0,(F379+2*0.1)*(G379+2*0.1)*L379,0)</f>
        <v/>
      </c>
      <c r="R379" s="8">
        <f>(F379+0.2)*(G379+0.2)*0.1</f>
        <v/>
      </c>
      <c r="S379" s="8">
        <f>(F379+0.2)*(G379+0.2)*0.05</f>
        <v/>
      </c>
      <c r="T379" s="8">
        <f>INDEX('2-ฐานราก เหล็กเสริม'!$S:$S,MATCH(B379,'2-ฐานราก เหล็กเสริม'!$A:$A,0))</f>
        <v/>
      </c>
      <c r="U379" s="8" t="inlineStr">
        <is>
          <t>M24</t>
        </is>
      </c>
      <c r="V379" s="10" t="inlineStr">
        <is>
          <t>แบบ S201 (ตำแหน่ง) / ระดับรอยืนยัน</t>
        </is>
      </c>
    </row>
    <row r="380">
      <c r="A380" s="8" t="inlineStr">
        <is>
          <t>F1P-331</t>
        </is>
      </c>
      <c r="B380" s="8" t="inlineStr">
        <is>
          <t>F1P</t>
        </is>
      </c>
      <c r="C380" s="8" t="inlineStr">
        <is>
          <t>6+1.49/I+1.51</t>
        </is>
      </c>
      <c r="D380" s="9" t="n">
        <v>31.488</v>
      </c>
      <c r="E380" s="9" t="n">
        <v>49.511</v>
      </c>
      <c r="F380" s="9" t="n">
        <v>1</v>
      </c>
      <c r="G380" s="9" t="n">
        <v>1</v>
      </c>
      <c r="H380" s="9" t="n">
        <v>0.2</v>
      </c>
      <c r="I380" s="9" t="n">
        <v>0.3</v>
      </c>
      <c r="J380" s="9" t="n">
        <v>0.1</v>
      </c>
      <c r="K380" s="9" t="n">
        <v>-0.05</v>
      </c>
      <c r="L380" s="9" t="n">
        <v>0.05</v>
      </c>
      <c r="M380" s="8" t="n">
        <v>1</v>
      </c>
      <c r="N380" s="8" t="inlineStr">
        <is>
          <t>1x I-350 ยาว 22 ม.</t>
        </is>
      </c>
      <c r="O380" s="8">
        <f>F380*G380*H380</f>
        <v/>
      </c>
      <c r="P380" s="8">
        <f>2*(F380+G380)*H380</f>
        <v/>
      </c>
      <c r="Q380" s="8">
        <f>IF(L380&gt;0,(F380+2*0.1)*(G380+2*0.1)*L380,0)</f>
        <v/>
      </c>
      <c r="R380" s="8">
        <f>(F380+0.2)*(G380+0.2)*0.1</f>
        <v/>
      </c>
      <c r="S380" s="8">
        <f>(F380+0.2)*(G380+0.2)*0.05</f>
        <v/>
      </c>
      <c r="T380" s="8">
        <f>INDEX('2-ฐานราก เหล็กเสริม'!$S:$S,MATCH(B380,'2-ฐานราก เหล็กเสริม'!$A:$A,0))</f>
        <v/>
      </c>
      <c r="U380" s="8" t="inlineStr">
        <is>
          <t>M24</t>
        </is>
      </c>
      <c r="V380" s="10" t="inlineStr">
        <is>
          <t>แบบ S201 (ตำแหน่ง) / ระดับรอยืนยัน</t>
        </is>
      </c>
    </row>
    <row r="381">
      <c r="A381" s="8" t="inlineStr">
        <is>
          <t>F1P-332</t>
        </is>
      </c>
      <c r="B381" s="8" t="inlineStr">
        <is>
          <t>F1P</t>
        </is>
      </c>
      <c r="C381" s="8" t="inlineStr">
        <is>
          <t>7-1.51/I+1.51</t>
        </is>
      </c>
      <c r="D381" s="9" t="n">
        <v>34.493</v>
      </c>
      <c r="E381" s="9" t="n">
        <v>49.511</v>
      </c>
      <c r="F381" s="9" t="n">
        <v>1</v>
      </c>
      <c r="G381" s="9" t="n">
        <v>1</v>
      </c>
      <c r="H381" s="9" t="n">
        <v>0.2</v>
      </c>
      <c r="I381" s="9" t="n">
        <v>0.3</v>
      </c>
      <c r="J381" s="9" t="n">
        <v>0.1</v>
      </c>
      <c r="K381" s="9" t="n">
        <v>-0.05</v>
      </c>
      <c r="L381" s="9" t="n">
        <v>0.05</v>
      </c>
      <c r="M381" s="8" t="n">
        <v>1</v>
      </c>
      <c r="N381" s="8" t="inlineStr">
        <is>
          <t>1x I-350 ยาว 22 ม.</t>
        </is>
      </c>
      <c r="O381" s="8">
        <f>F381*G381*H381</f>
        <v/>
      </c>
      <c r="P381" s="8">
        <f>2*(F381+G381)*H381</f>
        <v/>
      </c>
      <c r="Q381" s="8">
        <f>IF(L381&gt;0,(F381+2*0.1)*(G381+2*0.1)*L381,0)</f>
        <v/>
      </c>
      <c r="R381" s="8">
        <f>(F381+0.2)*(G381+0.2)*0.1</f>
        <v/>
      </c>
      <c r="S381" s="8">
        <f>(F381+0.2)*(G381+0.2)*0.05</f>
        <v/>
      </c>
      <c r="T381" s="8">
        <f>INDEX('2-ฐานราก เหล็กเสริม'!$S:$S,MATCH(B381,'2-ฐานราก เหล็กเสริม'!$A:$A,0))</f>
        <v/>
      </c>
      <c r="U381" s="8" t="inlineStr">
        <is>
          <t>M24</t>
        </is>
      </c>
      <c r="V381" s="10" t="inlineStr">
        <is>
          <t>แบบ S201 (ตำแหน่ง) / ระดับรอยืนยัน</t>
        </is>
      </c>
    </row>
    <row r="382">
      <c r="A382" s="8" t="inlineStr">
        <is>
          <t>F1P-333</t>
        </is>
      </c>
      <c r="B382" s="8" t="inlineStr">
        <is>
          <t>F1P</t>
        </is>
      </c>
      <c r="C382" s="8" t="inlineStr">
        <is>
          <t>7+1.49/I+1.51</t>
        </is>
      </c>
      <c r="D382" s="9" t="n">
        <v>37.492</v>
      </c>
      <c r="E382" s="9" t="n">
        <v>49.511</v>
      </c>
      <c r="F382" s="9" t="n">
        <v>1</v>
      </c>
      <c r="G382" s="9" t="n">
        <v>1</v>
      </c>
      <c r="H382" s="9" t="n">
        <v>0.2</v>
      </c>
      <c r="I382" s="9" t="n">
        <v>0.3</v>
      </c>
      <c r="J382" s="9" t="n">
        <v>0.1</v>
      </c>
      <c r="K382" s="9" t="n">
        <v>-0.05</v>
      </c>
      <c r="L382" s="9" t="n">
        <v>0.05</v>
      </c>
      <c r="M382" s="8" t="n">
        <v>1</v>
      </c>
      <c r="N382" s="8" t="inlineStr">
        <is>
          <t>1x I-350 ยาว 22 ม.</t>
        </is>
      </c>
      <c r="O382" s="8">
        <f>F382*G382*H382</f>
        <v/>
      </c>
      <c r="P382" s="8">
        <f>2*(F382+G382)*H382</f>
        <v/>
      </c>
      <c r="Q382" s="8">
        <f>IF(L382&gt;0,(F382+2*0.1)*(G382+2*0.1)*L382,0)</f>
        <v/>
      </c>
      <c r="R382" s="8">
        <f>(F382+0.2)*(G382+0.2)*0.1</f>
        <v/>
      </c>
      <c r="S382" s="8">
        <f>(F382+0.2)*(G382+0.2)*0.05</f>
        <v/>
      </c>
      <c r="T382" s="8">
        <f>INDEX('2-ฐานราก เหล็กเสริม'!$S:$S,MATCH(B382,'2-ฐานราก เหล็กเสริม'!$A:$A,0))</f>
        <v/>
      </c>
      <c r="U382" s="8" t="inlineStr">
        <is>
          <t>M24</t>
        </is>
      </c>
      <c r="V382" s="10" t="inlineStr">
        <is>
          <t>แบบ S201 (ตำแหน่ง) / ระดับรอยืนยัน</t>
        </is>
      </c>
    </row>
    <row r="383">
      <c r="A383" s="8" t="inlineStr">
        <is>
          <t>F1P-334</t>
        </is>
      </c>
      <c r="B383" s="8" t="inlineStr">
        <is>
          <t>F1P</t>
        </is>
      </c>
      <c r="C383" s="8" t="inlineStr">
        <is>
          <t>8-1.51/I+1.51</t>
        </is>
      </c>
      <c r="D383" s="9" t="n">
        <v>40.491</v>
      </c>
      <c r="E383" s="9" t="n">
        <v>49.511</v>
      </c>
      <c r="F383" s="9" t="n">
        <v>1</v>
      </c>
      <c r="G383" s="9" t="n">
        <v>1</v>
      </c>
      <c r="H383" s="9" t="n">
        <v>0.2</v>
      </c>
      <c r="I383" s="9" t="n">
        <v>0.3</v>
      </c>
      <c r="J383" s="9" t="n">
        <v>0.1</v>
      </c>
      <c r="K383" s="9" t="n">
        <v>-0.05</v>
      </c>
      <c r="L383" s="9" t="n">
        <v>0.05</v>
      </c>
      <c r="M383" s="8" t="n">
        <v>1</v>
      </c>
      <c r="N383" s="8" t="inlineStr">
        <is>
          <t>1x I-350 ยาว 22 ม.</t>
        </is>
      </c>
      <c r="O383" s="8">
        <f>F383*G383*H383</f>
        <v/>
      </c>
      <c r="P383" s="8">
        <f>2*(F383+G383)*H383</f>
        <v/>
      </c>
      <c r="Q383" s="8">
        <f>IF(L383&gt;0,(F383+2*0.1)*(G383+2*0.1)*L383,0)</f>
        <v/>
      </c>
      <c r="R383" s="8">
        <f>(F383+0.2)*(G383+0.2)*0.1</f>
        <v/>
      </c>
      <c r="S383" s="8">
        <f>(F383+0.2)*(G383+0.2)*0.05</f>
        <v/>
      </c>
      <c r="T383" s="8">
        <f>INDEX('2-ฐานราก เหล็กเสริม'!$S:$S,MATCH(B383,'2-ฐานราก เหล็กเสริม'!$A:$A,0))</f>
        <v/>
      </c>
      <c r="U383" s="8" t="inlineStr">
        <is>
          <t>M24</t>
        </is>
      </c>
      <c r="V383" s="10" t="inlineStr">
        <is>
          <t>แบบ S201 (ตำแหน่ง) / ระดับรอยืนยัน</t>
        </is>
      </c>
    </row>
    <row r="384">
      <c r="A384" s="8" t="inlineStr">
        <is>
          <t>F1P-335</t>
        </is>
      </c>
      <c r="B384" s="8" t="inlineStr">
        <is>
          <t>F1P</t>
        </is>
      </c>
      <c r="C384" s="8" t="inlineStr">
        <is>
          <t>8+1.49/I+1.51</t>
        </is>
      </c>
      <c r="D384" s="9" t="n">
        <v>43.49</v>
      </c>
      <c r="E384" s="9" t="n">
        <v>49.511</v>
      </c>
      <c r="F384" s="9" t="n">
        <v>1</v>
      </c>
      <c r="G384" s="9" t="n">
        <v>1</v>
      </c>
      <c r="H384" s="9" t="n">
        <v>0.2</v>
      </c>
      <c r="I384" s="9" t="n">
        <v>0.3</v>
      </c>
      <c r="J384" s="9" t="n">
        <v>0.1</v>
      </c>
      <c r="K384" s="9" t="n">
        <v>-0.05</v>
      </c>
      <c r="L384" s="9" t="n">
        <v>0.05</v>
      </c>
      <c r="M384" s="8" t="n">
        <v>1</v>
      </c>
      <c r="N384" s="8" t="inlineStr">
        <is>
          <t>1x I-350 ยาว 22 ม.</t>
        </is>
      </c>
      <c r="O384" s="8">
        <f>F384*G384*H384</f>
        <v/>
      </c>
      <c r="P384" s="8">
        <f>2*(F384+G384)*H384</f>
        <v/>
      </c>
      <c r="Q384" s="8">
        <f>IF(L384&gt;0,(F384+2*0.1)*(G384+2*0.1)*L384,0)</f>
        <v/>
      </c>
      <c r="R384" s="8">
        <f>(F384+0.2)*(G384+0.2)*0.1</f>
        <v/>
      </c>
      <c r="S384" s="8">
        <f>(F384+0.2)*(G384+0.2)*0.05</f>
        <v/>
      </c>
      <c r="T384" s="8">
        <f>INDEX('2-ฐานราก เหล็กเสริม'!$S:$S,MATCH(B384,'2-ฐานราก เหล็กเสริม'!$A:$A,0))</f>
        <v/>
      </c>
      <c r="U384" s="8" t="inlineStr">
        <is>
          <t>M24</t>
        </is>
      </c>
      <c r="V384" s="10" t="inlineStr">
        <is>
          <t>แบบ S201 (ตำแหน่ง) / ระดับรอยืนยัน</t>
        </is>
      </c>
    </row>
    <row r="385">
      <c r="A385" s="8" t="inlineStr">
        <is>
          <t>F1P-336</t>
        </is>
      </c>
      <c r="B385" s="8" t="inlineStr">
        <is>
          <t>F1P</t>
        </is>
      </c>
      <c r="C385" s="8" t="inlineStr">
        <is>
          <t>9-1.51/I+1.51</t>
        </is>
      </c>
      <c r="D385" s="9" t="n">
        <v>46.495</v>
      </c>
      <c r="E385" s="9" t="n">
        <v>49.511</v>
      </c>
      <c r="F385" s="9" t="n">
        <v>1</v>
      </c>
      <c r="G385" s="9" t="n">
        <v>1</v>
      </c>
      <c r="H385" s="9" t="n">
        <v>0.2</v>
      </c>
      <c r="I385" s="9" t="n">
        <v>0.3</v>
      </c>
      <c r="J385" s="9" t="n">
        <v>0.1</v>
      </c>
      <c r="K385" s="9" t="n">
        <v>-0.05</v>
      </c>
      <c r="L385" s="9" t="n">
        <v>0.05</v>
      </c>
      <c r="M385" s="8" t="n">
        <v>1</v>
      </c>
      <c r="N385" s="8" t="inlineStr">
        <is>
          <t>1x I-350 ยาว 22 ม.</t>
        </is>
      </c>
      <c r="O385" s="8">
        <f>F385*G385*H385</f>
        <v/>
      </c>
      <c r="P385" s="8">
        <f>2*(F385+G385)*H385</f>
        <v/>
      </c>
      <c r="Q385" s="8">
        <f>IF(L385&gt;0,(F385+2*0.1)*(G385+2*0.1)*L385,0)</f>
        <v/>
      </c>
      <c r="R385" s="8">
        <f>(F385+0.2)*(G385+0.2)*0.1</f>
        <v/>
      </c>
      <c r="S385" s="8">
        <f>(F385+0.2)*(G385+0.2)*0.05</f>
        <v/>
      </c>
      <c r="T385" s="8">
        <f>INDEX('2-ฐานราก เหล็กเสริม'!$S:$S,MATCH(B385,'2-ฐานราก เหล็กเสริม'!$A:$A,0))</f>
        <v/>
      </c>
      <c r="U385" s="8" t="inlineStr">
        <is>
          <t>M24</t>
        </is>
      </c>
      <c r="V385" s="10" t="inlineStr">
        <is>
          <t>แบบ S201 (ตำแหน่ง) / ระดับรอยืนยัน</t>
        </is>
      </c>
    </row>
    <row r="386">
      <c r="A386" s="8" t="inlineStr">
        <is>
          <t>F1P-337</t>
        </is>
      </c>
      <c r="B386" s="8" t="inlineStr">
        <is>
          <t>F1P</t>
        </is>
      </c>
      <c r="C386" s="8" t="inlineStr">
        <is>
          <t>9+1.49/I+1.51</t>
        </is>
      </c>
      <c r="D386" s="9" t="n">
        <v>49.494</v>
      </c>
      <c r="E386" s="9" t="n">
        <v>49.511</v>
      </c>
      <c r="F386" s="9" t="n">
        <v>1</v>
      </c>
      <c r="G386" s="9" t="n">
        <v>1</v>
      </c>
      <c r="H386" s="9" t="n">
        <v>0.2</v>
      </c>
      <c r="I386" s="9" t="n">
        <v>0.3</v>
      </c>
      <c r="J386" s="9" t="n">
        <v>0.1</v>
      </c>
      <c r="K386" s="9" t="n">
        <v>-0.05</v>
      </c>
      <c r="L386" s="9" t="n">
        <v>0.05</v>
      </c>
      <c r="M386" s="8" t="n">
        <v>1</v>
      </c>
      <c r="N386" s="8" t="inlineStr">
        <is>
          <t>1x I-350 ยาว 22 ม.</t>
        </is>
      </c>
      <c r="O386" s="8">
        <f>F386*G386*H386</f>
        <v/>
      </c>
      <c r="P386" s="8">
        <f>2*(F386+G386)*H386</f>
        <v/>
      </c>
      <c r="Q386" s="8">
        <f>IF(L386&gt;0,(F386+2*0.1)*(G386+2*0.1)*L386,0)</f>
        <v/>
      </c>
      <c r="R386" s="8">
        <f>(F386+0.2)*(G386+0.2)*0.1</f>
        <v/>
      </c>
      <c r="S386" s="8">
        <f>(F386+0.2)*(G386+0.2)*0.05</f>
        <v/>
      </c>
      <c r="T386" s="8">
        <f>INDEX('2-ฐานราก เหล็กเสริม'!$S:$S,MATCH(B386,'2-ฐานราก เหล็กเสริม'!$A:$A,0))</f>
        <v/>
      </c>
      <c r="U386" s="8" t="inlineStr">
        <is>
          <t>M24</t>
        </is>
      </c>
      <c r="V386" s="10" t="inlineStr">
        <is>
          <t>แบบ S201 (ตำแหน่ง) / ระดับรอยืนยัน</t>
        </is>
      </c>
    </row>
    <row r="387">
      <c r="A387" s="8" t="inlineStr">
        <is>
          <t>F1P-338</t>
        </is>
      </c>
      <c r="B387" s="8" t="inlineStr">
        <is>
          <t>F1P</t>
        </is>
      </c>
      <c r="C387" s="8" t="inlineStr">
        <is>
          <t>10-1.51/I+1.51</t>
        </is>
      </c>
      <c r="D387" s="9" t="n">
        <v>52.493</v>
      </c>
      <c r="E387" s="9" t="n">
        <v>49.511</v>
      </c>
      <c r="F387" s="9" t="n">
        <v>1</v>
      </c>
      <c r="G387" s="9" t="n">
        <v>1</v>
      </c>
      <c r="H387" s="9" t="n">
        <v>0.2</v>
      </c>
      <c r="I387" s="9" t="n">
        <v>0.3</v>
      </c>
      <c r="J387" s="9" t="n">
        <v>0.1</v>
      </c>
      <c r="K387" s="9" t="n">
        <v>-0.05</v>
      </c>
      <c r="L387" s="9" t="n">
        <v>0.05</v>
      </c>
      <c r="M387" s="8" t="n">
        <v>1</v>
      </c>
      <c r="N387" s="8" t="inlineStr">
        <is>
          <t>1x I-350 ยาว 22 ม.</t>
        </is>
      </c>
      <c r="O387" s="8">
        <f>F387*G387*H387</f>
        <v/>
      </c>
      <c r="P387" s="8">
        <f>2*(F387+G387)*H387</f>
        <v/>
      </c>
      <c r="Q387" s="8">
        <f>IF(L387&gt;0,(F387+2*0.1)*(G387+2*0.1)*L387,0)</f>
        <v/>
      </c>
      <c r="R387" s="8">
        <f>(F387+0.2)*(G387+0.2)*0.1</f>
        <v/>
      </c>
      <c r="S387" s="8">
        <f>(F387+0.2)*(G387+0.2)*0.05</f>
        <v/>
      </c>
      <c r="T387" s="8">
        <f>INDEX('2-ฐานราก เหล็กเสริม'!$S:$S,MATCH(B387,'2-ฐานราก เหล็กเสริม'!$A:$A,0))</f>
        <v/>
      </c>
      <c r="U387" s="8" t="inlineStr">
        <is>
          <t>M24</t>
        </is>
      </c>
      <c r="V387" s="10" t="inlineStr">
        <is>
          <t>แบบ S201 (ตำแหน่ง) / ระดับรอยืนยัน</t>
        </is>
      </c>
    </row>
    <row r="388">
      <c r="A388" s="8" t="inlineStr">
        <is>
          <t>F1P-339</t>
        </is>
      </c>
      <c r="B388" s="8" t="inlineStr">
        <is>
          <t>F1P</t>
        </is>
      </c>
      <c r="C388" s="8" t="inlineStr">
        <is>
          <t>10+1.49/I+1.51</t>
        </is>
      </c>
      <c r="D388" s="9" t="n">
        <v>55.492</v>
      </c>
      <c r="E388" s="9" t="n">
        <v>49.511</v>
      </c>
      <c r="F388" s="9" t="n">
        <v>1</v>
      </c>
      <c r="G388" s="9" t="n">
        <v>1</v>
      </c>
      <c r="H388" s="9" t="n">
        <v>0.2</v>
      </c>
      <c r="I388" s="9" t="n">
        <v>0.3</v>
      </c>
      <c r="J388" s="9" t="n">
        <v>0.1</v>
      </c>
      <c r="K388" s="9" t="n">
        <v>-0.05</v>
      </c>
      <c r="L388" s="9" t="n">
        <v>0.05</v>
      </c>
      <c r="M388" s="8" t="n">
        <v>1</v>
      </c>
      <c r="N388" s="8" t="inlineStr">
        <is>
          <t>1x I-350 ยาว 22 ม.</t>
        </is>
      </c>
      <c r="O388" s="8">
        <f>F388*G388*H388</f>
        <v/>
      </c>
      <c r="P388" s="8">
        <f>2*(F388+G388)*H388</f>
        <v/>
      </c>
      <c r="Q388" s="8">
        <f>IF(L388&gt;0,(F388+2*0.1)*(G388+2*0.1)*L388,0)</f>
        <v/>
      </c>
      <c r="R388" s="8">
        <f>(F388+0.2)*(G388+0.2)*0.1</f>
        <v/>
      </c>
      <c r="S388" s="8">
        <f>(F388+0.2)*(G388+0.2)*0.05</f>
        <v/>
      </c>
      <c r="T388" s="8">
        <f>INDEX('2-ฐานราก เหล็กเสริม'!$S:$S,MATCH(B388,'2-ฐานราก เหล็กเสริม'!$A:$A,0))</f>
        <v/>
      </c>
      <c r="U388" s="8" t="inlineStr">
        <is>
          <t>M24</t>
        </is>
      </c>
      <c r="V388" s="10" t="inlineStr">
        <is>
          <t>แบบ S201 (ตำแหน่ง) / ระดับรอยืนยัน</t>
        </is>
      </c>
    </row>
    <row r="389">
      <c r="A389" s="8" t="inlineStr">
        <is>
          <t>F1P-340</t>
        </is>
      </c>
      <c r="B389" s="8" t="inlineStr">
        <is>
          <t>F1P</t>
        </is>
      </c>
      <c r="C389" s="8" t="inlineStr">
        <is>
          <t>11-1.51/I+1.51</t>
        </is>
      </c>
      <c r="D389" s="9" t="n">
        <v>58.49</v>
      </c>
      <c r="E389" s="9" t="n">
        <v>49.511</v>
      </c>
      <c r="F389" s="9" t="n">
        <v>1</v>
      </c>
      <c r="G389" s="9" t="n">
        <v>1</v>
      </c>
      <c r="H389" s="9" t="n">
        <v>0.2</v>
      </c>
      <c r="I389" s="9" t="n">
        <v>0.3</v>
      </c>
      <c r="J389" s="9" t="n">
        <v>0.1</v>
      </c>
      <c r="K389" s="9" t="n">
        <v>-0.05</v>
      </c>
      <c r="L389" s="9" t="n">
        <v>0.05</v>
      </c>
      <c r="M389" s="8" t="n">
        <v>1</v>
      </c>
      <c r="N389" s="8" t="inlineStr">
        <is>
          <t>1x I-350 ยาว 22 ม.</t>
        </is>
      </c>
      <c r="O389" s="8">
        <f>F389*G389*H389</f>
        <v/>
      </c>
      <c r="P389" s="8">
        <f>2*(F389+G389)*H389</f>
        <v/>
      </c>
      <c r="Q389" s="8">
        <f>IF(L389&gt;0,(F389+2*0.1)*(G389+2*0.1)*L389,0)</f>
        <v/>
      </c>
      <c r="R389" s="8">
        <f>(F389+0.2)*(G389+0.2)*0.1</f>
        <v/>
      </c>
      <c r="S389" s="8">
        <f>(F389+0.2)*(G389+0.2)*0.05</f>
        <v/>
      </c>
      <c r="T389" s="8">
        <f>INDEX('2-ฐานราก เหล็กเสริม'!$S:$S,MATCH(B389,'2-ฐานราก เหล็กเสริม'!$A:$A,0))</f>
        <v/>
      </c>
      <c r="U389" s="8" t="inlineStr">
        <is>
          <t>M24</t>
        </is>
      </c>
      <c r="V389" s="10" t="inlineStr">
        <is>
          <t>แบบ S201 (ตำแหน่ง) / ระดับรอยืนยัน</t>
        </is>
      </c>
    </row>
    <row r="390">
      <c r="A390" s="8" t="inlineStr">
        <is>
          <t>F1P-341</t>
        </is>
      </c>
      <c r="B390" s="8" t="inlineStr">
        <is>
          <t>F1P</t>
        </is>
      </c>
      <c r="C390" s="8" t="inlineStr">
        <is>
          <t>1+1.49/J-1.48</t>
        </is>
      </c>
      <c r="D390" s="9" t="n">
        <v>1.487</v>
      </c>
      <c r="E390" s="9" t="n">
        <v>52.517</v>
      </c>
      <c r="F390" s="9" t="n">
        <v>1</v>
      </c>
      <c r="G390" s="9" t="n">
        <v>1</v>
      </c>
      <c r="H390" s="9" t="n">
        <v>0.2</v>
      </c>
      <c r="I390" s="9" t="n">
        <v>0.3</v>
      </c>
      <c r="J390" s="9" t="n">
        <v>0.1</v>
      </c>
      <c r="K390" s="9" t="n">
        <v>-0.05</v>
      </c>
      <c r="L390" s="9" t="n">
        <v>0.05</v>
      </c>
      <c r="M390" s="8" t="n">
        <v>1</v>
      </c>
      <c r="N390" s="8" t="inlineStr">
        <is>
          <t>1x I-350 ยาว 22 ม.</t>
        </is>
      </c>
      <c r="O390" s="8">
        <f>F390*G390*H390</f>
        <v/>
      </c>
      <c r="P390" s="8">
        <f>2*(F390+G390)*H390</f>
        <v/>
      </c>
      <c r="Q390" s="8">
        <f>IF(L390&gt;0,(F390+2*0.1)*(G390+2*0.1)*L390,0)</f>
        <v/>
      </c>
      <c r="R390" s="8">
        <f>(F390+0.2)*(G390+0.2)*0.1</f>
        <v/>
      </c>
      <c r="S390" s="8">
        <f>(F390+0.2)*(G390+0.2)*0.05</f>
        <v/>
      </c>
      <c r="T390" s="8">
        <f>INDEX('2-ฐานราก เหล็กเสริม'!$S:$S,MATCH(B390,'2-ฐานราก เหล็กเสริม'!$A:$A,0))</f>
        <v/>
      </c>
      <c r="U390" s="8" t="inlineStr">
        <is>
          <t>M24</t>
        </is>
      </c>
      <c r="V390" s="10" t="inlineStr">
        <is>
          <t>แบบ S201 (ตำแหน่ง) / ระดับรอยืนยัน</t>
        </is>
      </c>
    </row>
    <row r="391">
      <c r="A391" s="8" t="inlineStr">
        <is>
          <t>F1P-342</t>
        </is>
      </c>
      <c r="B391" s="8" t="inlineStr">
        <is>
          <t>F1P</t>
        </is>
      </c>
      <c r="C391" s="8" t="inlineStr">
        <is>
          <t>2-1.51/J-1.48</t>
        </is>
      </c>
      <c r="D391" s="9" t="n">
        <v>4.485</v>
      </c>
      <c r="E391" s="9" t="n">
        <v>52.517</v>
      </c>
      <c r="F391" s="9" t="n">
        <v>1</v>
      </c>
      <c r="G391" s="9" t="n">
        <v>1</v>
      </c>
      <c r="H391" s="9" t="n">
        <v>0.2</v>
      </c>
      <c r="I391" s="9" t="n">
        <v>0.3</v>
      </c>
      <c r="J391" s="9" t="n">
        <v>0.1</v>
      </c>
      <c r="K391" s="9" t="n">
        <v>-0.05</v>
      </c>
      <c r="L391" s="9" t="n">
        <v>0.05</v>
      </c>
      <c r="M391" s="8" t="n">
        <v>1</v>
      </c>
      <c r="N391" s="8" t="inlineStr">
        <is>
          <t>1x I-350 ยาว 22 ม.</t>
        </is>
      </c>
      <c r="O391" s="8">
        <f>F391*G391*H391</f>
        <v/>
      </c>
      <c r="P391" s="8">
        <f>2*(F391+G391)*H391</f>
        <v/>
      </c>
      <c r="Q391" s="8">
        <f>IF(L391&gt;0,(F391+2*0.1)*(G391+2*0.1)*L391,0)</f>
        <v/>
      </c>
      <c r="R391" s="8">
        <f>(F391+0.2)*(G391+0.2)*0.1</f>
        <v/>
      </c>
      <c r="S391" s="8">
        <f>(F391+0.2)*(G391+0.2)*0.05</f>
        <v/>
      </c>
      <c r="T391" s="8">
        <f>INDEX('2-ฐานราก เหล็กเสริม'!$S:$S,MATCH(B391,'2-ฐานราก เหล็กเสริม'!$A:$A,0))</f>
        <v/>
      </c>
      <c r="U391" s="8" t="inlineStr">
        <is>
          <t>M24</t>
        </is>
      </c>
      <c r="V391" s="10" t="inlineStr">
        <is>
          <t>แบบ S201 (ตำแหน่ง) / ระดับรอยืนยัน</t>
        </is>
      </c>
    </row>
    <row r="392">
      <c r="A392" s="8" t="inlineStr">
        <is>
          <t>F1P-343</t>
        </is>
      </c>
      <c r="B392" s="8" t="inlineStr">
        <is>
          <t>F1P</t>
        </is>
      </c>
      <c r="C392" s="8" t="inlineStr">
        <is>
          <t>2+1.49/J-1.48</t>
        </is>
      </c>
      <c r="D392" s="9" t="n">
        <v>7.491</v>
      </c>
      <c r="E392" s="9" t="n">
        <v>52.517</v>
      </c>
      <c r="F392" s="9" t="n">
        <v>1</v>
      </c>
      <c r="G392" s="9" t="n">
        <v>1</v>
      </c>
      <c r="H392" s="9" t="n">
        <v>0.2</v>
      </c>
      <c r="I392" s="9" t="n">
        <v>0.3</v>
      </c>
      <c r="J392" s="9" t="n">
        <v>0.1</v>
      </c>
      <c r="K392" s="9" t="n">
        <v>-0.05</v>
      </c>
      <c r="L392" s="9" t="n">
        <v>0.05</v>
      </c>
      <c r="M392" s="8" t="n">
        <v>1</v>
      </c>
      <c r="N392" s="8" t="inlineStr">
        <is>
          <t>1x I-350 ยาว 22 ม.</t>
        </is>
      </c>
      <c r="O392" s="8">
        <f>F392*G392*H392</f>
        <v/>
      </c>
      <c r="P392" s="8">
        <f>2*(F392+G392)*H392</f>
        <v/>
      </c>
      <c r="Q392" s="8">
        <f>IF(L392&gt;0,(F392+2*0.1)*(G392+2*0.1)*L392,0)</f>
        <v/>
      </c>
      <c r="R392" s="8">
        <f>(F392+0.2)*(G392+0.2)*0.1</f>
        <v/>
      </c>
      <c r="S392" s="8">
        <f>(F392+0.2)*(G392+0.2)*0.05</f>
        <v/>
      </c>
      <c r="T392" s="8">
        <f>INDEX('2-ฐานราก เหล็กเสริม'!$S:$S,MATCH(B392,'2-ฐานราก เหล็กเสริม'!$A:$A,0))</f>
        <v/>
      </c>
      <c r="U392" s="8" t="inlineStr">
        <is>
          <t>M24</t>
        </is>
      </c>
      <c r="V392" s="10" t="inlineStr">
        <is>
          <t>แบบ S201 (ตำแหน่ง) / ระดับรอยืนยัน</t>
        </is>
      </c>
    </row>
    <row r="393">
      <c r="A393" s="8" t="inlineStr">
        <is>
          <t>F1P-344</t>
        </is>
      </c>
      <c r="B393" s="8" t="inlineStr">
        <is>
          <t>F1P</t>
        </is>
      </c>
      <c r="C393" s="8" t="inlineStr">
        <is>
          <t>3-1.51/J-1.48</t>
        </is>
      </c>
      <c r="D393" s="9" t="n">
        <v>10.49</v>
      </c>
      <c r="E393" s="9" t="n">
        <v>52.517</v>
      </c>
      <c r="F393" s="9" t="n">
        <v>1</v>
      </c>
      <c r="G393" s="9" t="n">
        <v>1</v>
      </c>
      <c r="H393" s="9" t="n">
        <v>0.2</v>
      </c>
      <c r="I393" s="9" t="n">
        <v>0.3</v>
      </c>
      <c r="J393" s="9" t="n">
        <v>0.1</v>
      </c>
      <c r="K393" s="9" t="n">
        <v>-0.05</v>
      </c>
      <c r="L393" s="9" t="n">
        <v>0.05</v>
      </c>
      <c r="M393" s="8" t="n">
        <v>1</v>
      </c>
      <c r="N393" s="8" t="inlineStr">
        <is>
          <t>1x I-350 ยาว 22 ม.</t>
        </is>
      </c>
      <c r="O393" s="8">
        <f>F393*G393*H393</f>
        <v/>
      </c>
      <c r="P393" s="8">
        <f>2*(F393+G393)*H393</f>
        <v/>
      </c>
      <c r="Q393" s="8">
        <f>IF(L393&gt;0,(F393+2*0.1)*(G393+2*0.1)*L393,0)</f>
        <v/>
      </c>
      <c r="R393" s="8">
        <f>(F393+0.2)*(G393+0.2)*0.1</f>
        <v/>
      </c>
      <c r="S393" s="8">
        <f>(F393+0.2)*(G393+0.2)*0.05</f>
        <v/>
      </c>
      <c r="T393" s="8">
        <f>INDEX('2-ฐานราก เหล็กเสริม'!$S:$S,MATCH(B393,'2-ฐานราก เหล็กเสริม'!$A:$A,0))</f>
        <v/>
      </c>
      <c r="U393" s="8" t="inlineStr">
        <is>
          <t>M24</t>
        </is>
      </c>
      <c r="V393" s="10" t="inlineStr">
        <is>
          <t>แบบ S201 (ตำแหน่ง) / ระดับรอยืนยัน</t>
        </is>
      </c>
    </row>
    <row r="394">
      <c r="A394" s="8" t="inlineStr">
        <is>
          <t>F1P-345</t>
        </is>
      </c>
      <c r="B394" s="8" t="inlineStr">
        <is>
          <t>F1P</t>
        </is>
      </c>
      <c r="C394" s="8" t="inlineStr">
        <is>
          <t>3+1.49/J-1.48</t>
        </is>
      </c>
      <c r="D394" s="9" t="n">
        <v>13.488</v>
      </c>
      <c r="E394" s="9" t="n">
        <v>52.517</v>
      </c>
      <c r="F394" s="9" t="n">
        <v>1</v>
      </c>
      <c r="G394" s="9" t="n">
        <v>1</v>
      </c>
      <c r="H394" s="9" t="n">
        <v>0.2</v>
      </c>
      <c r="I394" s="9" t="n">
        <v>0.3</v>
      </c>
      <c r="J394" s="9" t="n">
        <v>0.1</v>
      </c>
      <c r="K394" s="9" t="n">
        <v>-0.05</v>
      </c>
      <c r="L394" s="9" t="n">
        <v>0.05</v>
      </c>
      <c r="M394" s="8" t="n">
        <v>1</v>
      </c>
      <c r="N394" s="8" t="inlineStr">
        <is>
          <t>1x I-350 ยาว 22 ม.</t>
        </is>
      </c>
      <c r="O394" s="8">
        <f>F394*G394*H394</f>
        <v/>
      </c>
      <c r="P394" s="8">
        <f>2*(F394+G394)*H394</f>
        <v/>
      </c>
      <c r="Q394" s="8">
        <f>IF(L394&gt;0,(F394+2*0.1)*(G394+2*0.1)*L394,0)</f>
        <v/>
      </c>
      <c r="R394" s="8">
        <f>(F394+0.2)*(G394+0.2)*0.1</f>
        <v/>
      </c>
      <c r="S394" s="8">
        <f>(F394+0.2)*(G394+0.2)*0.05</f>
        <v/>
      </c>
      <c r="T394" s="8">
        <f>INDEX('2-ฐานราก เหล็กเสริม'!$S:$S,MATCH(B394,'2-ฐานราก เหล็กเสริม'!$A:$A,0))</f>
        <v/>
      </c>
      <c r="U394" s="8" t="inlineStr">
        <is>
          <t>M24</t>
        </is>
      </c>
      <c r="V394" s="10" t="inlineStr">
        <is>
          <t>แบบ S201 (ตำแหน่ง) / ระดับรอยืนยัน</t>
        </is>
      </c>
    </row>
    <row r="395">
      <c r="A395" s="8" t="inlineStr">
        <is>
          <t>F1P-346</t>
        </is>
      </c>
      <c r="B395" s="8" t="inlineStr">
        <is>
          <t>F1P</t>
        </is>
      </c>
      <c r="C395" s="8" t="inlineStr">
        <is>
          <t>4-1.51/J-1.48</t>
        </is>
      </c>
      <c r="D395" s="9" t="n">
        <v>16.487</v>
      </c>
      <c r="E395" s="9" t="n">
        <v>52.517</v>
      </c>
      <c r="F395" s="9" t="n">
        <v>1</v>
      </c>
      <c r="G395" s="9" t="n">
        <v>1</v>
      </c>
      <c r="H395" s="9" t="n">
        <v>0.2</v>
      </c>
      <c r="I395" s="9" t="n">
        <v>0.3</v>
      </c>
      <c r="J395" s="9" t="n">
        <v>0.1</v>
      </c>
      <c r="K395" s="9" t="n">
        <v>-0.05</v>
      </c>
      <c r="L395" s="9" t="n">
        <v>0.05</v>
      </c>
      <c r="M395" s="8" t="n">
        <v>1</v>
      </c>
      <c r="N395" s="8" t="inlineStr">
        <is>
          <t>1x I-350 ยาว 22 ม.</t>
        </is>
      </c>
      <c r="O395" s="8">
        <f>F395*G395*H395</f>
        <v/>
      </c>
      <c r="P395" s="8">
        <f>2*(F395+G395)*H395</f>
        <v/>
      </c>
      <c r="Q395" s="8">
        <f>IF(L395&gt;0,(F395+2*0.1)*(G395+2*0.1)*L395,0)</f>
        <v/>
      </c>
      <c r="R395" s="8">
        <f>(F395+0.2)*(G395+0.2)*0.1</f>
        <v/>
      </c>
      <c r="S395" s="8">
        <f>(F395+0.2)*(G395+0.2)*0.05</f>
        <v/>
      </c>
      <c r="T395" s="8">
        <f>INDEX('2-ฐานราก เหล็กเสริม'!$S:$S,MATCH(B395,'2-ฐานราก เหล็กเสริม'!$A:$A,0))</f>
        <v/>
      </c>
      <c r="U395" s="8" t="inlineStr">
        <is>
          <t>M24</t>
        </is>
      </c>
      <c r="V395" s="10" t="inlineStr">
        <is>
          <t>แบบ S201 (ตำแหน่ง) / ระดับรอยืนยัน</t>
        </is>
      </c>
    </row>
    <row r="396">
      <c r="A396" s="8" t="inlineStr">
        <is>
          <t>F1P-347</t>
        </is>
      </c>
      <c r="B396" s="8" t="inlineStr">
        <is>
          <t>F1P</t>
        </is>
      </c>
      <c r="C396" s="8" t="inlineStr">
        <is>
          <t>4+1.49/J-1.48</t>
        </is>
      </c>
      <c r="D396" s="9" t="n">
        <v>19.486</v>
      </c>
      <c r="E396" s="9" t="n">
        <v>52.517</v>
      </c>
      <c r="F396" s="9" t="n">
        <v>1</v>
      </c>
      <c r="G396" s="9" t="n">
        <v>1</v>
      </c>
      <c r="H396" s="9" t="n">
        <v>0.2</v>
      </c>
      <c r="I396" s="9" t="n">
        <v>0.3</v>
      </c>
      <c r="J396" s="9" t="n">
        <v>0.1</v>
      </c>
      <c r="K396" s="9" t="n">
        <v>-0.05</v>
      </c>
      <c r="L396" s="9" t="n">
        <v>0.05</v>
      </c>
      <c r="M396" s="8" t="n">
        <v>1</v>
      </c>
      <c r="N396" s="8" t="inlineStr">
        <is>
          <t>1x I-350 ยาว 22 ม.</t>
        </is>
      </c>
      <c r="O396" s="8">
        <f>F396*G396*H396</f>
        <v/>
      </c>
      <c r="P396" s="8">
        <f>2*(F396+G396)*H396</f>
        <v/>
      </c>
      <c r="Q396" s="8">
        <f>IF(L396&gt;0,(F396+2*0.1)*(G396+2*0.1)*L396,0)</f>
        <v/>
      </c>
      <c r="R396" s="8">
        <f>(F396+0.2)*(G396+0.2)*0.1</f>
        <v/>
      </c>
      <c r="S396" s="8">
        <f>(F396+0.2)*(G396+0.2)*0.05</f>
        <v/>
      </c>
      <c r="T396" s="8">
        <f>INDEX('2-ฐานราก เหล็กเสริม'!$S:$S,MATCH(B396,'2-ฐานราก เหล็กเสริม'!$A:$A,0))</f>
        <v/>
      </c>
      <c r="U396" s="8" t="inlineStr">
        <is>
          <t>M24</t>
        </is>
      </c>
      <c r="V396" s="10" t="inlineStr">
        <is>
          <t>แบบ S201 (ตำแหน่ง) / ระดับรอยืนยัน</t>
        </is>
      </c>
    </row>
    <row r="397">
      <c r="A397" s="8" t="inlineStr">
        <is>
          <t>F1P-348</t>
        </is>
      </c>
      <c r="B397" s="8" t="inlineStr">
        <is>
          <t>F1P</t>
        </is>
      </c>
      <c r="C397" s="8" t="inlineStr">
        <is>
          <t>5-1.51/J-1.48</t>
        </is>
      </c>
      <c r="D397" s="9" t="n">
        <v>22.491</v>
      </c>
      <c r="E397" s="9" t="n">
        <v>52.517</v>
      </c>
      <c r="F397" s="9" t="n">
        <v>1</v>
      </c>
      <c r="G397" s="9" t="n">
        <v>1</v>
      </c>
      <c r="H397" s="9" t="n">
        <v>0.2</v>
      </c>
      <c r="I397" s="9" t="n">
        <v>0.3</v>
      </c>
      <c r="J397" s="9" t="n">
        <v>0.1</v>
      </c>
      <c r="K397" s="9" t="n">
        <v>-0.05</v>
      </c>
      <c r="L397" s="9" t="n">
        <v>0.05</v>
      </c>
      <c r="M397" s="8" t="n">
        <v>1</v>
      </c>
      <c r="N397" s="8" t="inlineStr">
        <is>
          <t>1x I-350 ยาว 22 ม.</t>
        </is>
      </c>
      <c r="O397" s="8">
        <f>F397*G397*H397</f>
        <v/>
      </c>
      <c r="P397" s="8">
        <f>2*(F397+G397)*H397</f>
        <v/>
      </c>
      <c r="Q397" s="8">
        <f>IF(L397&gt;0,(F397+2*0.1)*(G397+2*0.1)*L397,0)</f>
        <v/>
      </c>
      <c r="R397" s="8">
        <f>(F397+0.2)*(G397+0.2)*0.1</f>
        <v/>
      </c>
      <c r="S397" s="8">
        <f>(F397+0.2)*(G397+0.2)*0.05</f>
        <v/>
      </c>
      <c r="T397" s="8">
        <f>INDEX('2-ฐานราก เหล็กเสริม'!$S:$S,MATCH(B397,'2-ฐานราก เหล็กเสริม'!$A:$A,0))</f>
        <v/>
      </c>
      <c r="U397" s="8" t="inlineStr">
        <is>
          <t>M24</t>
        </is>
      </c>
      <c r="V397" s="10" t="inlineStr">
        <is>
          <t>แบบ S201 (ตำแหน่ง) / ระดับรอยืนยัน</t>
        </is>
      </c>
    </row>
    <row r="398">
      <c r="A398" s="8" t="inlineStr">
        <is>
          <t>F1P-349</t>
        </is>
      </c>
      <c r="B398" s="8" t="inlineStr">
        <is>
          <t>F1P</t>
        </is>
      </c>
      <c r="C398" s="8" t="inlineStr">
        <is>
          <t>5+1.49/J-1.48</t>
        </is>
      </c>
      <c r="D398" s="9" t="n">
        <v>25.49</v>
      </c>
      <c r="E398" s="9" t="n">
        <v>52.517</v>
      </c>
      <c r="F398" s="9" t="n">
        <v>1</v>
      </c>
      <c r="G398" s="9" t="n">
        <v>1</v>
      </c>
      <c r="H398" s="9" t="n">
        <v>0.2</v>
      </c>
      <c r="I398" s="9" t="n">
        <v>0.3</v>
      </c>
      <c r="J398" s="9" t="n">
        <v>0.1</v>
      </c>
      <c r="K398" s="9" t="n">
        <v>-0.05</v>
      </c>
      <c r="L398" s="9" t="n">
        <v>0.05</v>
      </c>
      <c r="M398" s="8" t="n">
        <v>1</v>
      </c>
      <c r="N398" s="8" t="inlineStr">
        <is>
          <t>1x I-350 ยาว 22 ม.</t>
        </is>
      </c>
      <c r="O398" s="8">
        <f>F398*G398*H398</f>
        <v/>
      </c>
      <c r="P398" s="8">
        <f>2*(F398+G398)*H398</f>
        <v/>
      </c>
      <c r="Q398" s="8">
        <f>IF(L398&gt;0,(F398+2*0.1)*(G398+2*0.1)*L398,0)</f>
        <v/>
      </c>
      <c r="R398" s="8">
        <f>(F398+0.2)*(G398+0.2)*0.1</f>
        <v/>
      </c>
      <c r="S398" s="8">
        <f>(F398+0.2)*(G398+0.2)*0.05</f>
        <v/>
      </c>
      <c r="T398" s="8">
        <f>INDEX('2-ฐานราก เหล็กเสริม'!$S:$S,MATCH(B398,'2-ฐานราก เหล็กเสริม'!$A:$A,0))</f>
        <v/>
      </c>
      <c r="U398" s="8" t="inlineStr">
        <is>
          <t>M24</t>
        </is>
      </c>
      <c r="V398" s="10" t="inlineStr">
        <is>
          <t>แบบ S201 (ตำแหน่ง) / ระดับรอยืนยัน</t>
        </is>
      </c>
    </row>
    <row r="399">
      <c r="A399" s="8" t="inlineStr">
        <is>
          <t>F1P-350</t>
        </is>
      </c>
      <c r="B399" s="8" t="inlineStr">
        <is>
          <t>F1P</t>
        </is>
      </c>
      <c r="C399" s="8" t="inlineStr">
        <is>
          <t>6-1.51/J-1.48</t>
        </is>
      </c>
      <c r="D399" s="9" t="n">
        <v>28.489</v>
      </c>
      <c r="E399" s="9" t="n">
        <v>52.517</v>
      </c>
      <c r="F399" s="9" t="n">
        <v>1</v>
      </c>
      <c r="G399" s="9" t="n">
        <v>1</v>
      </c>
      <c r="H399" s="9" t="n">
        <v>0.2</v>
      </c>
      <c r="I399" s="9" t="n">
        <v>0.3</v>
      </c>
      <c r="J399" s="9" t="n">
        <v>0.1</v>
      </c>
      <c r="K399" s="9" t="n">
        <v>-0.05</v>
      </c>
      <c r="L399" s="9" t="n">
        <v>0.05</v>
      </c>
      <c r="M399" s="8" t="n">
        <v>1</v>
      </c>
      <c r="N399" s="8" t="inlineStr">
        <is>
          <t>1x I-350 ยาว 22 ม.</t>
        </is>
      </c>
      <c r="O399" s="8">
        <f>F399*G399*H399</f>
        <v/>
      </c>
      <c r="P399" s="8">
        <f>2*(F399+G399)*H399</f>
        <v/>
      </c>
      <c r="Q399" s="8">
        <f>IF(L399&gt;0,(F399+2*0.1)*(G399+2*0.1)*L399,0)</f>
        <v/>
      </c>
      <c r="R399" s="8">
        <f>(F399+0.2)*(G399+0.2)*0.1</f>
        <v/>
      </c>
      <c r="S399" s="8">
        <f>(F399+0.2)*(G399+0.2)*0.05</f>
        <v/>
      </c>
      <c r="T399" s="8">
        <f>INDEX('2-ฐานราก เหล็กเสริม'!$S:$S,MATCH(B399,'2-ฐานราก เหล็กเสริม'!$A:$A,0))</f>
        <v/>
      </c>
      <c r="U399" s="8" t="inlineStr">
        <is>
          <t>M24</t>
        </is>
      </c>
      <c r="V399" s="10" t="inlineStr">
        <is>
          <t>แบบ S201 (ตำแหน่ง) / ระดับรอยืนยัน</t>
        </is>
      </c>
    </row>
    <row r="400">
      <c r="A400" s="8" t="inlineStr">
        <is>
          <t>F1P-351</t>
        </is>
      </c>
      <c r="B400" s="8" t="inlineStr">
        <is>
          <t>F1P</t>
        </is>
      </c>
      <c r="C400" s="8" t="inlineStr">
        <is>
          <t>6+1.49/J-1.48</t>
        </is>
      </c>
      <c r="D400" s="9" t="n">
        <v>31.488</v>
      </c>
      <c r="E400" s="9" t="n">
        <v>52.517</v>
      </c>
      <c r="F400" s="9" t="n">
        <v>1</v>
      </c>
      <c r="G400" s="9" t="n">
        <v>1</v>
      </c>
      <c r="H400" s="9" t="n">
        <v>0.2</v>
      </c>
      <c r="I400" s="9" t="n">
        <v>0.3</v>
      </c>
      <c r="J400" s="9" t="n">
        <v>0.1</v>
      </c>
      <c r="K400" s="9" t="n">
        <v>-0.05</v>
      </c>
      <c r="L400" s="9" t="n">
        <v>0.05</v>
      </c>
      <c r="M400" s="8" t="n">
        <v>1</v>
      </c>
      <c r="N400" s="8" t="inlineStr">
        <is>
          <t>1x I-350 ยาว 22 ม.</t>
        </is>
      </c>
      <c r="O400" s="8">
        <f>F400*G400*H400</f>
        <v/>
      </c>
      <c r="P400" s="8">
        <f>2*(F400+G400)*H400</f>
        <v/>
      </c>
      <c r="Q400" s="8">
        <f>IF(L400&gt;0,(F400+2*0.1)*(G400+2*0.1)*L400,0)</f>
        <v/>
      </c>
      <c r="R400" s="8">
        <f>(F400+0.2)*(G400+0.2)*0.1</f>
        <v/>
      </c>
      <c r="S400" s="8">
        <f>(F400+0.2)*(G400+0.2)*0.05</f>
        <v/>
      </c>
      <c r="T400" s="8">
        <f>INDEX('2-ฐานราก เหล็กเสริม'!$S:$S,MATCH(B400,'2-ฐานราก เหล็กเสริม'!$A:$A,0))</f>
        <v/>
      </c>
      <c r="U400" s="8" t="inlineStr">
        <is>
          <t>M24</t>
        </is>
      </c>
      <c r="V400" s="10" t="inlineStr">
        <is>
          <t>แบบ S201 (ตำแหน่ง) / ระดับรอยืนยัน</t>
        </is>
      </c>
    </row>
    <row r="401">
      <c r="A401" s="8" t="inlineStr">
        <is>
          <t>F1P-352</t>
        </is>
      </c>
      <c r="B401" s="8" t="inlineStr">
        <is>
          <t>F1P</t>
        </is>
      </c>
      <c r="C401" s="8" t="inlineStr">
        <is>
          <t>7-1.51/J-1.48</t>
        </is>
      </c>
      <c r="D401" s="9" t="n">
        <v>34.493</v>
      </c>
      <c r="E401" s="9" t="n">
        <v>52.517</v>
      </c>
      <c r="F401" s="9" t="n">
        <v>1</v>
      </c>
      <c r="G401" s="9" t="n">
        <v>1</v>
      </c>
      <c r="H401" s="9" t="n">
        <v>0.2</v>
      </c>
      <c r="I401" s="9" t="n">
        <v>0.3</v>
      </c>
      <c r="J401" s="9" t="n">
        <v>0.1</v>
      </c>
      <c r="K401" s="9" t="n">
        <v>-0.05</v>
      </c>
      <c r="L401" s="9" t="n">
        <v>0.05</v>
      </c>
      <c r="M401" s="8" t="n">
        <v>1</v>
      </c>
      <c r="N401" s="8" t="inlineStr">
        <is>
          <t>1x I-350 ยาว 22 ม.</t>
        </is>
      </c>
      <c r="O401" s="8">
        <f>F401*G401*H401</f>
        <v/>
      </c>
      <c r="P401" s="8">
        <f>2*(F401+G401)*H401</f>
        <v/>
      </c>
      <c r="Q401" s="8">
        <f>IF(L401&gt;0,(F401+2*0.1)*(G401+2*0.1)*L401,0)</f>
        <v/>
      </c>
      <c r="R401" s="8">
        <f>(F401+0.2)*(G401+0.2)*0.1</f>
        <v/>
      </c>
      <c r="S401" s="8">
        <f>(F401+0.2)*(G401+0.2)*0.05</f>
        <v/>
      </c>
      <c r="T401" s="8">
        <f>INDEX('2-ฐานราก เหล็กเสริม'!$S:$S,MATCH(B401,'2-ฐานราก เหล็กเสริม'!$A:$A,0))</f>
        <v/>
      </c>
      <c r="U401" s="8" t="inlineStr">
        <is>
          <t>M24</t>
        </is>
      </c>
      <c r="V401" s="10" t="inlineStr">
        <is>
          <t>แบบ S201 (ตำแหน่ง) / ระดับรอยืนยัน</t>
        </is>
      </c>
    </row>
    <row r="402">
      <c r="A402" s="8" t="inlineStr">
        <is>
          <t>F1P-353</t>
        </is>
      </c>
      <c r="B402" s="8" t="inlineStr">
        <is>
          <t>F1P</t>
        </is>
      </c>
      <c r="C402" s="8" t="inlineStr">
        <is>
          <t>7+1.49/J-1.48</t>
        </is>
      </c>
      <c r="D402" s="9" t="n">
        <v>37.492</v>
      </c>
      <c r="E402" s="9" t="n">
        <v>52.517</v>
      </c>
      <c r="F402" s="9" t="n">
        <v>1</v>
      </c>
      <c r="G402" s="9" t="n">
        <v>1</v>
      </c>
      <c r="H402" s="9" t="n">
        <v>0.2</v>
      </c>
      <c r="I402" s="9" t="n">
        <v>0.3</v>
      </c>
      <c r="J402" s="9" t="n">
        <v>0.1</v>
      </c>
      <c r="K402" s="9" t="n">
        <v>-0.05</v>
      </c>
      <c r="L402" s="9" t="n">
        <v>0.05</v>
      </c>
      <c r="M402" s="8" t="n">
        <v>1</v>
      </c>
      <c r="N402" s="8" t="inlineStr">
        <is>
          <t>1x I-350 ยาว 22 ม.</t>
        </is>
      </c>
      <c r="O402" s="8">
        <f>F402*G402*H402</f>
        <v/>
      </c>
      <c r="P402" s="8">
        <f>2*(F402+G402)*H402</f>
        <v/>
      </c>
      <c r="Q402" s="8">
        <f>IF(L402&gt;0,(F402+2*0.1)*(G402+2*0.1)*L402,0)</f>
        <v/>
      </c>
      <c r="R402" s="8">
        <f>(F402+0.2)*(G402+0.2)*0.1</f>
        <v/>
      </c>
      <c r="S402" s="8">
        <f>(F402+0.2)*(G402+0.2)*0.05</f>
        <v/>
      </c>
      <c r="T402" s="8">
        <f>INDEX('2-ฐานราก เหล็กเสริม'!$S:$S,MATCH(B402,'2-ฐานราก เหล็กเสริม'!$A:$A,0))</f>
        <v/>
      </c>
      <c r="U402" s="8" t="inlineStr">
        <is>
          <t>M24</t>
        </is>
      </c>
      <c r="V402" s="10" t="inlineStr">
        <is>
          <t>แบบ S201 (ตำแหน่ง) / ระดับรอยืนยัน</t>
        </is>
      </c>
    </row>
    <row r="403">
      <c r="A403" s="8" t="inlineStr">
        <is>
          <t>F1P-354</t>
        </is>
      </c>
      <c r="B403" s="8" t="inlineStr">
        <is>
          <t>F1P</t>
        </is>
      </c>
      <c r="C403" s="8" t="inlineStr">
        <is>
          <t>8-1.51/J-1.48</t>
        </is>
      </c>
      <c r="D403" s="9" t="n">
        <v>40.491</v>
      </c>
      <c r="E403" s="9" t="n">
        <v>52.517</v>
      </c>
      <c r="F403" s="9" t="n">
        <v>1</v>
      </c>
      <c r="G403" s="9" t="n">
        <v>1</v>
      </c>
      <c r="H403" s="9" t="n">
        <v>0.2</v>
      </c>
      <c r="I403" s="9" t="n">
        <v>0.3</v>
      </c>
      <c r="J403" s="9" t="n">
        <v>0.1</v>
      </c>
      <c r="K403" s="9" t="n">
        <v>-0.05</v>
      </c>
      <c r="L403" s="9" t="n">
        <v>0.05</v>
      </c>
      <c r="M403" s="8" t="n">
        <v>1</v>
      </c>
      <c r="N403" s="8" t="inlineStr">
        <is>
          <t>1x I-350 ยาว 22 ม.</t>
        </is>
      </c>
      <c r="O403" s="8">
        <f>F403*G403*H403</f>
        <v/>
      </c>
      <c r="P403" s="8">
        <f>2*(F403+G403)*H403</f>
        <v/>
      </c>
      <c r="Q403" s="8">
        <f>IF(L403&gt;0,(F403+2*0.1)*(G403+2*0.1)*L403,0)</f>
        <v/>
      </c>
      <c r="R403" s="8">
        <f>(F403+0.2)*(G403+0.2)*0.1</f>
        <v/>
      </c>
      <c r="S403" s="8">
        <f>(F403+0.2)*(G403+0.2)*0.05</f>
        <v/>
      </c>
      <c r="T403" s="8">
        <f>INDEX('2-ฐานราก เหล็กเสริม'!$S:$S,MATCH(B403,'2-ฐานราก เหล็กเสริม'!$A:$A,0))</f>
        <v/>
      </c>
      <c r="U403" s="8" t="inlineStr">
        <is>
          <t>M24</t>
        </is>
      </c>
      <c r="V403" s="10" t="inlineStr">
        <is>
          <t>แบบ S201 (ตำแหน่ง) / ระดับรอยืนยัน</t>
        </is>
      </c>
    </row>
    <row r="404">
      <c r="A404" s="8" t="inlineStr">
        <is>
          <t>F1P-355</t>
        </is>
      </c>
      <c r="B404" s="8" t="inlineStr">
        <is>
          <t>F1P</t>
        </is>
      </c>
      <c r="C404" s="8" t="inlineStr">
        <is>
          <t>8+1.49/J-1.48</t>
        </is>
      </c>
      <c r="D404" s="9" t="n">
        <v>43.49</v>
      </c>
      <c r="E404" s="9" t="n">
        <v>52.517</v>
      </c>
      <c r="F404" s="9" t="n">
        <v>1</v>
      </c>
      <c r="G404" s="9" t="n">
        <v>1</v>
      </c>
      <c r="H404" s="9" t="n">
        <v>0.2</v>
      </c>
      <c r="I404" s="9" t="n">
        <v>0.3</v>
      </c>
      <c r="J404" s="9" t="n">
        <v>0.1</v>
      </c>
      <c r="K404" s="9" t="n">
        <v>-0.05</v>
      </c>
      <c r="L404" s="9" t="n">
        <v>0.05</v>
      </c>
      <c r="M404" s="8" t="n">
        <v>1</v>
      </c>
      <c r="N404" s="8" t="inlineStr">
        <is>
          <t>1x I-350 ยาว 22 ม.</t>
        </is>
      </c>
      <c r="O404" s="8">
        <f>F404*G404*H404</f>
        <v/>
      </c>
      <c r="P404" s="8">
        <f>2*(F404+G404)*H404</f>
        <v/>
      </c>
      <c r="Q404" s="8">
        <f>IF(L404&gt;0,(F404+2*0.1)*(G404+2*0.1)*L404,0)</f>
        <v/>
      </c>
      <c r="R404" s="8">
        <f>(F404+0.2)*(G404+0.2)*0.1</f>
        <v/>
      </c>
      <c r="S404" s="8">
        <f>(F404+0.2)*(G404+0.2)*0.05</f>
        <v/>
      </c>
      <c r="T404" s="8">
        <f>INDEX('2-ฐานราก เหล็กเสริม'!$S:$S,MATCH(B404,'2-ฐานราก เหล็กเสริม'!$A:$A,0))</f>
        <v/>
      </c>
      <c r="U404" s="8" t="inlineStr">
        <is>
          <t>M24</t>
        </is>
      </c>
      <c r="V404" s="10" t="inlineStr">
        <is>
          <t>แบบ S201 (ตำแหน่ง) / ระดับรอยืนยัน</t>
        </is>
      </c>
    </row>
    <row r="405">
      <c r="A405" s="8" t="inlineStr">
        <is>
          <t>F1P-356</t>
        </is>
      </c>
      <c r="B405" s="8" t="inlineStr">
        <is>
          <t>F1P</t>
        </is>
      </c>
      <c r="C405" s="8" t="inlineStr">
        <is>
          <t>9-1.51/J-1.48</t>
        </is>
      </c>
      <c r="D405" s="9" t="n">
        <v>46.495</v>
      </c>
      <c r="E405" s="9" t="n">
        <v>52.517</v>
      </c>
      <c r="F405" s="9" t="n">
        <v>1</v>
      </c>
      <c r="G405" s="9" t="n">
        <v>1</v>
      </c>
      <c r="H405" s="9" t="n">
        <v>0.2</v>
      </c>
      <c r="I405" s="9" t="n">
        <v>0.3</v>
      </c>
      <c r="J405" s="9" t="n">
        <v>0.1</v>
      </c>
      <c r="K405" s="9" t="n">
        <v>-0.05</v>
      </c>
      <c r="L405" s="9" t="n">
        <v>0.05</v>
      </c>
      <c r="M405" s="8" t="n">
        <v>1</v>
      </c>
      <c r="N405" s="8" t="inlineStr">
        <is>
          <t>1x I-350 ยาว 22 ม.</t>
        </is>
      </c>
      <c r="O405" s="8">
        <f>F405*G405*H405</f>
        <v/>
      </c>
      <c r="P405" s="8">
        <f>2*(F405+G405)*H405</f>
        <v/>
      </c>
      <c r="Q405" s="8">
        <f>IF(L405&gt;0,(F405+2*0.1)*(G405+2*0.1)*L405,0)</f>
        <v/>
      </c>
      <c r="R405" s="8">
        <f>(F405+0.2)*(G405+0.2)*0.1</f>
        <v/>
      </c>
      <c r="S405" s="8">
        <f>(F405+0.2)*(G405+0.2)*0.05</f>
        <v/>
      </c>
      <c r="T405" s="8">
        <f>INDEX('2-ฐานราก เหล็กเสริม'!$S:$S,MATCH(B405,'2-ฐานราก เหล็กเสริม'!$A:$A,0))</f>
        <v/>
      </c>
      <c r="U405" s="8" t="inlineStr">
        <is>
          <t>M24</t>
        </is>
      </c>
      <c r="V405" s="10" t="inlineStr">
        <is>
          <t>แบบ S201 (ตำแหน่ง) / ระดับรอยืนยัน</t>
        </is>
      </c>
    </row>
    <row r="406">
      <c r="A406" s="8" t="inlineStr">
        <is>
          <t>F1P-357</t>
        </is>
      </c>
      <c r="B406" s="8" t="inlineStr">
        <is>
          <t>F1P</t>
        </is>
      </c>
      <c r="C406" s="8" t="inlineStr">
        <is>
          <t>9+1.49/J-1.48</t>
        </is>
      </c>
      <c r="D406" s="9" t="n">
        <v>49.494</v>
      </c>
      <c r="E406" s="9" t="n">
        <v>52.517</v>
      </c>
      <c r="F406" s="9" t="n">
        <v>1</v>
      </c>
      <c r="G406" s="9" t="n">
        <v>1</v>
      </c>
      <c r="H406" s="9" t="n">
        <v>0.2</v>
      </c>
      <c r="I406" s="9" t="n">
        <v>0.3</v>
      </c>
      <c r="J406" s="9" t="n">
        <v>0.1</v>
      </c>
      <c r="K406" s="9" t="n">
        <v>-0.05</v>
      </c>
      <c r="L406" s="9" t="n">
        <v>0.05</v>
      </c>
      <c r="M406" s="8" t="n">
        <v>1</v>
      </c>
      <c r="N406" s="8" t="inlineStr">
        <is>
          <t>1x I-350 ยาว 22 ม.</t>
        </is>
      </c>
      <c r="O406" s="8">
        <f>F406*G406*H406</f>
        <v/>
      </c>
      <c r="P406" s="8">
        <f>2*(F406+G406)*H406</f>
        <v/>
      </c>
      <c r="Q406" s="8">
        <f>IF(L406&gt;0,(F406+2*0.1)*(G406+2*0.1)*L406,0)</f>
        <v/>
      </c>
      <c r="R406" s="8">
        <f>(F406+0.2)*(G406+0.2)*0.1</f>
        <v/>
      </c>
      <c r="S406" s="8">
        <f>(F406+0.2)*(G406+0.2)*0.05</f>
        <v/>
      </c>
      <c r="T406" s="8">
        <f>INDEX('2-ฐานราก เหล็กเสริม'!$S:$S,MATCH(B406,'2-ฐานราก เหล็กเสริม'!$A:$A,0))</f>
        <v/>
      </c>
      <c r="U406" s="8" t="inlineStr">
        <is>
          <t>M24</t>
        </is>
      </c>
      <c r="V406" s="10" t="inlineStr">
        <is>
          <t>แบบ S201 (ตำแหน่ง) / ระดับรอยืนยัน</t>
        </is>
      </c>
    </row>
    <row r="407">
      <c r="A407" s="8" t="inlineStr">
        <is>
          <t>F1P-358</t>
        </is>
      </c>
      <c r="B407" s="8" t="inlineStr">
        <is>
          <t>F1P</t>
        </is>
      </c>
      <c r="C407" s="8" t="inlineStr">
        <is>
          <t>10-1.51/J-1.48</t>
        </is>
      </c>
      <c r="D407" s="9" t="n">
        <v>52.493</v>
      </c>
      <c r="E407" s="9" t="n">
        <v>52.517</v>
      </c>
      <c r="F407" s="9" t="n">
        <v>1</v>
      </c>
      <c r="G407" s="9" t="n">
        <v>1</v>
      </c>
      <c r="H407" s="9" t="n">
        <v>0.2</v>
      </c>
      <c r="I407" s="9" t="n">
        <v>0.3</v>
      </c>
      <c r="J407" s="9" t="n">
        <v>0.1</v>
      </c>
      <c r="K407" s="9" t="n">
        <v>-0.05</v>
      </c>
      <c r="L407" s="9" t="n">
        <v>0.05</v>
      </c>
      <c r="M407" s="8" t="n">
        <v>1</v>
      </c>
      <c r="N407" s="8" t="inlineStr">
        <is>
          <t>1x I-350 ยาว 22 ม.</t>
        </is>
      </c>
      <c r="O407" s="8">
        <f>F407*G407*H407</f>
        <v/>
      </c>
      <c r="P407" s="8">
        <f>2*(F407+G407)*H407</f>
        <v/>
      </c>
      <c r="Q407" s="8">
        <f>IF(L407&gt;0,(F407+2*0.1)*(G407+2*0.1)*L407,0)</f>
        <v/>
      </c>
      <c r="R407" s="8">
        <f>(F407+0.2)*(G407+0.2)*0.1</f>
        <v/>
      </c>
      <c r="S407" s="8">
        <f>(F407+0.2)*(G407+0.2)*0.05</f>
        <v/>
      </c>
      <c r="T407" s="8">
        <f>INDEX('2-ฐานราก เหล็กเสริม'!$S:$S,MATCH(B407,'2-ฐานราก เหล็กเสริม'!$A:$A,0))</f>
        <v/>
      </c>
      <c r="U407" s="8" t="inlineStr">
        <is>
          <t>M24</t>
        </is>
      </c>
      <c r="V407" s="10" t="inlineStr">
        <is>
          <t>แบบ S201 (ตำแหน่ง) / ระดับรอยืนยัน</t>
        </is>
      </c>
    </row>
    <row r="408">
      <c r="A408" s="8" t="inlineStr">
        <is>
          <t>F1P-359</t>
        </is>
      </c>
      <c r="B408" s="8" t="inlineStr">
        <is>
          <t>F1P</t>
        </is>
      </c>
      <c r="C408" s="8" t="inlineStr">
        <is>
          <t>10+1.49/J-1.48</t>
        </is>
      </c>
      <c r="D408" s="9" t="n">
        <v>55.492</v>
      </c>
      <c r="E408" s="9" t="n">
        <v>52.517</v>
      </c>
      <c r="F408" s="9" t="n">
        <v>1</v>
      </c>
      <c r="G408" s="9" t="n">
        <v>1</v>
      </c>
      <c r="H408" s="9" t="n">
        <v>0.2</v>
      </c>
      <c r="I408" s="9" t="n">
        <v>0.3</v>
      </c>
      <c r="J408" s="9" t="n">
        <v>0.1</v>
      </c>
      <c r="K408" s="9" t="n">
        <v>-0.05</v>
      </c>
      <c r="L408" s="9" t="n">
        <v>0.05</v>
      </c>
      <c r="M408" s="8" t="n">
        <v>1</v>
      </c>
      <c r="N408" s="8" t="inlineStr">
        <is>
          <t>1x I-350 ยาว 22 ม.</t>
        </is>
      </c>
      <c r="O408" s="8">
        <f>F408*G408*H408</f>
        <v/>
      </c>
      <c r="P408" s="8">
        <f>2*(F408+G408)*H408</f>
        <v/>
      </c>
      <c r="Q408" s="8">
        <f>IF(L408&gt;0,(F408+2*0.1)*(G408+2*0.1)*L408,0)</f>
        <v/>
      </c>
      <c r="R408" s="8">
        <f>(F408+0.2)*(G408+0.2)*0.1</f>
        <v/>
      </c>
      <c r="S408" s="8">
        <f>(F408+0.2)*(G408+0.2)*0.05</f>
        <v/>
      </c>
      <c r="T408" s="8">
        <f>INDEX('2-ฐานราก เหล็กเสริม'!$S:$S,MATCH(B408,'2-ฐานราก เหล็กเสริม'!$A:$A,0))</f>
        <v/>
      </c>
      <c r="U408" s="8" t="inlineStr">
        <is>
          <t>M24</t>
        </is>
      </c>
      <c r="V408" s="10" t="inlineStr">
        <is>
          <t>แบบ S201 (ตำแหน่ง) / ระดับรอยืนยัน</t>
        </is>
      </c>
    </row>
    <row r="409">
      <c r="A409" s="8" t="inlineStr">
        <is>
          <t>F1P-360</t>
        </is>
      </c>
      <c r="B409" s="8" t="inlineStr">
        <is>
          <t>F1P</t>
        </is>
      </c>
      <c r="C409" s="8" t="inlineStr">
        <is>
          <t>11-1.51/J-1.48</t>
        </is>
      </c>
      <c r="D409" s="9" t="n">
        <v>58.49</v>
      </c>
      <c r="E409" s="9" t="n">
        <v>52.517</v>
      </c>
      <c r="F409" s="9" t="n">
        <v>1</v>
      </c>
      <c r="G409" s="9" t="n">
        <v>1</v>
      </c>
      <c r="H409" s="9" t="n">
        <v>0.2</v>
      </c>
      <c r="I409" s="9" t="n">
        <v>0.3</v>
      </c>
      <c r="J409" s="9" t="n">
        <v>0.1</v>
      </c>
      <c r="K409" s="9" t="n">
        <v>-0.05</v>
      </c>
      <c r="L409" s="9" t="n">
        <v>0.05</v>
      </c>
      <c r="M409" s="8" t="n">
        <v>1</v>
      </c>
      <c r="N409" s="8" t="inlineStr">
        <is>
          <t>1x I-350 ยาว 22 ม.</t>
        </is>
      </c>
      <c r="O409" s="8">
        <f>F409*G409*H409</f>
        <v/>
      </c>
      <c r="P409" s="8">
        <f>2*(F409+G409)*H409</f>
        <v/>
      </c>
      <c r="Q409" s="8">
        <f>IF(L409&gt;0,(F409+2*0.1)*(G409+2*0.1)*L409,0)</f>
        <v/>
      </c>
      <c r="R409" s="8">
        <f>(F409+0.2)*(G409+0.2)*0.1</f>
        <v/>
      </c>
      <c r="S409" s="8">
        <f>(F409+0.2)*(G409+0.2)*0.05</f>
        <v/>
      </c>
      <c r="T409" s="8">
        <f>INDEX('2-ฐานราก เหล็กเสริม'!$S:$S,MATCH(B409,'2-ฐานราก เหล็กเสริม'!$A:$A,0))</f>
        <v/>
      </c>
      <c r="U409" s="8" t="inlineStr">
        <is>
          <t>M24</t>
        </is>
      </c>
      <c r="V409" s="10" t="inlineStr">
        <is>
          <t>แบบ S201 (ตำแหน่ง) / ระดับรอยืนยัน</t>
        </is>
      </c>
    </row>
    <row r="410">
      <c r="A410" s="8" t="inlineStr">
        <is>
          <t>F1P-1-001</t>
        </is>
      </c>
      <c r="B410" s="8" t="inlineStr">
        <is>
          <t>F1P-1</t>
        </is>
      </c>
      <c r="C410" s="8" t="inlineStr">
        <is>
          <t>5+2.99/A-3.19</t>
        </is>
      </c>
      <c r="D410" s="9" t="n">
        <v>26.986</v>
      </c>
      <c r="E410" s="9" t="n">
        <v>-3.189</v>
      </c>
      <c r="F410" s="9" t="n">
        <v>0.6</v>
      </c>
      <c r="G410" s="9" t="n">
        <v>0.6</v>
      </c>
      <c r="H410" s="9" t="n">
        <v>0.6</v>
      </c>
      <c r="I410" s="9" t="n">
        <v>-0.4</v>
      </c>
      <c r="J410" s="9" t="n">
        <v>-1</v>
      </c>
      <c r="K410" s="9" t="n">
        <v>-1.15</v>
      </c>
      <c r="L410" s="9" t="n">
        <v>1.15</v>
      </c>
      <c r="M410" s="8" t="n">
        <v>1</v>
      </c>
      <c r="N410" s="8" t="inlineStr">
        <is>
          <t>1x I-260 ยาว 22 ม.</t>
        </is>
      </c>
      <c r="O410" s="8">
        <f>F410*G410*H410</f>
        <v/>
      </c>
      <c r="P410" s="8">
        <f>2*(F410+G410)*H410</f>
        <v/>
      </c>
      <c r="Q410" s="8">
        <f>IF(L410&gt;0,(F410+2*0.1)*(G410+2*0.1)*L410,0)</f>
        <v/>
      </c>
      <c r="R410" s="8">
        <f>(F410+0.2)*(G410+0.2)*0.1</f>
        <v/>
      </c>
      <c r="S410" s="8">
        <f>(F410+0.2)*(G410+0.2)*0.05</f>
        <v/>
      </c>
      <c r="T410" s="8">
        <f>INDEX('2-ฐานราก เหล็กเสริม'!$S:$S,MATCH(B410,'2-ฐานราก เหล็กเสริม'!$A:$A,0))</f>
        <v/>
      </c>
      <c r="U410" s="8" t="inlineStr">
        <is>
          <t>M44</t>
        </is>
      </c>
      <c r="V410" s="10" t="inlineStr">
        <is>
          <t>แบบ S201 (ตำแหน่ง) / ระดับรอยืนยัน</t>
        </is>
      </c>
    </row>
    <row r="411">
      <c r="A411" s="8" t="inlineStr">
        <is>
          <t>F1P-1-002</t>
        </is>
      </c>
      <c r="B411" s="8" t="inlineStr">
        <is>
          <t>F1P-1</t>
        </is>
      </c>
      <c r="C411" s="8" t="inlineStr">
        <is>
          <t>1-4.01/A</t>
        </is>
      </c>
      <c r="D411" s="9" t="n">
        <v>-4.015</v>
      </c>
      <c r="E411" s="9" t="n">
        <v>0.008</v>
      </c>
      <c r="F411" s="9" t="n">
        <v>0.6</v>
      </c>
      <c r="G411" s="9" t="n">
        <v>0.6</v>
      </c>
      <c r="H411" s="9" t="n">
        <v>0.6</v>
      </c>
      <c r="I411" s="9" t="n">
        <v>-0.4</v>
      </c>
      <c r="J411" s="9" t="n">
        <v>-1</v>
      </c>
      <c r="K411" s="9" t="n">
        <v>-1.15</v>
      </c>
      <c r="L411" s="9" t="n">
        <v>1.15</v>
      </c>
      <c r="M411" s="8" t="n">
        <v>1</v>
      </c>
      <c r="N411" s="8" t="inlineStr">
        <is>
          <t>1x I-260 ยาว 22 ม.</t>
        </is>
      </c>
      <c r="O411" s="8">
        <f>F411*G411*H411</f>
        <v/>
      </c>
      <c r="P411" s="8">
        <f>2*(F411+G411)*H411</f>
        <v/>
      </c>
      <c r="Q411" s="8">
        <f>IF(L411&gt;0,(F411+2*0.1)*(G411+2*0.1)*L411,0)</f>
        <v/>
      </c>
      <c r="R411" s="8">
        <f>(F411+0.2)*(G411+0.2)*0.1</f>
        <v/>
      </c>
      <c r="S411" s="8">
        <f>(F411+0.2)*(G411+0.2)*0.05</f>
        <v/>
      </c>
      <c r="T411" s="8">
        <f>INDEX('2-ฐานราก เหล็กเสริม'!$S:$S,MATCH(B411,'2-ฐานราก เหล็กเสริม'!$A:$A,0))</f>
        <v/>
      </c>
      <c r="U411" s="8" t="inlineStr">
        <is>
          <t>M44</t>
        </is>
      </c>
      <c r="V411" s="10" t="inlineStr">
        <is>
          <t>แบบ S201 (ตำแหน่ง) / ระดับรอยืนยัน</t>
        </is>
      </c>
    </row>
    <row r="412">
      <c r="A412" s="8" t="inlineStr">
        <is>
          <t>F1P-1-003</t>
        </is>
      </c>
      <c r="B412" s="8" t="inlineStr">
        <is>
          <t>F1P-1</t>
        </is>
      </c>
      <c r="C412" s="8" t="inlineStr">
        <is>
          <t>5+2.99/A</t>
        </is>
      </c>
      <c r="D412" s="9" t="n">
        <v>26.986</v>
      </c>
      <c r="E412" s="9" t="n">
        <v>0.008</v>
      </c>
      <c r="F412" s="9" t="n">
        <v>0.6</v>
      </c>
      <c r="G412" s="9" t="n">
        <v>0.6</v>
      </c>
      <c r="H412" s="9" t="n">
        <v>0.6</v>
      </c>
      <c r="I412" s="9" t="n">
        <v>-0.4</v>
      </c>
      <c r="J412" s="9" t="n">
        <v>-1</v>
      </c>
      <c r="K412" s="9" t="n">
        <v>-1.15</v>
      </c>
      <c r="L412" s="9" t="n">
        <v>1.15</v>
      </c>
      <c r="M412" s="8" t="n">
        <v>1</v>
      </c>
      <c r="N412" s="8" t="inlineStr">
        <is>
          <t>1x I-260 ยาว 22 ม.</t>
        </is>
      </c>
      <c r="O412" s="8">
        <f>F412*G412*H412</f>
        <v/>
      </c>
      <c r="P412" s="8">
        <f>2*(F412+G412)*H412</f>
        <v/>
      </c>
      <c r="Q412" s="8">
        <f>IF(L412&gt;0,(F412+2*0.1)*(G412+2*0.1)*L412,0)</f>
        <v/>
      </c>
      <c r="R412" s="8">
        <f>(F412+0.2)*(G412+0.2)*0.1</f>
        <v/>
      </c>
      <c r="S412" s="8">
        <f>(F412+0.2)*(G412+0.2)*0.05</f>
        <v/>
      </c>
      <c r="T412" s="8">
        <f>INDEX('2-ฐานราก เหล็กเสริม'!$S:$S,MATCH(B412,'2-ฐานราก เหล็กเสริม'!$A:$A,0))</f>
        <v/>
      </c>
      <c r="U412" s="8" t="inlineStr">
        <is>
          <t>M44</t>
        </is>
      </c>
      <c r="V412" s="10" t="inlineStr">
        <is>
          <t>แบบ S201 (ตำแหน่ง) / ระดับรอยืนยัน</t>
        </is>
      </c>
    </row>
    <row r="413">
      <c r="A413" s="8" t="inlineStr">
        <is>
          <t>F1P-1-004</t>
        </is>
      </c>
      <c r="B413" s="8" t="inlineStr">
        <is>
          <t>F1P-1</t>
        </is>
      </c>
      <c r="C413" s="8" t="inlineStr">
        <is>
          <t>1-4.01/B</t>
        </is>
      </c>
      <c r="D413" s="9" t="n">
        <v>-4.015</v>
      </c>
      <c r="E413" s="9" t="n">
        <v>6.012</v>
      </c>
      <c r="F413" s="9" t="n">
        <v>0.6</v>
      </c>
      <c r="G413" s="9" t="n">
        <v>0.6</v>
      </c>
      <c r="H413" s="9" t="n">
        <v>0.6</v>
      </c>
      <c r="I413" s="9" t="n">
        <v>-0.4</v>
      </c>
      <c r="J413" s="9" t="n">
        <v>-1</v>
      </c>
      <c r="K413" s="9" t="n">
        <v>-1.15</v>
      </c>
      <c r="L413" s="9" t="n">
        <v>1.15</v>
      </c>
      <c r="M413" s="8" t="n">
        <v>1</v>
      </c>
      <c r="N413" s="8" t="inlineStr">
        <is>
          <t>1x I-260 ยาว 22 ม.</t>
        </is>
      </c>
      <c r="O413" s="8">
        <f>F413*G413*H413</f>
        <v/>
      </c>
      <c r="P413" s="8">
        <f>2*(F413+G413)*H413</f>
        <v/>
      </c>
      <c r="Q413" s="8">
        <f>IF(L413&gt;0,(F413+2*0.1)*(G413+2*0.1)*L413,0)</f>
        <v/>
      </c>
      <c r="R413" s="8">
        <f>(F413+0.2)*(G413+0.2)*0.1</f>
        <v/>
      </c>
      <c r="S413" s="8">
        <f>(F413+0.2)*(G413+0.2)*0.05</f>
        <v/>
      </c>
      <c r="T413" s="8">
        <f>INDEX('2-ฐานราก เหล็กเสริม'!$S:$S,MATCH(B413,'2-ฐานราก เหล็กเสริม'!$A:$A,0))</f>
        <v/>
      </c>
      <c r="U413" s="8" t="inlineStr">
        <is>
          <t>M44</t>
        </is>
      </c>
      <c r="V413" s="10" t="inlineStr">
        <is>
          <t>แบบ S201 (ตำแหน่ง) / ระดับรอยืนยัน</t>
        </is>
      </c>
    </row>
    <row r="414">
      <c r="A414" s="8" t="inlineStr">
        <is>
          <t>F1P-1-005</t>
        </is>
      </c>
      <c r="B414" s="8" t="inlineStr">
        <is>
          <t>F1P-1</t>
        </is>
      </c>
      <c r="C414" s="8" t="inlineStr">
        <is>
          <t>1-4.01/C-2.99</t>
        </is>
      </c>
      <c r="D414" s="9" t="n">
        <v>-4.015</v>
      </c>
      <c r="E414" s="9" t="n">
        <v>9.010999999999999</v>
      </c>
      <c r="F414" s="9" t="n">
        <v>0.6</v>
      </c>
      <c r="G414" s="9" t="n">
        <v>0.6</v>
      </c>
      <c r="H414" s="9" t="n">
        <v>0.6</v>
      </c>
      <c r="I414" s="9" t="n">
        <v>-0.4</v>
      </c>
      <c r="J414" s="9" t="n">
        <v>-1</v>
      </c>
      <c r="K414" s="9" t="n">
        <v>-1.15</v>
      </c>
      <c r="L414" s="9" t="n">
        <v>1.15</v>
      </c>
      <c r="M414" s="8" t="n">
        <v>1</v>
      </c>
      <c r="N414" s="8" t="inlineStr">
        <is>
          <t>1x I-260 ยาว 22 ม.</t>
        </is>
      </c>
      <c r="O414" s="8">
        <f>F414*G414*H414</f>
        <v/>
      </c>
      <c r="P414" s="8">
        <f>2*(F414+G414)*H414</f>
        <v/>
      </c>
      <c r="Q414" s="8">
        <f>IF(L414&gt;0,(F414+2*0.1)*(G414+2*0.1)*L414,0)</f>
        <v/>
      </c>
      <c r="R414" s="8">
        <f>(F414+0.2)*(G414+0.2)*0.1</f>
        <v/>
      </c>
      <c r="S414" s="8">
        <f>(F414+0.2)*(G414+0.2)*0.05</f>
        <v/>
      </c>
      <c r="T414" s="8">
        <f>INDEX('2-ฐานราก เหล็กเสริม'!$S:$S,MATCH(B414,'2-ฐานราก เหล็กเสริม'!$A:$A,0))</f>
        <v/>
      </c>
      <c r="U414" s="8" t="inlineStr">
        <is>
          <t>M44</t>
        </is>
      </c>
      <c r="V414" s="10" t="inlineStr">
        <is>
          <t>แบบ S201 (ตำแหน่ง) / ระดับรอยืนยัน</t>
        </is>
      </c>
    </row>
    <row r="415">
      <c r="A415" s="8" t="inlineStr">
        <is>
          <t>F1P-1-006</t>
        </is>
      </c>
      <c r="B415" s="8" t="inlineStr">
        <is>
          <t>F1P-1</t>
        </is>
      </c>
      <c r="C415" s="8" t="inlineStr">
        <is>
          <t>1-7.36/D</t>
        </is>
      </c>
      <c r="D415" s="9" t="n">
        <v>-7.364</v>
      </c>
      <c r="E415" s="9" t="n">
        <v>18.007</v>
      </c>
      <c r="F415" s="9" t="n">
        <v>0.6</v>
      </c>
      <c r="G415" s="9" t="n">
        <v>0.6</v>
      </c>
      <c r="H415" s="9" t="n">
        <v>0.6</v>
      </c>
      <c r="I415" s="9" t="n">
        <v>-0.4</v>
      </c>
      <c r="J415" s="9" t="n">
        <v>-1</v>
      </c>
      <c r="K415" s="9" t="n">
        <v>-1.15</v>
      </c>
      <c r="L415" s="9" t="n">
        <v>1.15</v>
      </c>
      <c r="M415" s="8" t="n">
        <v>1</v>
      </c>
      <c r="N415" s="8" t="inlineStr">
        <is>
          <t>1x I-260 ยาว 22 ม.</t>
        </is>
      </c>
      <c r="O415" s="8">
        <f>F415*G415*H415</f>
        <v/>
      </c>
      <c r="P415" s="8">
        <f>2*(F415+G415)*H415</f>
        <v/>
      </c>
      <c r="Q415" s="8">
        <f>IF(L415&gt;0,(F415+2*0.1)*(G415+2*0.1)*L415,0)</f>
        <v/>
      </c>
      <c r="R415" s="8">
        <f>(F415+0.2)*(G415+0.2)*0.1</f>
        <v/>
      </c>
      <c r="S415" s="8">
        <f>(F415+0.2)*(G415+0.2)*0.05</f>
        <v/>
      </c>
      <c r="T415" s="8">
        <f>INDEX('2-ฐานราก เหล็กเสริม'!$S:$S,MATCH(B415,'2-ฐานราก เหล็กเสริม'!$A:$A,0))</f>
        <v/>
      </c>
      <c r="U415" s="8" t="inlineStr">
        <is>
          <t>M44</t>
        </is>
      </c>
      <c r="V415" s="10" t="inlineStr">
        <is>
          <t>แบบ S201 (ตำแหน่ง) / ระดับรอยืนยัน</t>
        </is>
      </c>
    </row>
    <row r="416">
      <c r="A416" s="8" t="inlineStr">
        <is>
          <t>F1P-1-007</t>
        </is>
      </c>
      <c r="B416" s="8" t="inlineStr">
        <is>
          <t>F1P-1</t>
        </is>
      </c>
      <c r="C416" s="8" t="inlineStr">
        <is>
          <t>1-4.96/D</t>
        </is>
      </c>
      <c r="D416" s="9" t="n">
        <v>-4.961</v>
      </c>
      <c r="E416" s="9" t="n">
        <v>18.007</v>
      </c>
      <c r="F416" s="9" t="n">
        <v>0.6</v>
      </c>
      <c r="G416" s="9" t="n">
        <v>0.6</v>
      </c>
      <c r="H416" s="9" t="n">
        <v>0.6</v>
      </c>
      <c r="I416" s="9" t="n">
        <v>-0.4</v>
      </c>
      <c r="J416" s="9" t="n">
        <v>-1</v>
      </c>
      <c r="K416" s="9" t="n">
        <v>-1.15</v>
      </c>
      <c r="L416" s="9" t="n">
        <v>1.15</v>
      </c>
      <c r="M416" s="8" t="n">
        <v>1</v>
      </c>
      <c r="N416" s="8" t="inlineStr">
        <is>
          <t>1x I-260 ยาว 22 ม.</t>
        </is>
      </c>
      <c r="O416" s="8">
        <f>F416*G416*H416</f>
        <v/>
      </c>
      <c r="P416" s="8">
        <f>2*(F416+G416)*H416</f>
        <v/>
      </c>
      <c r="Q416" s="8">
        <f>IF(L416&gt;0,(F416+2*0.1)*(G416+2*0.1)*L416,0)</f>
        <v/>
      </c>
      <c r="R416" s="8">
        <f>(F416+0.2)*(G416+0.2)*0.1</f>
        <v/>
      </c>
      <c r="S416" s="8">
        <f>(F416+0.2)*(G416+0.2)*0.05</f>
        <v/>
      </c>
      <c r="T416" s="8">
        <f>INDEX('2-ฐานราก เหล็กเสริม'!$S:$S,MATCH(B416,'2-ฐานราก เหล็กเสริม'!$A:$A,0))</f>
        <v/>
      </c>
      <c r="U416" s="8" t="inlineStr">
        <is>
          <t>M44</t>
        </is>
      </c>
      <c r="V416" s="10" t="inlineStr">
        <is>
          <t>แบบ S201 (ตำแหน่ง) / ระดับรอยืนยัน</t>
        </is>
      </c>
    </row>
    <row r="417">
      <c r="A417" s="8" t="inlineStr">
        <is>
          <t>F1P-1-008</t>
        </is>
      </c>
      <c r="B417" s="8" t="inlineStr">
        <is>
          <t>F1P-1</t>
        </is>
      </c>
      <c r="C417" s="8" t="inlineStr">
        <is>
          <t>1-7.36/E-1.99</t>
        </is>
      </c>
      <c r="D417" s="9" t="n">
        <v>-7.364</v>
      </c>
      <c r="E417" s="9" t="n">
        <v>22.012</v>
      </c>
      <c r="F417" s="9" t="n">
        <v>0.6</v>
      </c>
      <c r="G417" s="9" t="n">
        <v>0.6</v>
      </c>
      <c r="H417" s="9" t="n">
        <v>0.6</v>
      </c>
      <c r="I417" s="9" t="n">
        <v>-0.4</v>
      </c>
      <c r="J417" s="9" t="n">
        <v>-1</v>
      </c>
      <c r="K417" s="9" t="n">
        <v>-1.15</v>
      </c>
      <c r="L417" s="9" t="n">
        <v>1.15</v>
      </c>
      <c r="M417" s="8" t="n">
        <v>1</v>
      </c>
      <c r="N417" s="8" t="inlineStr">
        <is>
          <t>1x I-260 ยาว 22 ม.</t>
        </is>
      </c>
      <c r="O417" s="8">
        <f>F417*G417*H417</f>
        <v/>
      </c>
      <c r="P417" s="8">
        <f>2*(F417+G417)*H417</f>
        <v/>
      </c>
      <c r="Q417" s="8">
        <f>IF(L417&gt;0,(F417+2*0.1)*(G417+2*0.1)*L417,0)</f>
        <v/>
      </c>
      <c r="R417" s="8">
        <f>(F417+0.2)*(G417+0.2)*0.1</f>
        <v/>
      </c>
      <c r="S417" s="8">
        <f>(F417+0.2)*(G417+0.2)*0.05</f>
        <v/>
      </c>
      <c r="T417" s="8">
        <f>INDEX('2-ฐานราก เหล็กเสริม'!$S:$S,MATCH(B417,'2-ฐานราก เหล็กเสริม'!$A:$A,0))</f>
        <v/>
      </c>
      <c r="U417" s="8" t="inlineStr">
        <is>
          <t>M44</t>
        </is>
      </c>
      <c r="V417" s="10" t="inlineStr">
        <is>
          <t>แบบ S201 (ตำแหน่ง) / ระดับรอยืนยัน</t>
        </is>
      </c>
    </row>
    <row r="418">
      <c r="A418" s="8" t="inlineStr">
        <is>
          <t>F1P-1-009</t>
        </is>
      </c>
      <c r="B418" s="8" t="inlineStr">
        <is>
          <t>F1P-1</t>
        </is>
      </c>
      <c r="C418" s="8" t="inlineStr">
        <is>
          <t>1-4.96/E-1.99</t>
        </is>
      </c>
      <c r="D418" s="9" t="n">
        <v>-4.961</v>
      </c>
      <c r="E418" s="9" t="n">
        <v>22.012</v>
      </c>
      <c r="F418" s="9" t="n">
        <v>0.6</v>
      </c>
      <c r="G418" s="9" t="n">
        <v>0.6</v>
      </c>
      <c r="H418" s="9" t="n">
        <v>0.6</v>
      </c>
      <c r="I418" s="9" t="n">
        <v>-0.4</v>
      </c>
      <c r="J418" s="9" t="n">
        <v>-1</v>
      </c>
      <c r="K418" s="9" t="n">
        <v>-1.15</v>
      </c>
      <c r="L418" s="9" t="n">
        <v>1.15</v>
      </c>
      <c r="M418" s="8" t="n">
        <v>1</v>
      </c>
      <c r="N418" s="8" t="inlineStr">
        <is>
          <t>1x I-260 ยาว 22 ม.</t>
        </is>
      </c>
      <c r="O418" s="8">
        <f>F418*G418*H418</f>
        <v/>
      </c>
      <c r="P418" s="8">
        <f>2*(F418+G418)*H418</f>
        <v/>
      </c>
      <c r="Q418" s="8">
        <f>IF(L418&gt;0,(F418+2*0.1)*(G418+2*0.1)*L418,0)</f>
        <v/>
      </c>
      <c r="R418" s="8">
        <f>(F418+0.2)*(G418+0.2)*0.1</f>
        <v/>
      </c>
      <c r="S418" s="8">
        <f>(F418+0.2)*(G418+0.2)*0.05</f>
        <v/>
      </c>
      <c r="T418" s="8">
        <f>INDEX('2-ฐานราก เหล็กเสริม'!$S:$S,MATCH(B418,'2-ฐานราก เหล็กเสริม'!$A:$A,0))</f>
        <v/>
      </c>
      <c r="U418" s="8" t="inlineStr">
        <is>
          <t>M44</t>
        </is>
      </c>
      <c r="V418" s="10" t="inlineStr">
        <is>
          <t>แบบ S201 (ตำแหน่ง) / ระดับรอยืนยัน</t>
        </is>
      </c>
    </row>
    <row r="419">
      <c r="A419" s="8" t="inlineStr">
        <is>
          <t>F1P-1-010</t>
        </is>
      </c>
      <c r="B419" s="8" t="inlineStr">
        <is>
          <t>F1P-1</t>
        </is>
      </c>
      <c r="C419" s="8" t="inlineStr">
        <is>
          <t>1-7.36/E+2.01</t>
        </is>
      </c>
      <c r="D419" s="9" t="n">
        <v>-7.364</v>
      </c>
      <c r="E419" s="9" t="n">
        <v>26.011</v>
      </c>
      <c r="F419" s="9" t="n">
        <v>0.6</v>
      </c>
      <c r="G419" s="9" t="n">
        <v>0.6</v>
      </c>
      <c r="H419" s="9" t="n">
        <v>0.6</v>
      </c>
      <c r="I419" s="9" t="n">
        <v>-0.4</v>
      </c>
      <c r="J419" s="9" t="n">
        <v>-1</v>
      </c>
      <c r="K419" s="9" t="n">
        <v>-1.15</v>
      </c>
      <c r="L419" s="9" t="n">
        <v>1.15</v>
      </c>
      <c r="M419" s="8" t="n">
        <v>1</v>
      </c>
      <c r="N419" s="8" t="inlineStr">
        <is>
          <t>1x I-260 ยาว 22 ม.</t>
        </is>
      </c>
      <c r="O419" s="8">
        <f>F419*G419*H419</f>
        <v/>
      </c>
      <c r="P419" s="8">
        <f>2*(F419+G419)*H419</f>
        <v/>
      </c>
      <c r="Q419" s="8">
        <f>IF(L419&gt;0,(F419+2*0.1)*(G419+2*0.1)*L419,0)</f>
        <v/>
      </c>
      <c r="R419" s="8">
        <f>(F419+0.2)*(G419+0.2)*0.1</f>
        <v/>
      </c>
      <c r="S419" s="8">
        <f>(F419+0.2)*(G419+0.2)*0.05</f>
        <v/>
      </c>
      <c r="T419" s="8">
        <f>INDEX('2-ฐานราก เหล็กเสริม'!$S:$S,MATCH(B419,'2-ฐานราก เหล็กเสริม'!$A:$A,0))</f>
        <v/>
      </c>
      <c r="U419" s="8" t="inlineStr">
        <is>
          <t>M44</t>
        </is>
      </c>
      <c r="V419" s="10" t="inlineStr">
        <is>
          <t>แบบ S201 (ตำแหน่ง) / ระดับรอยืนยัน</t>
        </is>
      </c>
    </row>
    <row r="420">
      <c r="A420" s="8" t="inlineStr">
        <is>
          <t>F1P-1-011</t>
        </is>
      </c>
      <c r="B420" s="8" t="inlineStr">
        <is>
          <t>F1P-1</t>
        </is>
      </c>
      <c r="C420" s="8" t="inlineStr">
        <is>
          <t>1-4.96/E+2.01</t>
        </is>
      </c>
      <c r="D420" s="9" t="n">
        <v>-4.961</v>
      </c>
      <c r="E420" s="9" t="n">
        <v>26.011</v>
      </c>
      <c r="F420" s="9" t="n">
        <v>0.6</v>
      </c>
      <c r="G420" s="9" t="n">
        <v>0.6</v>
      </c>
      <c r="H420" s="9" t="n">
        <v>0.6</v>
      </c>
      <c r="I420" s="9" t="n">
        <v>-0.4</v>
      </c>
      <c r="J420" s="9" t="n">
        <v>-1</v>
      </c>
      <c r="K420" s="9" t="n">
        <v>-1.15</v>
      </c>
      <c r="L420" s="9" t="n">
        <v>1.15</v>
      </c>
      <c r="M420" s="8" t="n">
        <v>1</v>
      </c>
      <c r="N420" s="8" t="inlineStr">
        <is>
          <t>1x I-260 ยาว 22 ม.</t>
        </is>
      </c>
      <c r="O420" s="8">
        <f>F420*G420*H420</f>
        <v/>
      </c>
      <c r="P420" s="8">
        <f>2*(F420+G420)*H420</f>
        <v/>
      </c>
      <c r="Q420" s="8">
        <f>IF(L420&gt;0,(F420+2*0.1)*(G420+2*0.1)*L420,0)</f>
        <v/>
      </c>
      <c r="R420" s="8">
        <f>(F420+0.2)*(G420+0.2)*0.1</f>
        <v/>
      </c>
      <c r="S420" s="8">
        <f>(F420+0.2)*(G420+0.2)*0.05</f>
        <v/>
      </c>
      <c r="T420" s="8">
        <f>INDEX('2-ฐานราก เหล็กเสริม'!$S:$S,MATCH(B420,'2-ฐานราก เหล็กเสริม'!$A:$A,0))</f>
        <v/>
      </c>
      <c r="U420" s="8" t="inlineStr">
        <is>
          <t>M44</t>
        </is>
      </c>
      <c r="V420" s="10" t="inlineStr">
        <is>
          <t>แบบ S201 (ตำแหน่ง) / ระดับรอยืนยัน</t>
        </is>
      </c>
    </row>
    <row r="421">
      <c r="A421" s="8" t="inlineStr">
        <is>
          <t>F1A-001</t>
        </is>
      </c>
      <c r="B421" s="8" t="inlineStr">
        <is>
          <t>F1A</t>
        </is>
      </c>
      <c r="C421" s="8" t="inlineStr">
        <is>
          <t>1+2.49/A-11.99</t>
        </is>
      </c>
      <c r="D421" s="9" t="n">
        <v>2.486</v>
      </c>
      <c r="E421" s="9" t="n">
        <v>-11.994</v>
      </c>
      <c r="F421" s="9" t="n">
        <v>0.6</v>
      </c>
      <c r="G421" s="9" t="n">
        <v>0.6</v>
      </c>
      <c r="H421" s="9" t="n">
        <v>0.3</v>
      </c>
      <c r="I421" s="9" t="n">
        <v>-0.15</v>
      </c>
      <c r="J421" s="9" t="n">
        <v>-0.45</v>
      </c>
      <c r="K421" s="9" t="n">
        <v>-0.6</v>
      </c>
      <c r="L421" s="9" t="n">
        <v>0.6</v>
      </c>
      <c r="M421" s="8" t="n">
        <v>1</v>
      </c>
      <c r="N421" s="8" t="inlineStr">
        <is>
          <t>1x I-220 ยาว 22 ม.</t>
        </is>
      </c>
      <c r="O421" s="8">
        <f>F421*G421*H421</f>
        <v/>
      </c>
      <c r="P421" s="8">
        <f>2*(F421+G421)*H421</f>
        <v/>
      </c>
      <c r="Q421" s="8">
        <f>IF(L421&gt;0,(F421+2*0.1)*(G421+2*0.1)*L421,0)</f>
        <v/>
      </c>
      <c r="R421" s="8">
        <f>(F421+0.2)*(G421+0.2)*0.1</f>
        <v/>
      </c>
      <c r="S421" s="8">
        <f>(F421+0.2)*(G421+0.2)*0.05</f>
        <v/>
      </c>
      <c r="T421" s="8">
        <f>INDEX('2-ฐานราก เหล็กเสริม'!$S:$S,MATCH(B421,'2-ฐานราก เหล็กเสริม'!$A:$A,0))</f>
        <v/>
      </c>
      <c r="U421" s="8" t="inlineStr">
        <is>
          <t>M41</t>
        </is>
      </c>
      <c r="V421" s="10" t="inlineStr">
        <is>
          <t>แบบ S201 (ตำแหน่ง) / ระดับรอยืนยัน</t>
        </is>
      </c>
    </row>
    <row r="422">
      <c r="A422" s="8" t="inlineStr">
        <is>
          <t>F1A-002</t>
        </is>
      </c>
      <c r="B422" s="8" t="inlineStr">
        <is>
          <t>F1A</t>
        </is>
      </c>
      <c r="C422" s="8" t="inlineStr">
        <is>
          <t>2-1.51/A-11.99</t>
        </is>
      </c>
      <c r="D422" s="9" t="n">
        <v>4.492</v>
      </c>
      <c r="E422" s="9" t="n">
        <v>-11.994</v>
      </c>
      <c r="F422" s="9" t="n">
        <v>0.6</v>
      </c>
      <c r="G422" s="9" t="n">
        <v>0.6</v>
      </c>
      <c r="H422" s="9" t="n">
        <v>0.3</v>
      </c>
      <c r="I422" s="9" t="n">
        <v>-0.15</v>
      </c>
      <c r="J422" s="9" t="n">
        <v>-0.45</v>
      </c>
      <c r="K422" s="9" t="n">
        <v>-0.6</v>
      </c>
      <c r="L422" s="9" t="n">
        <v>0.6</v>
      </c>
      <c r="M422" s="8" t="n">
        <v>1</v>
      </c>
      <c r="N422" s="8" t="inlineStr">
        <is>
          <t>1x I-220 ยาว 22 ม.</t>
        </is>
      </c>
      <c r="O422" s="8">
        <f>F422*G422*H422</f>
        <v/>
      </c>
      <c r="P422" s="8">
        <f>2*(F422+G422)*H422</f>
        <v/>
      </c>
      <c r="Q422" s="8">
        <f>IF(L422&gt;0,(F422+2*0.1)*(G422+2*0.1)*L422,0)</f>
        <v/>
      </c>
      <c r="R422" s="8">
        <f>(F422+0.2)*(G422+0.2)*0.1</f>
        <v/>
      </c>
      <c r="S422" s="8">
        <f>(F422+0.2)*(G422+0.2)*0.05</f>
        <v/>
      </c>
      <c r="T422" s="8">
        <f>INDEX('2-ฐานราก เหล็กเสริม'!$S:$S,MATCH(B422,'2-ฐานราก เหล็กเสริม'!$A:$A,0))</f>
        <v/>
      </c>
      <c r="U422" s="8" t="inlineStr">
        <is>
          <t>M41</t>
        </is>
      </c>
      <c r="V422" s="10" t="inlineStr">
        <is>
          <t>แบบ S201 (ตำแหน่ง) / ระดับรอยืนยัน</t>
        </is>
      </c>
    </row>
    <row r="423">
      <c r="A423" s="8" t="inlineStr">
        <is>
          <t>F1A-003</t>
        </is>
      </c>
      <c r="B423" s="8" t="inlineStr">
        <is>
          <t>F1A</t>
        </is>
      </c>
      <c r="C423" s="8" t="inlineStr">
        <is>
          <t>2+1.48/A-11.99</t>
        </is>
      </c>
      <c r="D423" s="9" t="n">
        <v>7.484</v>
      </c>
      <c r="E423" s="9" t="n">
        <v>-11.994</v>
      </c>
      <c r="F423" s="9" t="n">
        <v>0.6</v>
      </c>
      <c r="G423" s="9" t="n">
        <v>0.6</v>
      </c>
      <c r="H423" s="9" t="n">
        <v>0.3</v>
      </c>
      <c r="I423" s="9" t="n">
        <v>-0.15</v>
      </c>
      <c r="J423" s="9" t="n">
        <v>-0.45</v>
      </c>
      <c r="K423" s="9" t="n">
        <v>-0.6</v>
      </c>
      <c r="L423" s="9" t="n">
        <v>0.6</v>
      </c>
      <c r="M423" s="8" t="n">
        <v>1</v>
      </c>
      <c r="N423" s="8" t="inlineStr">
        <is>
          <t>1x I-220 ยาว 22 ม.</t>
        </is>
      </c>
      <c r="O423" s="8">
        <f>F423*G423*H423</f>
        <v/>
      </c>
      <c r="P423" s="8">
        <f>2*(F423+G423)*H423</f>
        <v/>
      </c>
      <c r="Q423" s="8">
        <f>IF(L423&gt;0,(F423+2*0.1)*(G423+2*0.1)*L423,0)</f>
        <v/>
      </c>
      <c r="R423" s="8">
        <f>(F423+0.2)*(G423+0.2)*0.1</f>
        <v/>
      </c>
      <c r="S423" s="8">
        <f>(F423+0.2)*(G423+0.2)*0.05</f>
        <v/>
      </c>
      <c r="T423" s="8">
        <f>INDEX('2-ฐานราก เหล็กเสริม'!$S:$S,MATCH(B423,'2-ฐานราก เหล็กเสริม'!$A:$A,0))</f>
        <v/>
      </c>
      <c r="U423" s="8" t="inlineStr">
        <is>
          <t>M41</t>
        </is>
      </c>
      <c r="V423" s="10" t="inlineStr">
        <is>
          <t>แบบ S201 (ตำแหน่ง) / ระดับรอยืนยัน</t>
        </is>
      </c>
    </row>
    <row r="424">
      <c r="A424" s="8" t="inlineStr">
        <is>
          <t>F1A-004</t>
        </is>
      </c>
      <c r="B424" s="8" t="inlineStr">
        <is>
          <t>F1A</t>
        </is>
      </c>
      <c r="C424" s="8" t="inlineStr">
        <is>
          <t>3-1.51/A-11.99</t>
        </is>
      </c>
      <c r="D424" s="9" t="n">
        <v>10.49</v>
      </c>
      <c r="E424" s="9" t="n">
        <v>-11.994</v>
      </c>
      <c r="F424" s="9" t="n">
        <v>0.6</v>
      </c>
      <c r="G424" s="9" t="n">
        <v>0.6</v>
      </c>
      <c r="H424" s="9" t="n">
        <v>0.3</v>
      </c>
      <c r="I424" s="9" t="n">
        <v>-0.15</v>
      </c>
      <c r="J424" s="9" t="n">
        <v>-0.45</v>
      </c>
      <c r="K424" s="9" t="n">
        <v>-0.6</v>
      </c>
      <c r="L424" s="9" t="n">
        <v>0.6</v>
      </c>
      <c r="M424" s="8" t="n">
        <v>1</v>
      </c>
      <c r="N424" s="8" t="inlineStr">
        <is>
          <t>1x I-220 ยาว 22 ม.</t>
        </is>
      </c>
      <c r="O424" s="8">
        <f>F424*G424*H424</f>
        <v/>
      </c>
      <c r="P424" s="8">
        <f>2*(F424+G424)*H424</f>
        <v/>
      </c>
      <c r="Q424" s="8">
        <f>IF(L424&gt;0,(F424+2*0.1)*(G424+2*0.1)*L424,0)</f>
        <v/>
      </c>
      <c r="R424" s="8">
        <f>(F424+0.2)*(G424+0.2)*0.1</f>
        <v/>
      </c>
      <c r="S424" s="8">
        <f>(F424+0.2)*(G424+0.2)*0.05</f>
        <v/>
      </c>
      <c r="T424" s="8">
        <f>INDEX('2-ฐานราก เหล็กเสริม'!$S:$S,MATCH(B424,'2-ฐานราก เหล็กเสริม'!$A:$A,0))</f>
        <v/>
      </c>
      <c r="U424" s="8" t="inlineStr">
        <is>
          <t>M41</t>
        </is>
      </c>
      <c r="V424" s="10" t="inlineStr">
        <is>
          <t>แบบ S201 (ตำแหน่ง) / ระดับรอยืนยัน</t>
        </is>
      </c>
    </row>
    <row r="425">
      <c r="A425" s="8" t="inlineStr">
        <is>
          <t>F1A-005</t>
        </is>
      </c>
      <c r="B425" s="8" t="inlineStr">
        <is>
          <t>F1A</t>
        </is>
      </c>
      <c r="C425" s="8" t="inlineStr">
        <is>
          <t>3+1.49/A-11.49</t>
        </is>
      </c>
      <c r="D425" s="9" t="n">
        <v>13.488</v>
      </c>
      <c r="E425" s="9" t="n">
        <v>-11.491</v>
      </c>
      <c r="F425" s="9" t="n">
        <v>0.6</v>
      </c>
      <c r="G425" s="9" t="n">
        <v>0.6</v>
      </c>
      <c r="H425" s="9" t="n">
        <v>0.3</v>
      </c>
      <c r="I425" s="9" t="n">
        <v>-0.15</v>
      </c>
      <c r="J425" s="9" t="n">
        <v>-0.45</v>
      </c>
      <c r="K425" s="9" t="n">
        <v>-0.6</v>
      </c>
      <c r="L425" s="9" t="n">
        <v>0.6</v>
      </c>
      <c r="M425" s="8" t="n">
        <v>1</v>
      </c>
      <c r="N425" s="8" t="inlineStr">
        <is>
          <t>1x I-220 ยาว 22 ม.</t>
        </is>
      </c>
      <c r="O425" s="8">
        <f>F425*G425*H425</f>
        <v/>
      </c>
      <c r="P425" s="8">
        <f>2*(F425+G425)*H425</f>
        <v/>
      </c>
      <c r="Q425" s="8">
        <f>IF(L425&gt;0,(F425+2*0.1)*(G425+2*0.1)*L425,0)</f>
        <v/>
      </c>
      <c r="R425" s="8">
        <f>(F425+0.2)*(G425+0.2)*0.1</f>
        <v/>
      </c>
      <c r="S425" s="8">
        <f>(F425+0.2)*(G425+0.2)*0.05</f>
        <v/>
      </c>
      <c r="T425" s="8">
        <f>INDEX('2-ฐานราก เหล็กเสริม'!$S:$S,MATCH(B425,'2-ฐานราก เหล็กเสริม'!$A:$A,0))</f>
        <v/>
      </c>
      <c r="U425" s="8" t="inlineStr">
        <is>
          <t>M41</t>
        </is>
      </c>
      <c r="V425" s="10" t="inlineStr">
        <is>
          <t>แบบ S201 (ตำแหน่ง) / ระดับรอยืนยัน</t>
        </is>
      </c>
    </row>
    <row r="426">
      <c r="A426" s="8" t="inlineStr">
        <is>
          <t>F1A-006</t>
        </is>
      </c>
      <c r="B426" s="8" t="inlineStr">
        <is>
          <t>F1A</t>
        </is>
      </c>
      <c r="C426" s="8" t="inlineStr">
        <is>
          <t>4-1.51/A-11.49</t>
        </is>
      </c>
      <c r="D426" s="9" t="n">
        <v>16.487</v>
      </c>
      <c r="E426" s="9" t="n">
        <v>-11.491</v>
      </c>
      <c r="F426" s="9" t="n">
        <v>0.6</v>
      </c>
      <c r="G426" s="9" t="n">
        <v>0.6</v>
      </c>
      <c r="H426" s="9" t="n">
        <v>0.3</v>
      </c>
      <c r="I426" s="9" t="n">
        <v>-0.15</v>
      </c>
      <c r="J426" s="9" t="n">
        <v>-0.45</v>
      </c>
      <c r="K426" s="9" t="n">
        <v>-0.6</v>
      </c>
      <c r="L426" s="9" t="n">
        <v>0.6</v>
      </c>
      <c r="M426" s="8" t="n">
        <v>1</v>
      </c>
      <c r="N426" s="8" t="inlineStr">
        <is>
          <t>1x I-220 ยาว 22 ม.</t>
        </is>
      </c>
      <c r="O426" s="8">
        <f>F426*G426*H426</f>
        <v/>
      </c>
      <c r="P426" s="8">
        <f>2*(F426+G426)*H426</f>
        <v/>
      </c>
      <c r="Q426" s="8">
        <f>IF(L426&gt;0,(F426+2*0.1)*(G426+2*0.1)*L426,0)</f>
        <v/>
      </c>
      <c r="R426" s="8">
        <f>(F426+0.2)*(G426+0.2)*0.1</f>
        <v/>
      </c>
      <c r="S426" s="8">
        <f>(F426+0.2)*(G426+0.2)*0.05</f>
        <v/>
      </c>
      <c r="T426" s="8">
        <f>INDEX('2-ฐานราก เหล็กเสริม'!$S:$S,MATCH(B426,'2-ฐานราก เหล็กเสริม'!$A:$A,0))</f>
        <v/>
      </c>
      <c r="U426" s="8" t="inlineStr">
        <is>
          <t>M41</t>
        </is>
      </c>
      <c r="V426" s="10" t="inlineStr">
        <is>
          <t>แบบ S201 (ตำแหน่ง) / ระดับรอยืนยัน</t>
        </is>
      </c>
    </row>
    <row r="427">
      <c r="A427" s="8" t="inlineStr">
        <is>
          <t>F1A-007</t>
        </is>
      </c>
      <c r="B427" s="8" t="inlineStr">
        <is>
          <t>F1A</t>
        </is>
      </c>
      <c r="C427" s="8" t="inlineStr">
        <is>
          <t>4+1.49/A-10.49</t>
        </is>
      </c>
      <c r="D427" s="9" t="n">
        <v>19.493</v>
      </c>
      <c r="E427" s="9" t="n">
        <v>-10.491</v>
      </c>
      <c r="F427" s="9" t="n">
        <v>0.6</v>
      </c>
      <c r="G427" s="9" t="n">
        <v>0.6</v>
      </c>
      <c r="H427" s="9" t="n">
        <v>0.3</v>
      </c>
      <c r="I427" s="9" t="n">
        <v>-0.15</v>
      </c>
      <c r="J427" s="9" t="n">
        <v>-0.45</v>
      </c>
      <c r="K427" s="9" t="n">
        <v>-0.6</v>
      </c>
      <c r="L427" s="9" t="n">
        <v>0.6</v>
      </c>
      <c r="M427" s="8" t="n">
        <v>1</v>
      </c>
      <c r="N427" s="8" t="inlineStr">
        <is>
          <t>1x I-220 ยาว 22 ม.</t>
        </is>
      </c>
      <c r="O427" s="8">
        <f>F427*G427*H427</f>
        <v/>
      </c>
      <c r="P427" s="8">
        <f>2*(F427+G427)*H427</f>
        <v/>
      </c>
      <c r="Q427" s="8">
        <f>IF(L427&gt;0,(F427+2*0.1)*(G427+2*0.1)*L427,0)</f>
        <v/>
      </c>
      <c r="R427" s="8">
        <f>(F427+0.2)*(G427+0.2)*0.1</f>
        <v/>
      </c>
      <c r="S427" s="8">
        <f>(F427+0.2)*(G427+0.2)*0.05</f>
        <v/>
      </c>
      <c r="T427" s="8">
        <f>INDEX('2-ฐานราก เหล็กเสริม'!$S:$S,MATCH(B427,'2-ฐานราก เหล็กเสริม'!$A:$A,0))</f>
        <v/>
      </c>
      <c r="U427" s="8" t="inlineStr">
        <is>
          <t>M41</t>
        </is>
      </c>
      <c r="V427" s="10" t="inlineStr">
        <is>
          <t>แบบ S201 (ตำแหน่ง) / ระดับรอยืนยัน</t>
        </is>
      </c>
    </row>
    <row r="428">
      <c r="A428" s="8" t="inlineStr">
        <is>
          <t>F1A-008</t>
        </is>
      </c>
      <c r="B428" s="8" t="inlineStr">
        <is>
          <t>F1A</t>
        </is>
      </c>
      <c r="C428" s="8" t="inlineStr">
        <is>
          <t>5-1.51/A-10.49</t>
        </is>
      </c>
      <c r="D428" s="9" t="n">
        <v>22.491</v>
      </c>
      <c r="E428" s="9" t="n">
        <v>-10.491</v>
      </c>
      <c r="F428" s="9" t="n">
        <v>0.6</v>
      </c>
      <c r="G428" s="9" t="n">
        <v>0.6</v>
      </c>
      <c r="H428" s="9" t="n">
        <v>0.3</v>
      </c>
      <c r="I428" s="9" t="n">
        <v>-0.15</v>
      </c>
      <c r="J428" s="9" t="n">
        <v>-0.45</v>
      </c>
      <c r="K428" s="9" t="n">
        <v>-0.6</v>
      </c>
      <c r="L428" s="9" t="n">
        <v>0.6</v>
      </c>
      <c r="M428" s="8" t="n">
        <v>1</v>
      </c>
      <c r="N428" s="8" t="inlineStr">
        <is>
          <t>1x I-220 ยาว 22 ม.</t>
        </is>
      </c>
      <c r="O428" s="8">
        <f>F428*G428*H428</f>
        <v/>
      </c>
      <c r="P428" s="8">
        <f>2*(F428+G428)*H428</f>
        <v/>
      </c>
      <c r="Q428" s="8">
        <f>IF(L428&gt;0,(F428+2*0.1)*(G428+2*0.1)*L428,0)</f>
        <v/>
      </c>
      <c r="R428" s="8">
        <f>(F428+0.2)*(G428+0.2)*0.1</f>
        <v/>
      </c>
      <c r="S428" s="8">
        <f>(F428+0.2)*(G428+0.2)*0.05</f>
        <v/>
      </c>
      <c r="T428" s="8">
        <f>INDEX('2-ฐานราก เหล็กเสริม'!$S:$S,MATCH(B428,'2-ฐานราก เหล็กเสริม'!$A:$A,0))</f>
        <v/>
      </c>
      <c r="U428" s="8" t="inlineStr">
        <is>
          <t>M41</t>
        </is>
      </c>
      <c r="V428" s="10" t="inlineStr">
        <is>
          <t>แบบ S201 (ตำแหน่ง) / ระดับรอยืนยัน</t>
        </is>
      </c>
    </row>
    <row r="429">
      <c r="A429" s="8" t="inlineStr">
        <is>
          <t>F1A-009</t>
        </is>
      </c>
      <c r="B429" s="8" t="inlineStr">
        <is>
          <t>F1A</t>
        </is>
      </c>
      <c r="C429" s="8" t="inlineStr">
        <is>
          <t>5+1.49/A-10.49</t>
        </is>
      </c>
      <c r="D429" s="9" t="n">
        <v>25.49</v>
      </c>
      <c r="E429" s="9" t="n">
        <v>-10.491</v>
      </c>
      <c r="F429" s="9" t="n">
        <v>0.6</v>
      </c>
      <c r="G429" s="9" t="n">
        <v>0.6</v>
      </c>
      <c r="H429" s="9" t="n">
        <v>0.3</v>
      </c>
      <c r="I429" s="9" t="n">
        <v>-0.15</v>
      </c>
      <c r="J429" s="9" t="n">
        <v>-0.45</v>
      </c>
      <c r="K429" s="9" t="n">
        <v>-0.6</v>
      </c>
      <c r="L429" s="9" t="n">
        <v>0.6</v>
      </c>
      <c r="M429" s="8" t="n">
        <v>1</v>
      </c>
      <c r="N429" s="8" t="inlineStr">
        <is>
          <t>1x I-220 ยาว 22 ม.</t>
        </is>
      </c>
      <c r="O429" s="8">
        <f>F429*G429*H429</f>
        <v/>
      </c>
      <c r="P429" s="8">
        <f>2*(F429+G429)*H429</f>
        <v/>
      </c>
      <c r="Q429" s="8">
        <f>IF(L429&gt;0,(F429+2*0.1)*(G429+2*0.1)*L429,0)</f>
        <v/>
      </c>
      <c r="R429" s="8">
        <f>(F429+0.2)*(G429+0.2)*0.1</f>
        <v/>
      </c>
      <c r="S429" s="8">
        <f>(F429+0.2)*(G429+0.2)*0.05</f>
        <v/>
      </c>
      <c r="T429" s="8">
        <f>INDEX('2-ฐานราก เหล็กเสริม'!$S:$S,MATCH(B429,'2-ฐานราก เหล็กเสริม'!$A:$A,0))</f>
        <v/>
      </c>
      <c r="U429" s="8" t="inlineStr">
        <is>
          <t>M41</t>
        </is>
      </c>
      <c r="V429" s="10" t="inlineStr">
        <is>
          <t>แบบ S201 (ตำแหน่ง) / ระดับรอยืนยัน</t>
        </is>
      </c>
    </row>
    <row r="430">
      <c r="A430" s="8" t="inlineStr">
        <is>
          <t>F1A-010</t>
        </is>
      </c>
      <c r="B430" s="8" t="inlineStr">
        <is>
          <t>F1A</t>
        </is>
      </c>
      <c r="C430" s="8" t="inlineStr">
        <is>
          <t>6-1.51/A-10.49</t>
        </is>
      </c>
      <c r="D430" s="9" t="n">
        <v>28.489</v>
      </c>
      <c r="E430" s="9" t="n">
        <v>-10.491</v>
      </c>
      <c r="F430" s="9" t="n">
        <v>0.6</v>
      </c>
      <c r="G430" s="9" t="n">
        <v>0.6</v>
      </c>
      <c r="H430" s="9" t="n">
        <v>0.3</v>
      </c>
      <c r="I430" s="9" t="n">
        <v>-0.15</v>
      </c>
      <c r="J430" s="9" t="n">
        <v>-0.45</v>
      </c>
      <c r="K430" s="9" t="n">
        <v>-0.6</v>
      </c>
      <c r="L430" s="9" t="n">
        <v>0.6</v>
      </c>
      <c r="M430" s="8" t="n">
        <v>1</v>
      </c>
      <c r="N430" s="8" t="inlineStr">
        <is>
          <t>1x I-220 ยาว 22 ม.</t>
        </is>
      </c>
      <c r="O430" s="8">
        <f>F430*G430*H430</f>
        <v/>
      </c>
      <c r="P430" s="8">
        <f>2*(F430+G430)*H430</f>
        <v/>
      </c>
      <c r="Q430" s="8">
        <f>IF(L430&gt;0,(F430+2*0.1)*(G430+2*0.1)*L430,0)</f>
        <v/>
      </c>
      <c r="R430" s="8">
        <f>(F430+0.2)*(G430+0.2)*0.1</f>
        <v/>
      </c>
      <c r="S430" s="8">
        <f>(F430+0.2)*(G430+0.2)*0.05</f>
        <v/>
      </c>
      <c r="T430" s="8">
        <f>INDEX('2-ฐานราก เหล็กเสริม'!$S:$S,MATCH(B430,'2-ฐานราก เหล็กเสริม'!$A:$A,0))</f>
        <v/>
      </c>
      <c r="U430" s="8" t="inlineStr">
        <is>
          <t>M41</t>
        </is>
      </c>
      <c r="V430" s="10" t="inlineStr">
        <is>
          <t>แบบ S201 (ตำแหน่ง) / ระดับรอยืนยัน</t>
        </is>
      </c>
    </row>
    <row r="431">
      <c r="A431" s="8" t="inlineStr">
        <is>
          <t>F1A-011</t>
        </is>
      </c>
      <c r="B431" s="8" t="inlineStr">
        <is>
          <t>F1A</t>
        </is>
      </c>
      <c r="C431" s="8" t="inlineStr">
        <is>
          <t>6+1.49/A-9.99</t>
        </is>
      </c>
      <c r="D431" s="9" t="n">
        <v>31.488</v>
      </c>
      <c r="E431" s="9" t="n">
        <v>-9.994999999999999</v>
      </c>
      <c r="F431" s="9" t="n">
        <v>0.6</v>
      </c>
      <c r="G431" s="9" t="n">
        <v>0.6</v>
      </c>
      <c r="H431" s="9" t="n">
        <v>0.3</v>
      </c>
      <c r="I431" s="9" t="n">
        <v>-0.15</v>
      </c>
      <c r="J431" s="9" t="n">
        <v>-0.45</v>
      </c>
      <c r="K431" s="9" t="n">
        <v>-0.6</v>
      </c>
      <c r="L431" s="9" t="n">
        <v>0.6</v>
      </c>
      <c r="M431" s="8" t="n">
        <v>1</v>
      </c>
      <c r="N431" s="8" t="inlineStr">
        <is>
          <t>1x I-220 ยาว 22 ม.</t>
        </is>
      </c>
      <c r="O431" s="8">
        <f>F431*G431*H431</f>
        <v/>
      </c>
      <c r="P431" s="8">
        <f>2*(F431+G431)*H431</f>
        <v/>
      </c>
      <c r="Q431" s="8">
        <f>IF(L431&gt;0,(F431+2*0.1)*(G431+2*0.1)*L431,0)</f>
        <v/>
      </c>
      <c r="R431" s="8">
        <f>(F431+0.2)*(G431+0.2)*0.1</f>
        <v/>
      </c>
      <c r="S431" s="8">
        <f>(F431+0.2)*(G431+0.2)*0.05</f>
        <v/>
      </c>
      <c r="T431" s="8">
        <f>INDEX('2-ฐานราก เหล็กเสริม'!$S:$S,MATCH(B431,'2-ฐานราก เหล็กเสริม'!$A:$A,0))</f>
        <v/>
      </c>
      <c r="U431" s="8" t="inlineStr">
        <is>
          <t>M41</t>
        </is>
      </c>
      <c r="V431" s="10" t="inlineStr">
        <is>
          <t>แบบ S201 (ตำแหน่ง) / ระดับรอยืนยัน</t>
        </is>
      </c>
    </row>
    <row r="432">
      <c r="A432" s="8" t="inlineStr">
        <is>
          <t>F1A-012</t>
        </is>
      </c>
      <c r="B432" s="8" t="inlineStr">
        <is>
          <t>F1A</t>
        </is>
      </c>
      <c r="C432" s="8" t="inlineStr">
        <is>
          <t>7-1.51/A-9.99</t>
        </is>
      </c>
      <c r="D432" s="9" t="n">
        <v>34.493</v>
      </c>
      <c r="E432" s="9" t="n">
        <v>-9.994999999999999</v>
      </c>
      <c r="F432" s="9" t="n">
        <v>0.6</v>
      </c>
      <c r="G432" s="9" t="n">
        <v>0.6</v>
      </c>
      <c r="H432" s="9" t="n">
        <v>0.3</v>
      </c>
      <c r="I432" s="9" t="n">
        <v>-0.15</v>
      </c>
      <c r="J432" s="9" t="n">
        <v>-0.45</v>
      </c>
      <c r="K432" s="9" t="n">
        <v>-0.6</v>
      </c>
      <c r="L432" s="9" t="n">
        <v>0.6</v>
      </c>
      <c r="M432" s="8" t="n">
        <v>1</v>
      </c>
      <c r="N432" s="8" t="inlineStr">
        <is>
          <t>1x I-220 ยาว 22 ม.</t>
        </is>
      </c>
      <c r="O432" s="8">
        <f>F432*G432*H432</f>
        <v/>
      </c>
      <c r="P432" s="8">
        <f>2*(F432+G432)*H432</f>
        <v/>
      </c>
      <c r="Q432" s="8">
        <f>IF(L432&gt;0,(F432+2*0.1)*(G432+2*0.1)*L432,0)</f>
        <v/>
      </c>
      <c r="R432" s="8">
        <f>(F432+0.2)*(G432+0.2)*0.1</f>
        <v/>
      </c>
      <c r="S432" s="8">
        <f>(F432+0.2)*(G432+0.2)*0.05</f>
        <v/>
      </c>
      <c r="T432" s="8">
        <f>INDEX('2-ฐานราก เหล็กเสริม'!$S:$S,MATCH(B432,'2-ฐานราก เหล็กเสริม'!$A:$A,0))</f>
        <v/>
      </c>
      <c r="U432" s="8" t="inlineStr">
        <is>
          <t>M41</t>
        </is>
      </c>
      <c r="V432" s="10" t="inlineStr">
        <is>
          <t>แบบ S201 (ตำแหน่ง) / ระดับรอยืนยัน</t>
        </is>
      </c>
    </row>
    <row r="433">
      <c r="A433" s="8" t="inlineStr">
        <is>
          <t>F1A-013</t>
        </is>
      </c>
      <c r="B433" s="8" t="inlineStr">
        <is>
          <t>F1A</t>
        </is>
      </c>
      <c r="C433" s="8" t="inlineStr">
        <is>
          <t>7+1.49/A-9.09</t>
        </is>
      </c>
      <c r="D433" s="9" t="n">
        <v>37.492</v>
      </c>
      <c r="E433" s="9" t="n">
        <v>-9.093999999999999</v>
      </c>
      <c r="F433" s="9" t="n">
        <v>0.6</v>
      </c>
      <c r="G433" s="9" t="n">
        <v>0.6</v>
      </c>
      <c r="H433" s="9" t="n">
        <v>0.3</v>
      </c>
      <c r="I433" s="9" t="n">
        <v>-0.15</v>
      </c>
      <c r="J433" s="9" t="n">
        <v>-0.45</v>
      </c>
      <c r="K433" s="9" t="n">
        <v>-0.6</v>
      </c>
      <c r="L433" s="9" t="n">
        <v>0.6</v>
      </c>
      <c r="M433" s="8" t="n">
        <v>1</v>
      </c>
      <c r="N433" s="8" t="inlineStr">
        <is>
          <t>1x I-220 ยาว 22 ม.</t>
        </is>
      </c>
      <c r="O433" s="8">
        <f>F433*G433*H433</f>
        <v/>
      </c>
      <c r="P433" s="8">
        <f>2*(F433+G433)*H433</f>
        <v/>
      </c>
      <c r="Q433" s="8">
        <f>IF(L433&gt;0,(F433+2*0.1)*(G433+2*0.1)*L433,0)</f>
        <v/>
      </c>
      <c r="R433" s="8">
        <f>(F433+0.2)*(G433+0.2)*0.1</f>
        <v/>
      </c>
      <c r="S433" s="8">
        <f>(F433+0.2)*(G433+0.2)*0.05</f>
        <v/>
      </c>
      <c r="T433" s="8">
        <f>INDEX('2-ฐานราก เหล็กเสริม'!$S:$S,MATCH(B433,'2-ฐานราก เหล็กเสริม'!$A:$A,0))</f>
        <v/>
      </c>
      <c r="U433" s="8" t="inlineStr">
        <is>
          <t>M41</t>
        </is>
      </c>
      <c r="V433" s="10" t="inlineStr">
        <is>
          <t>แบบ S201 (ตำแหน่ง) / ระดับรอยืนยัน</t>
        </is>
      </c>
    </row>
    <row r="434">
      <c r="A434" s="8" t="inlineStr">
        <is>
          <t>F1A-014</t>
        </is>
      </c>
      <c r="B434" s="8" t="inlineStr">
        <is>
          <t>F1A</t>
        </is>
      </c>
      <c r="C434" s="8" t="inlineStr">
        <is>
          <t>8-1.51/A-9.09</t>
        </is>
      </c>
      <c r="D434" s="9" t="n">
        <v>40.491</v>
      </c>
      <c r="E434" s="9" t="n">
        <v>-9.093999999999999</v>
      </c>
      <c r="F434" s="9" t="n">
        <v>0.6</v>
      </c>
      <c r="G434" s="9" t="n">
        <v>0.6</v>
      </c>
      <c r="H434" s="9" t="n">
        <v>0.3</v>
      </c>
      <c r="I434" s="9" t="n">
        <v>-0.15</v>
      </c>
      <c r="J434" s="9" t="n">
        <v>-0.45</v>
      </c>
      <c r="K434" s="9" t="n">
        <v>-0.6</v>
      </c>
      <c r="L434" s="9" t="n">
        <v>0.6</v>
      </c>
      <c r="M434" s="8" t="n">
        <v>1</v>
      </c>
      <c r="N434" s="8" t="inlineStr">
        <is>
          <t>1x I-220 ยาว 22 ม.</t>
        </is>
      </c>
      <c r="O434" s="8">
        <f>F434*G434*H434</f>
        <v/>
      </c>
      <c r="P434" s="8">
        <f>2*(F434+G434)*H434</f>
        <v/>
      </c>
      <c r="Q434" s="8">
        <f>IF(L434&gt;0,(F434+2*0.1)*(G434+2*0.1)*L434,0)</f>
        <v/>
      </c>
      <c r="R434" s="8">
        <f>(F434+0.2)*(G434+0.2)*0.1</f>
        <v/>
      </c>
      <c r="S434" s="8">
        <f>(F434+0.2)*(G434+0.2)*0.05</f>
        <v/>
      </c>
      <c r="T434" s="8">
        <f>INDEX('2-ฐานราก เหล็กเสริม'!$S:$S,MATCH(B434,'2-ฐานราก เหล็กเสริม'!$A:$A,0))</f>
        <v/>
      </c>
      <c r="U434" s="8" t="inlineStr">
        <is>
          <t>M41</t>
        </is>
      </c>
      <c r="V434" s="10" t="inlineStr">
        <is>
          <t>แบบ S201 (ตำแหน่ง) / ระดับรอยืนยัน</t>
        </is>
      </c>
    </row>
    <row r="435">
      <c r="A435" s="8" t="inlineStr">
        <is>
          <t>F1A-015</t>
        </is>
      </c>
      <c r="B435" s="8" t="inlineStr">
        <is>
          <t>F1A</t>
        </is>
      </c>
      <c r="C435" s="8" t="inlineStr">
        <is>
          <t>8+1.49/A-9.09</t>
        </is>
      </c>
      <c r="D435" s="9" t="n">
        <v>43.49</v>
      </c>
      <c r="E435" s="9" t="n">
        <v>-9.093999999999999</v>
      </c>
      <c r="F435" s="9" t="n">
        <v>0.6</v>
      </c>
      <c r="G435" s="9" t="n">
        <v>0.6</v>
      </c>
      <c r="H435" s="9" t="n">
        <v>0.3</v>
      </c>
      <c r="I435" s="9" t="n">
        <v>-0.15</v>
      </c>
      <c r="J435" s="9" t="n">
        <v>-0.45</v>
      </c>
      <c r="K435" s="9" t="n">
        <v>-0.6</v>
      </c>
      <c r="L435" s="9" t="n">
        <v>0.6</v>
      </c>
      <c r="M435" s="8" t="n">
        <v>1</v>
      </c>
      <c r="N435" s="8" t="inlineStr">
        <is>
          <t>1x I-220 ยาว 22 ม.</t>
        </is>
      </c>
      <c r="O435" s="8">
        <f>F435*G435*H435</f>
        <v/>
      </c>
      <c r="P435" s="8">
        <f>2*(F435+G435)*H435</f>
        <v/>
      </c>
      <c r="Q435" s="8">
        <f>IF(L435&gt;0,(F435+2*0.1)*(G435+2*0.1)*L435,0)</f>
        <v/>
      </c>
      <c r="R435" s="8">
        <f>(F435+0.2)*(G435+0.2)*0.1</f>
        <v/>
      </c>
      <c r="S435" s="8">
        <f>(F435+0.2)*(G435+0.2)*0.05</f>
        <v/>
      </c>
      <c r="T435" s="8">
        <f>INDEX('2-ฐานราก เหล็กเสริม'!$S:$S,MATCH(B435,'2-ฐานราก เหล็กเสริม'!$A:$A,0))</f>
        <v/>
      </c>
      <c r="U435" s="8" t="inlineStr">
        <is>
          <t>M41</t>
        </is>
      </c>
      <c r="V435" s="10" t="inlineStr">
        <is>
          <t>แบบ S201 (ตำแหน่ง) / ระดับรอยืนยัน</t>
        </is>
      </c>
    </row>
    <row r="436">
      <c r="A436" s="8" t="inlineStr">
        <is>
          <t>F1A-016</t>
        </is>
      </c>
      <c r="B436" s="8" t="inlineStr">
        <is>
          <t>F1A</t>
        </is>
      </c>
      <c r="C436" s="8" t="inlineStr">
        <is>
          <t>9-1.51/A-9.09</t>
        </is>
      </c>
      <c r="D436" s="9" t="n">
        <v>46.488</v>
      </c>
      <c r="E436" s="9" t="n">
        <v>-9.093999999999999</v>
      </c>
      <c r="F436" s="9" t="n">
        <v>0.6</v>
      </c>
      <c r="G436" s="9" t="n">
        <v>0.6</v>
      </c>
      <c r="H436" s="9" t="n">
        <v>0.3</v>
      </c>
      <c r="I436" s="9" t="n">
        <v>-0.15</v>
      </c>
      <c r="J436" s="9" t="n">
        <v>-0.45</v>
      </c>
      <c r="K436" s="9" t="n">
        <v>-0.6</v>
      </c>
      <c r="L436" s="9" t="n">
        <v>0.6</v>
      </c>
      <c r="M436" s="8" t="n">
        <v>1</v>
      </c>
      <c r="N436" s="8" t="inlineStr">
        <is>
          <t>1x I-220 ยาว 22 ม.</t>
        </is>
      </c>
      <c r="O436" s="8">
        <f>F436*G436*H436</f>
        <v/>
      </c>
      <c r="P436" s="8">
        <f>2*(F436+G436)*H436</f>
        <v/>
      </c>
      <c r="Q436" s="8">
        <f>IF(L436&gt;0,(F436+2*0.1)*(G436+2*0.1)*L436,0)</f>
        <v/>
      </c>
      <c r="R436" s="8">
        <f>(F436+0.2)*(G436+0.2)*0.1</f>
        <v/>
      </c>
      <c r="S436" s="8">
        <f>(F436+0.2)*(G436+0.2)*0.05</f>
        <v/>
      </c>
      <c r="T436" s="8">
        <f>INDEX('2-ฐานราก เหล็กเสริม'!$S:$S,MATCH(B436,'2-ฐานราก เหล็กเสริม'!$A:$A,0))</f>
        <v/>
      </c>
      <c r="U436" s="8" t="inlineStr">
        <is>
          <t>M41</t>
        </is>
      </c>
      <c r="V436" s="10" t="inlineStr">
        <is>
          <t>แบบ S201 (ตำแหน่ง) / ระดับรอยืนยัน</t>
        </is>
      </c>
    </row>
    <row r="437">
      <c r="A437" s="8" t="inlineStr">
        <is>
          <t>F1A-017</t>
        </is>
      </c>
      <c r="B437" s="8" t="inlineStr">
        <is>
          <t>F1A</t>
        </is>
      </c>
      <c r="C437" s="8" t="inlineStr">
        <is>
          <t>1+2.49/A-8.00</t>
        </is>
      </c>
      <c r="D437" s="9" t="n">
        <v>2.486</v>
      </c>
      <c r="E437" s="9" t="n">
        <v>-7.995</v>
      </c>
      <c r="F437" s="9" t="n">
        <v>0.6</v>
      </c>
      <c r="G437" s="9" t="n">
        <v>0.6</v>
      </c>
      <c r="H437" s="9" t="n">
        <v>0.3</v>
      </c>
      <c r="I437" s="9" t="n">
        <v>-0.15</v>
      </c>
      <c r="J437" s="9" t="n">
        <v>-0.45</v>
      </c>
      <c r="K437" s="9" t="n">
        <v>-0.6</v>
      </c>
      <c r="L437" s="9" t="n">
        <v>0.6</v>
      </c>
      <c r="M437" s="8" t="n">
        <v>1</v>
      </c>
      <c r="N437" s="8" t="inlineStr">
        <is>
          <t>1x I-220 ยาว 22 ม.</t>
        </is>
      </c>
      <c r="O437" s="8">
        <f>F437*G437*H437</f>
        <v/>
      </c>
      <c r="P437" s="8">
        <f>2*(F437+G437)*H437</f>
        <v/>
      </c>
      <c r="Q437" s="8">
        <f>IF(L437&gt;0,(F437+2*0.1)*(G437+2*0.1)*L437,0)</f>
        <v/>
      </c>
      <c r="R437" s="8">
        <f>(F437+0.2)*(G437+0.2)*0.1</f>
        <v/>
      </c>
      <c r="S437" s="8">
        <f>(F437+0.2)*(G437+0.2)*0.05</f>
        <v/>
      </c>
      <c r="T437" s="8">
        <f>INDEX('2-ฐานราก เหล็กเสริม'!$S:$S,MATCH(B437,'2-ฐานราก เหล็กเสริม'!$A:$A,0))</f>
        <v/>
      </c>
      <c r="U437" s="8" t="inlineStr">
        <is>
          <t>M41</t>
        </is>
      </c>
      <c r="V437" s="10" t="inlineStr">
        <is>
          <t>แบบ S201 (ตำแหน่ง) / ระดับรอยืนยัน</t>
        </is>
      </c>
    </row>
    <row r="438">
      <c r="A438" s="8" t="inlineStr">
        <is>
          <t>F1A-018</t>
        </is>
      </c>
      <c r="B438" s="8" t="inlineStr">
        <is>
          <t>F1A</t>
        </is>
      </c>
      <c r="C438" s="8" t="inlineStr">
        <is>
          <t>2-1.51/A-8.00</t>
        </is>
      </c>
      <c r="D438" s="9" t="n">
        <v>4.492</v>
      </c>
      <c r="E438" s="9" t="n">
        <v>-7.995</v>
      </c>
      <c r="F438" s="9" t="n">
        <v>0.6</v>
      </c>
      <c r="G438" s="9" t="n">
        <v>0.6</v>
      </c>
      <c r="H438" s="9" t="n">
        <v>0.3</v>
      </c>
      <c r="I438" s="9" t="n">
        <v>-0.15</v>
      </c>
      <c r="J438" s="9" t="n">
        <v>-0.45</v>
      </c>
      <c r="K438" s="9" t="n">
        <v>-0.6</v>
      </c>
      <c r="L438" s="9" t="n">
        <v>0.6</v>
      </c>
      <c r="M438" s="8" t="n">
        <v>1</v>
      </c>
      <c r="N438" s="8" t="inlineStr">
        <is>
          <t>1x I-220 ยาว 22 ม.</t>
        </is>
      </c>
      <c r="O438" s="8">
        <f>F438*G438*H438</f>
        <v/>
      </c>
      <c r="P438" s="8">
        <f>2*(F438+G438)*H438</f>
        <v/>
      </c>
      <c r="Q438" s="8">
        <f>IF(L438&gt;0,(F438+2*0.1)*(G438+2*0.1)*L438,0)</f>
        <v/>
      </c>
      <c r="R438" s="8">
        <f>(F438+0.2)*(G438+0.2)*0.1</f>
        <v/>
      </c>
      <c r="S438" s="8">
        <f>(F438+0.2)*(G438+0.2)*0.05</f>
        <v/>
      </c>
      <c r="T438" s="8">
        <f>INDEX('2-ฐานราก เหล็กเสริม'!$S:$S,MATCH(B438,'2-ฐานราก เหล็กเสริม'!$A:$A,0))</f>
        <v/>
      </c>
      <c r="U438" s="8" t="inlineStr">
        <is>
          <t>M41</t>
        </is>
      </c>
      <c r="V438" s="10" t="inlineStr">
        <is>
          <t>แบบ S201 (ตำแหน่ง) / ระดับรอยืนยัน</t>
        </is>
      </c>
    </row>
    <row r="439">
      <c r="A439" s="8" t="inlineStr">
        <is>
          <t>F1A-019</t>
        </is>
      </c>
      <c r="B439" s="8" t="inlineStr">
        <is>
          <t>F1A</t>
        </is>
      </c>
      <c r="C439" s="8" t="inlineStr">
        <is>
          <t>2+1.48/A-8.00</t>
        </is>
      </c>
      <c r="D439" s="9" t="n">
        <v>7.484</v>
      </c>
      <c r="E439" s="9" t="n">
        <v>-7.995</v>
      </c>
      <c r="F439" s="9" t="n">
        <v>0.6</v>
      </c>
      <c r="G439" s="9" t="n">
        <v>0.6</v>
      </c>
      <c r="H439" s="9" t="n">
        <v>0.3</v>
      </c>
      <c r="I439" s="9" t="n">
        <v>-0.15</v>
      </c>
      <c r="J439" s="9" t="n">
        <v>-0.45</v>
      </c>
      <c r="K439" s="9" t="n">
        <v>-0.6</v>
      </c>
      <c r="L439" s="9" t="n">
        <v>0.6</v>
      </c>
      <c r="M439" s="8" t="n">
        <v>1</v>
      </c>
      <c r="N439" s="8" t="inlineStr">
        <is>
          <t>1x I-220 ยาว 22 ม.</t>
        </is>
      </c>
      <c r="O439" s="8">
        <f>F439*G439*H439</f>
        <v/>
      </c>
      <c r="P439" s="8">
        <f>2*(F439+G439)*H439</f>
        <v/>
      </c>
      <c r="Q439" s="8">
        <f>IF(L439&gt;0,(F439+2*0.1)*(G439+2*0.1)*L439,0)</f>
        <v/>
      </c>
      <c r="R439" s="8">
        <f>(F439+0.2)*(G439+0.2)*0.1</f>
        <v/>
      </c>
      <c r="S439" s="8">
        <f>(F439+0.2)*(G439+0.2)*0.05</f>
        <v/>
      </c>
      <c r="T439" s="8">
        <f>INDEX('2-ฐานราก เหล็กเสริม'!$S:$S,MATCH(B439,'2-ฐานราก เหล็กเสริม'!$A:$A,0))</f>
        <v/>
      </c>
      <c r="U439" s="8" t="inlineStr">
        <is>
          <t>M41</t>
        </is>
      </c>
      <c r="V439" s="10" t="inlineStr">
        <is>
          <t>แบบ S201 (ตำแหน่ง) / ระดับรอยืนยัน</t>
        </is>
      </c>
    </row>
    <row r="440">
      <c r="A440" s="8" t="inlineStr">
        <is>
          <t>F1A-020</t>
        </is>
      </c>
      <c r="B440" s="8" t="inlineStr">
        <is>
          <t>F1A</t>
        </is>
      </c>
      <c r="C440" s="8" t="inlineStr">
        <is>
          <t>3-1.51/A-8.00</t>
        </is>
      </c>
      <c r="D440" s="9" t="n">
        <v>10.49</v>
      </c>
      <c r="E440" s="9" t="n">
        <v>-7.995</v>
      </c>
      <c r="F440" s="9" t="n">
        <v>0.6</v>
      </c>
      <c r="G440" s="9" t="n">
        <v>0.6</v>
      </c>
      <c r="H440" s="9" t="n">
        <v>0.3</v>
      </c>
      <c r="I440" s="9" t="n">
        <v>-0.15</v>
      </c>
      <c r="J440" s="9" t="n">
        <v>-0.45</v>
      </c>
      <c r="K440" s="9" t="n">
        <v>-0.6</v>
      </c>
      <c r="L440" s="9" t="n">
        <v>0.6</v>
      </c>
      <c r="M440" s="8" t="n">
        <v>1</v>
      </c>
      <c r="N440" s="8" t="inlineStr">
        <is>
          <t>1x I-220 ยาว 22 ม.</t>
        </is>
      </c>
      <c r="O440" s="8">
        <f>F440*G440*H440</f>
        <v/>
      </c>
      <c r="P440" s="8">
        <f>2*(F440+G440)*H440</f>
        <v/>
      </c>
      <c r="Q440" s="8">
        <f>IF(L440&gt;0,(F440+2*0.1)*(G440+2*0.1)*L440,0)</f>
        <v/>
      </c>
      <c r="R440" s="8">
        <f>(F440+0.2)*(G440+0.2)*0.1</f>
        <v/>
      </c>
      <c r="S440" s="8">
        <f>(F440+0.2)*(G440+0.2)*0.05</f>
        <v/>
      </c>
      <c r="T440" s="8">
        <f>INDEX('2-ฐานราก เหล็กเสริม'!$S:$S,MATCH(B440,'2-ฐานราก เหล็กเสริม'!$A:$A,0))</f>
        <v/>
      </c>
      <c r="U440" s="8" t="inlineStr">
        <is>
          <t>M41</t>
        </is>
      </c>
      <c r="V440" s="10" t="inlineStr">
        <is>
          <t>แบบ S201 (ตำแหน่ง) / ระดับรอยืนยัน</t>
        </is>
      </c>
    </row>
    <row r="441">
      <c r="A441" s="8" t="inlineStr">
        <is>
          <t>F1A-021</t>
        </is>
      </c>
      <c r="B441" s="8" t="inlineStr">
        <is>
          <t>F1A</t>
        </is>
      </c>
      <c r="C441" s="8" t="inlineStr">
        <is>
          <t>3+1.49/A-8.00</t>
        </is>
      </c>
      <c r="D441" s="9" t="n">
        <v>13.488</v>
      </c>
      <c r="E441" s="9" t="n">
        <v>-7.995</v>
      </c>
      <c r="F441" s="9" t="n">
        <v>0.6</v>
      </c>
      <c r="G441" s="9" t="n">
        <v>0.6</v>
      </c>
      <c r="H441" s="9" t="n">
        <v>0.3</v>
      </c>
      <c r="I441" s="9" t="n">
        <v>-0.15</v>
      </c>
      <c r="J441" s="9" t="n">
        <v>-0.45</v>
      </c>
      <c r="K441" s="9" t="n">
        <v>-0.6</v>
      </c>
      <c r="L441" s="9" t="n">
        <v>0.6</v>
      </c>
      <c r="M441" s="8" t="n">
        <v>1</v>
      </c>
      <c r="N441" s="8" t="inlineStr">
        <is>
          <t>1x I-220 ยาว 22 ม.</t>
        </is>
      </c>
      <c r="O441" s="8">
        <f>F441*G441*H441</f>
        <v/>
      </c>
      <c r="P441" s="8">
        <f>2*(F441+G441)*H441</f>
        <v/>
      </c>
      <c r="Q441" s="8">
        <f>IF(L441&gt;0,(F441+2*0.1)*(G441+2*0.1)*L441,0)</f>
        <v/>
      </c>
      <c r="R441" s="8">
        <f>(F441+0.2)*(G441+0.2)*0.1</f>
        <v/>
      </c>
      <c r="S441" s="8">
        <f>(F441+0.2)*(G441+0.2)*0.05</f>
        <v/>
      </c>
      <c r="T441" s="8">
        <f>INDEX('2-ฐานราก เหล็กเสริม'!$S:$S,MATCH(B441,'2-ฐานราก เหล็กเสริม'!$A:$A,0))</f>
        <v/>
      </c>
      <c r="U441" s="8" t="inlineStr">
        <is>
          <t>M41</t>
        </is>
      </c>
      <c r="V441" s="10" t="inlineStr">
        <is>
          <t>แบบ S201 (ตำแหน่ง) / ระดับรอยืนยัน</t>
        </is>
      </c>
    </row>
    <row r="442">
      <c r="A442" s="8" t="inlineStr">
        <is>
          <t>F1A-022</t>
        </is>
      </c>
      <c r="B442" s="8" t="inlineStr">
        <is>
          <t>F1A</t>
        </is>
      </c>
      <c r="C442" s="8" t="inlineStr">
        <is>
          <t>4-1.51/A-8.00</t>
        </is>
      </c>
      <c r="D442" s="9" t="n">
        <v>16.487</v>
      </c>
      <c r="E442" s="9" t="n">
        <v>-7.995</v>
      </c>
      <c r="F442" s="9" t="n">
        <v>0.6</v>
      </c>
      <c r="G442" s="9" t="n">
        <v>0.6</v>
      </c>
      <c r="H442" s="9" t="n">
        <v>0.3</v>
      </c>
      <c r="I442" s="9" t="n">
        <v>-0.15</v>
      </c>
      <c r="J442" s="9" t="n">
        <v>-0.45</v>
      </c>
      <c r="K442" s="9" t="n">
        <v>-0.6</v>
      </c>
      <c r="L442" s="9" t="n">
        <v>0.6</v>
      </c>
      <c r="M442" s="8" t="n">
        <v>1</v>
      </c>
      <c r="N442" s="8" t="inlineStr">
        <is>
          <t>1x I-220 ยาว 22 ม.</t>
        </is>
      </c>
      <c r="O442" s="8">
        <f>F442*G442*H442</f>
        <v/>
      </c>
      <c r="P442" s="8">
        <f>2*(F442+G442)*H442</f>
        <v/>
      </c>
      <c r="Q442" s="8">
        <f>IF(L442&gt;0,(F442+2*0.1)*(G442+2*0.1)*L442,0)</f>
        <v/>
      </c>
      <c r="R442" s="8">
        <f>(F442+0.2)*(G442+0.2)*0.1</f>
        <v/>
      </c>
      <c r="S442" s="8">
        <f>(F442+0.2)*(G442+0.2)*0.05</f>
        <v/>
      </c>
      <c r="T442" s="8">
        <f>INDEX('2-ฐานราก เหล็กเสริม'!$S:$S,MATCH(B442,'2-ฐานราก เหล็กเสริม'!$A:$A,0))</f>
        <v/>
      </c>
      <c r="U442" s="8" t="inlineStr">
        <is>
          <t>M41</t>
        </is>
      </c>
      <c r="V442" s="10" t="inlineStr">
        <is>
          <t>แบบ S201 (ตำแหน่ง) / ระดับรอยืนยัน</t>
        </is>
      </c>
    </row>
    <row r="443">
      <c r="A443" s="8" t="inlineStr">
        <is>
          <t>F1A-023</t>
        </is>
      </c>
      <c r="B443" s="8" t="inlineStr">
        <is>
          <t>F1A</t>
        </is>
      </c>
      <c r="C443" s="8" t="inlineStr">
        <is>
          <t>4+1.49/A-8.00</t>
        </is>
      </c>
      <c r="D443" s="9" t="n">
        <v>19.493</v>
      </c>
      <c r="E443" s="9" t="n">
        <v>-7.995</v>
      </c>
      <c r="F443" s="9" t="n">
        <v>0.6</v>
      </c>
      <c r="G443" s="9" t="n">
        <v>0.6</v>
      </c>
      <c r="H443" s="9" t="n">
        <v>0.3</v>
      </c>
      <c r="I443" s="9" t="n">
        <v>-0.15</v>
      </c>
      <c r="J443" s="9" t="n">
        <v>-0.45</v>
      </c>
      <c r="K443" s="9" t="n">
        <v>-0.6</v>
      </c>
      <c r="L443" s="9" t="n">
        <v>0.6</v>
      </c>
      <c r="M443" s="8" t="n">
        <v>1</v>
      </c>
      <c r="N443" s="8" t="inlineStr">
        <is>
          <t>1x I-220 ยาว 22 ม.</t>
        </is>
      </c>
      <c r="O443" s="8">
        <f>F443*G443*H443</f>
        <v/>
      </c>
      <c r="P443" s="8">
        <f>2*(F443+G443)*H443</f>
        <v/>
      </c>
      <c r="Q443" s="8">
        <f>IF(L443&gt;0,(F443+2*0.1)*(G443+2*0.1)*L443,0)</f>
        <v/>
      </c>
      <c r="R443" s="8">
        <f>(F443+0.2)*(G443+0.2)*0.1</f>
        <v/>
      </c>
      <c r="S443" s="8">
        <f>(F443+0.2)*(G443+0.2)*0.05</f>
        <v/>
      </c>
      <c r="T443" s="8">
        <f>INDEX('2-ฐานราก เหล็กเสริม'!$S:$S,MATCH(B443,'2-ฐานราก เหล็กเสริม'!$A:$A,0))</f>
        <v/>
      </c>
      <c r="U443" s="8" t="inlineStr">
        <is>
          <t>M41</t>
        </is>
      </c>
      <c r="V443" s="10" t="inlineStr">
        <is>
          <t>แบบ S201 (ตำแหน่ง) / ระดับรอยืนยัน</t>
        </is>
      </c>
    </row>
    <row r="444">
      <c r="A444" s="8" t="inlineStr">
        <is>
          <t>F1A-024</t>
        </is>
      </c>
      <c r="B444" s="8" t="inlineStr">
        <is>
          <t>F1A</t>
        </is>
      </c>
      <c r="C444" s="8" t="inlineStr">
        <is>
          <t>5-1.51/A-8.00</t>
        </is>
      </c>
      <c r="D444" s="9" t="n">
        <v>22.491</v>
      </c>
      <c r="E444" s="9" t="n">
        <v>-7.995</v>
      </c>
      <c r="F444" s="9" t="n">
        <v>0.6</v>
      </c>
      <c r="G444" s="9" t="n">
        <v>0.6</v>
      </c>
      <c r="H444" s="9" t="n">
        <v>0.3</v>
      </c>
      <c r="I444" s="9" t="n">
        <v>-0.15</v>
      </c>
      <c r="J444" s="9" t="n">
        <v>-0.45</v>
      </c>
      <c r="K444" s="9" t="n">
        <v>-0.6</v>
      </c>
      <c r="L444" s="9" t="n">
        <v>0.6</v>
      </c>
      <c r="M444" s="8" t="n">
        <v>1</v>
      </c>
      <c r="N444" s="8" t="inlineStr">
        <is>
          <t>1x I-220 ยาว 22 ม.</t>
        </is>
      </c>
      <c r="O444" s="8">
        <f>F444*G444*H444</f>
        <v/>
      </c>
      <c r="P444" s="8">
        <f>2*(F444+G444)*H444</f>
        <v/>
      </c>
      <c r="Q444" s="8">
        <f>IF(L444&gt;0,(F444+2*0.1)*(G444+2*0.1)*L444,0)</f>
        <v/>
      </c>
      <c r="R444" s="8">
        <f>(F444+0.2)*(G444+0.2)*0.1</f>
        <v/>
      </c>
      <c r="S444" s="8">
        <f>(F444+0.2)*(G444+0.2)*0.05</f>
        <v/>
      </c>
      <c r="T444" s="8">
        <f>INDEX('2-ฐานราก เหล็กเสริม'!$S:$S,MATCH(B444,'2-ฐานราก เหล็กเสริม'!$A:$A,0))</f>
        <v/>
      </c>
      <c r="U444" s="8" t="inlineStr">
        <is>
          <t>M41</t>
        </is>
      </c>
      <c r="V444" s="10" t="inlineStr">
        <is>
          <t>แบบ S201 (ตำแหน่ง) / ระดับรอยืนยัน</t>
        </is>
      </c>
    </row>
    <row r="445">
      <c r="A445" s="8" t="inlineStr">
        <is>
          <t>F1A-025</t>
        </is>
      </c>
      <c r="B445" s="8" t="inlineStr">
        <is>
          <t>F1A</t>
        </is>
      </c>
      <c r="C445" s="8" t="inlineStr">
        <is>
          <t>5+1.49/A-8.00</t>
        </is>
      </c>
      <c r="D445" s="9" t="n">
        <v>25.49</v>
      </c>
      <c r="E445" s="9" t="n">
        <v>-7.995</v>
      </c>
      <c r="F445" s="9" t="n">
        <v>0.6</v>
      </c>
      <c r="G445" s="9" t="n">
        <v>0.6</v>
      </c>
      <c r="H445" s="9" t="n">
        <v>0.3</v>
      </c>
      <c r="I445" s="9" t="n">
        <v>-0.15</v>
      </c>
      <c r="J445" s="9" t="n">
        <v>-0.45</v>
      </c>
      <c r="K445" s="9" t="n">
        <v>-0.6</v>
      </c>
      <c r="L445" s="9" t="n">
        <v>0.6</v>
      </c>
      <c r="M445" s="8" t="n">
        <v>1</v>
      </c>
      <c r="N445" s="8" t="inlineStr">
        <is>
          <t>1x I-220 ยาว 22 ม.</t>
        </is>
      </c>
      <c r="O445" s="8">
        <f>F445*G445*H445</f>
        <v/>
      </c>
      <c r="P445" s="8">
        <f>2*(F445+G445)*H445</f>
        <v/>
      </c>
      <c r="Q445" s="8">
        <f>IF(L445&gt;0,(F445+2*0.1)*(G445+2*0.1)*L445,0)</f>
        <v/>
      </c>
      <c r="R445" s="8">
        <f>(F445+0.2)*(G445+0.2)*0.1</f>
        <v/>
      </c>
      <c r="S445" s="8">
        <f>(F445+0.2)*(G445+0.2)*0.05</f>
        <v/>
      </c>
      <c r="T445" s="8">
        <f>INDEX('2-ฐานราก เหล็กเสริม'!$S:$S,MATCH(B445,'2-ฐานราก เหล็กเสริม'!$A:$A,0))</f>
        <v/>
      </c>
      <c r="U445" s="8" t="inlineStr">
        <is>
          <t>M41</t>
        </is>
      </c>
      <c r="V445" s="10" t="inlineStr">
        <is>
          <t>แบบ S201 (ตำแหน่ง) / ระดับรอยืนยัน</t>
        </is>
      </c>
    </row>
    <row r="446">
      <c r="A446" s="8" t="inlineStr">
        <is>
          <t>F1A-026</t>
        </is>
      </c>
      <c r="B446" s="8" t="inlineStr">
        <is>
          <t>F1A</t>
        </is>
      </c>
      <c r="C446" s="8" t="inlineStr">
        <is>
          <t>6-1.51/A-8.00</t>
        </is>
      </c>
      <c r="D446" s="9" t="n">
        <v>28.489</v>
      </c>
      <c r="E446" s="9" t="n">
        <v>-7.995</v>
      </c>
      <c r="F446" s="9" t="n">
        <v>0.6</v>
      </c>
      <c r="G446" s="9" t="n">
        <v>0.6</v>
      </c>
      <c r="H446" s="9" t="n">
        <v>0.3</v>
      </c>
      <c r="I446" s="9" t="n">
        <v>-0.15</v>
      </c>
      <c r="J446" s="9" t="n">
        <v>-0.45</v>
      </c>
      <c r="K446" s="9" t="n">
        <v>-0.6</v>
      </c>
      <c r="L446" s="9" t="n">
        <v>0.6</v>
      </c>
      <c r="M446" s="8" t="n">
        <v>1</v>
      </c>
      <c r="N446" s="8" t="inlineStr">
        <is>
          <t>1x I-220 ยาว 22 ม.</t>
        </is>
      </c>
      <c r="O446" s="8">
        <f>F446*G446*H446</f>
        <v/>
      </c>
      <c r="P446" s="8">
        <f>2*(F446+G446)*H446</f>
        <v/>
      </c>
      <c r="Q446" s="8">
        <f>IF(L446&gt;0,(F446+2*0.1)*(G446+2*0.1)*L446,0)</f>
        <v/>
      </c>
      <c r="R446" s="8">
        <f>(F446+0.2)*(G446+0.2)*0.1</f>
        <v/>
      </c>
      <c r="S446" s="8">
        <f>(F446+0.2)*(G446+0.2)*0.05</f>
        <v/>
      </c>
      <c r="T446" s="8">
        <f>INDEX('2-ฐานราก เหล็กเสริม'!$S:$S,MATCH(B446,'2-ฐานราก เหล็กเสริม'!$A:$A,0))</f>
        <v/>
      </c>
      <c r="U446" s="8" t="inlineStr">
        <is>
          <t>M41</t>
        </is>
      </c>
      <c r="V446" s="10" t="inlineStr">
        <is>
          <t>แบบ S201 (ตำแหน่ง) / ระดับรอยืนยัน</t>
        </is>
      </c>
    </row>
    <row r="447">
      <c r="A447" s="8" t="inlineStr">
        <is>
          <t>F1A-027</t>
        </is>
      </c>
      <c r="B447" s="8" t="inlineStr">
        <is>
          <t>F1A</t>
        </is>
      </c>
      <c r="C447" s="8" t="inlineStr">
        <is>
          <t>6+1.49/A-8.00</t>
        </is>
      </c>
      <c r="D447" s="9" t="n">
        <v>31.488</v>
      </c>
      <c r="E447" s="9" t="n">
        <v>-7.995</v>
      </c>
      <c r="F447" s="9" t="n">
        <v>0.6</v>
      </c>
      <c r="G447" s="9" t="n">
        <v>0.6</v>
      </c>
      <c r="H447" s="9" t="n">
        <v>0.3</v>
      </c>
      <c r="I447" s="9" t="n">
        <v>-0.15</v>
      </c>
      <c r="J447" s="9" t="n">
        <v>-0.45</v>
      </c>
      <c r="K447" s="9" t="n">
        <v>-0.6</v>
      </c>
      <c r="L447" s="9" t="n">
        <v>0.6</v>
      </c>
      <c r="M447" s="8" t="n">
        <v>1</v>
      </c>
      <c r="N447" s="8" t="inlineStr">
        <is>
          <t>1x I-220 ยาว 22 ม.</t>
        </is>
      </c>
      <c r="O447" s="8">
        <f>F447*G447*H447</f>
        <v/>
      </c>
      <c r="P447" s="8">
        <f>2*(F447+G447)*H447</f>
        <v/>
      </c>
      <c r="Q447" s="8">
        <f>IF(L447&gt;0,(F447+2*0.1)*(G447+2*0.1)*L447,0)</f>
        <v/>
      </c>
      <c r="R447" s="8">
        <f>(F447+0.2)*(G447+0.2)*0.1</f>
        <v/>
      </c>
      <c r="S447" s="8">
        <f>(F447+0.2)*(G447+0.2)*0.05</f>
        <v/>
      </c>
      <c r="T447" s="8">
        <f>INDEX('2-ฐานราก เหล็กเสริม'!$S:$S,MATCH(B447,'2-ฐานราก เหล็กเสริม'!$A:$A,0))</f>
        <v/>
      </c>
      <c r="U447" s="8" t="inlineStr">
        <is>
          <t>M41</t>
        </is>
      </c>
      <c r="V447" s="10" t="inlineStr">
        <is>
          <t>แบบ S201 (ตำแหน่ง) / ระดับรอยืนยัน</t>
        </is>
      </c>
    </row>
    <row r="448">
      <c r="A448" s="8" t="inlineStr">
        <is>
          <t>F1A-028</t>
        </is>
      </c>
      <c r="B448" s="8" t="inlineStr">
        <is>
          <t>F1A</t>
        </is>
      </c>
      <c r="C448" s="8" t="inlineStr">
        <is>
          <t>7-1.51/A-8.00</t>
        </is>
      </c>
      <c r="D448" s="9" t="n">
        <v>34.493</v>
      </c>
      <c r="E448" s="9" t="n">
        <v>-7.995</v>
      </c>
      <c r="F448" s="9" t="n">
        <v>0.6</v>
      </c>
      <c r="G448" s="9" t="n">
        <v>0.6</v>
      </c>
      <c r="H448" s="9" t="n">
        <v>0.3</v>
      </c>
      <c r="I448" s="9" t="n">
        <v>-0.15</v>
      </c>
      <c r="J448" s="9" t="n">
        <v>-0.45</v>
      </c>
      <c r="K448" s="9" t="n">
        <v>-0.6</v>
      </c>
      <c r="L448" s="9" t="n">
        <v>0.6</v>
      </c>
      <c r="M448" s="8" t="n">
        <v>1</v>
      </c>
      <c r="N448" s="8" t="inlineStr">
        <is>
          <t>1x I-220 ยาว 22 ม.</t>
        </is>
      </c>
      <c r="O448" s="8">
        <f>F448*G448*H448</f>
        <v/>
      </c>
      <c r="P448" s="8">
        <f>2*(F448+G448)*H448</f>
        <v/>
      </c>
      <c r="Q448" s="8">
        <f>IF(L448&gt;0,(F448+2*0.1)*(G448+2*0.1)*L448,0)</f>
        <v/>
      </c>
      <c r="R448" s="8">
        <f>(F448+0.2)*(G448+0.2)*0.1</f>
        <v/>
      </c>
      <c r="S448" s="8">
        <f>(F448+0.2)*(G448+0.2)*0.05</f>
        <v/>
      </c>
      <c r="T448" s="8">
        <f>INDEX('2-ฐานราก เหล็กเสริม'!$S:$S,MATCH(B448,'2-ฐานราก เหล็กเสริม'!$A:$A,0))</f>
        <v/>
      </c>
      <c r="U448" s="8" t="inlineStr">
        <is>
          <t>M41</t>
        </is>
      </c>
      <c r="V448" s="10" t="inlineStr">
        <is>
          <t>แบบ S201 (ตำแหน่ง) / ระดับรอยืนยัน</t>
        </is>
      </c>
    </row>
    <row r="449">
      <c r="A449" s="8" t="inlineStr">
        <is>
          <t>F1A-029</t>
        </is>
      </c>
      <c r="B449" s="8" t="inlineStr">
        <is>
          <t>F1A</t>
        </is>
      </c>
      <c r="C449" s="8" t="inlineStr">
        <is>
          <t>9+1.49/A-8.00</t>
        </is>
      </c>
      <c r="D449" s="9" t="n">
        <v>49.494</v>
      </c>
      <c r="E449" s="9" t="n">
        <v>-7.995</v>
      </c>
      <c r="F449" s="9" t="n">
        <v>0.6</v>
      </c>
      <c r="G449" s="9" t="n">
        <v>0.6</v>
      </c>
      <c r="H449" s="9" t="n">
        <v>0.3</v>
      </c>
      <c r="I449" s="9" t="n">
        <v>-0.15</v>
      </c>
      <c r="J449" s="9" t="n">
        <v>-0.45</v>
      </c>
      <c r="K449" s="9" t="n">
        <v>-0.6</v>
      </c>
      <c r="L449" s="9" t="n">
        <v>0.6</v>
      </c>
      <c r="M449" s="8" t="n">
        <v>1</v>
      </c>
      <c r="N449" s="8" t="inlineStr">
        <is>
          <t>1x I-220 ยาว 22 ม.</t>
        </is>
      </c>
      <c r="O449" s="8">
        <f>F449*G449*H449</f>
        <v/>
      </c>
      <c r="P449" s="8">
        <f>2*(F449+G449)*H449</f>
        <v/>
      </c>
      <c r="Q449" s="8">
        <f>IF(L449&gt;0,(F449+2*0.1)*(G449+2*0.1)*L449,0)</f>
        <v/>
      </c>
      <c r="R449" s="8">
        <f>(F449+0.2)*(G449+0.2)*0.1</f>
        <v/>
      </c>
      <c r="S449" s="8">
        <f>(F449+0.2)*(G449+0.2)*0.05</f>
        <v/>
      </c>
      <c r="T449" s="8">
        <f>INDEX('2-ฐานราก เหล็กเสริม'!$S:$S,MATCH(B449,'2-ฐานราก เหล็กเสริม'!$A:$A,0))</f>
        <v/>
      </c>
      <c r="U449" s="8" t="inlineStr">
        <is>
          <t>M41</t>
        </is>
      </c>
      <c r="V449" s="10" t="inlineStr">
        <is>
          <t>แบบ S201 (ตำแหน่ง) / ระดับรอยืนยัน</t>
        </is>
      </c>
    </row>
    <row r="450">
      <c r="A450" s="8" t="inlineStr">
        <is>
          <t>F1A-030</t>
        </is>
      </c>
      <c r="B450" s="8" t="inlineStr">
        <is>
          <t>F1A</t>
        </is>
      </c>
      <c r="C450" s="8" t="inlineStr">
        <is>
          <t>10-1.51/A-8.00</t>
        </is>
      </c>
      <c r="D450" s="9" t="n">
        <v>52.493</v>
      </c>
      <c r="E450" s="9" t="n">
        <v>-7.995</v>
      </c>
      <c r="F450" s="9" t="n">
        <v>0.6</v>
      </c>
      <c r="G450" s="9" t="n">
        <v>0.6</v>
      </c>
      <c r="H450" s="9" t="n">
        <v>0.3</v>
      </c>
      <c r="I450" s="9" t="n">
        <v>-0.15</v>
      </c>
      <c r="J450" s="9" t="n">
        <v>-0.45</v>
      </c>
      <c r="K450" s="9" t="n">
        <v>-0.6</v>
      </c>
      <c r="L450" s="9" t="n">
        <v>0.6</v>
      </c>
      <c r="M450" s="8" t="n">
        <v>1</v>
      </c>
      <c r="N450" s="8" t="inlineStr">
        <is>
          <t>1x I-220 ยาว 22 ม.</t>
        </is>
      </c>
      <c r="O450" s="8">
        <f>F450*G450*H450</f>
        <v/>
      </c>
      <c r="P450" s="8">
        <f>2*(F450+G450)*H450</f>
        <v/>
      </c>
      <c r="Q450" s="8">
        <f>IF(L450&gt;0,(F450+2*0.1)*(G450+2*0.1)*L450,0)</f>
        <v/>
      </c>
      <c r="R450" s="8">
        <f>(F450+0.2)*(G450+0.2)*0.1</f>
        <v/>
      </c>
      <c r="S450" s="8">
        <f>(F450+0.2)*(G450+0.2)*0.05</f>
        <v/>
      </c>
      <c r="T450" s="8">
        <f>INDEX('2-ฐานราก เหล็กเสริม'!$S:$S,MATCH(B450,'2-ฐานราก เหล็กเสริม'!$A:$A,0))</f>
        <v/>
      </c>
      <c r="U450" s="8" t="inlineStr">
        <is>
          <t>M41</t>
        </is>
      </c>
      <c r="V450" s="10" t="inlineStr">
        <is>
          <t>แบบ S201 (ตำแหน่ง) / ระดับรอยืนยัน</t>
        </is>
      </c>
    </row>
    <row r="451">
      <c r="A451" s="8" t="inlineStr">
        <is>
          <t>F1A-031</t>
        </is>
      </c>
      <c r="B451" s="8" t="inlineStr">
        <is>
          <t>F1A</t>
        </is>
      </c>
      <c r="C451" s="8" t="inlineStr">
        <is>
          <t>10+1.49/A-8.00</t>
        </is>
      </c>
      <c r="D451" s="9" t="n">
        <v>55.492</v>
      </c>
      <c r="E451" s="9" t="n">
        <v>-7.995</v>
      </c>
      <c r="F451" s="9" t="n">
        <v>0.6</v>
      </c>
      <c r="G451" s="9" t="n">
        <v>0.6</v>
      </c>
      <c r="H451" s="9" t="n">
        <v>0.3</v>
      </c>
      <c r="I451" s="9" t="n">
        <v>-0.15</v>
      </c>
      <c r="J451" s="9" t="n">
        <v>-0.45</v>
      </c>
      <c r="K451" s="9" t="n">
        <v>-0.6</v>
      </c>
      <c r="L451" s="9" t="n">
        <v>0.6</v>
      </c>
      <c r="M451" s="8" t="n">
        <v>1</v>
      </c>
      <c r="N451" s="8" t="inlineStr">
        <is>
          <t>1x I-220 ยาว 22 ม.</t>
        </is>
      </c>
      <c r="O451" s="8">
        <f>F451*G451*H451</f>
        <v/>
      </c>
      <c r="P451" s="8">
        <f>2*(F451+G451)*H451</f>
        <v/>
      </c>
      <c r="Q451" s="8">
        <f>IF(L451&gt;0,(F451+2*0.1)*(G451+2*0.1)*L451,0)</f>
        <v/>
      </c>
      <c r="R451" s="8">
        <f>(F451+0.2)*(G451+0.2)*0.1</f>
        <v/>
      </c>
      <c r="S451" s="8">
        <f>(F451+0.2)*(G451+0.2)*0.05</f>
        <v/>
      </c>
      <c r="T451" s="8">
        <f>INDEX('2-ฐานราก เหล็กเสริม'!$S:$S,MATCH(B451,'2-ฐานราก เหล็กเสริม'!$A:$A,0))</f>
        <v/>
      </c>
      <c r="U451" s="8" t="inlineStr">
        <is>
          <t>M41</t>
        </is>
      </c>
      <c r="V451" s="10" t="inlineStr">
        <is>
          <t>แบบ S201 (ตำแหน่ง) / ระดับรอยืนยัน</t>
        </is>
      </c>
    </row>
    <row r="452">
      <c r="A452" s="8" t="inlineStr">
        <is>
          <t>F1A-032</t>
        </is>
      </c>
      <c r="B452" s="8" t="inlineStr">
        <is>
          <t>F1A</t>
        </is>
      </c>
      <c r="C452" s="8" t="inlineStr">
        <is>
          <t>11-1.50/A-8.00</t>
        </is>
      </c>
      <c r="D452" s="9" t="n">
        <v>58.497</v>
      </c>
      <c r="E452" s="9" t="n">
        <v>-7.995</v>
      </c>
      <c r="F452" s="9" t="n">
        <v>0.6</v>
      </c>
      <c r="G452" s="9" t="n">
        <v>0.6</v>
      </c>
      <c r="H452" s="9" t="n">
        <v>0.3</v>
      </c>
      <c r="I452" s="9" t="n">
        <v>-0.15</v>
      </c>
      <c r="J452" s="9" t="n">
        <v>-0.45</v>
      </c>
      <c r="K452" s="9" t="n">
        <v>-0.6</v>
      </c>
      <c r="L452" s="9" t="n">
        <v>0.6</v>
      </c>
      <c r="M452" s="8" t="n">
        <v>1</v>
      </c>
      <c r="N452" s="8" t="inlineStr">
        <is>
          <t>1x I-220 ยาว 22 ม.</t>
        </is>
      </c>
      <c r="O452" s="8">
        <f>F452*G452*H452</f>
        <v/>
      </c>
      <c r="P452" s="8">
        <f>2*(F452+G452)*H452</f>
        <v/>
      </c>
      <c r="Q452" s="8">
        <f>IF(L452&gt;0,(F452+2*0.1)*(G452+2*0.1)*L452,0)</f>
        <v/>
      </c>
      <c r="R452" s="8">
        <f>(F452+0.2)*(G452+0.2)*0.1</f>
        <v/>
      </c>
      <c r="S452" s="8">
        <f>(F452+0.2)*(G452+0.2)*0.05</f>
        <v/>
      </c>
      <c r="T452" s="8">
        <f>INDEX('2-ฐานราก เหล็กเสริม'!$S:$S,MATCH(B452,'2-ฐานราก เหล็กเสริม'!$A:$A,0))</f>
        <v/>
      </c>
      <c r="U452" s="8" t="inlineStr">
        <is>
          <t>M41</t>
        </is>
      </c>
      <c r="V452" s="10" t="inlineStr">
        <is>
          <t>แบบ S201 (ตำแหน่ง) / ระดับรอยืนยัน</t>
        </is>
      </c>
    </row>
    <row r="453">
      <c r="A453" s="8" t="inlineStr">
        <is>
          <t>F1A-033</t>
        </is>
      </c>
      <c r="B453" s="8" t="inlineStr">
        <is>
          <t>F1A</t>
        </is>
      </c>
      <c r="C453" s="8" t="inlineStr">
        <is>
          <t>7+1.49/A-6.74</t>
        </is>
      </c>
      <c r="D453" s="9" t="n">
        <v>37.492</v>
      </c>
      <c r="E453" s="9" t="n">
        <v>-6.738</v>
      </c>
      <c r="F453" s="9" t="n">
        <v>0.6</v>
      </c>
      <c r="G453" s="9" t="n">
        <v>0.6</v>
      </c>
      <c r="H453" s="9" t="n">
        <v>0.3</v>
      </c>
      <c r="I453" s="9" t="n">
        <v>-0.15</v>
      </c>
      <c r="J453" s="9" t="n">
        <v>-0.45</v>
      </c>
      <c r="K453" s="9" t="n">
        <v>-0.6</v>
      </c>
      <c r="L453" s="9" t="n">
        <v>0.6</v>
      </c>
      <c r="M453" s="8" t="n">
        <v>1</v>
      </c>
      <c r="N453" s="8" t="inlineStr">
        <is>
          <t>1x I-220 ยาว 22 ม.</t>
        </is>
      </c>
      <c r="O453" s="8">
        <f>F453*G453*H453</f>
        <v/>
      </c>
      <c r="P453" s="8">
        <f>2*(F453+G453)*H453</f>
        <v/>
      </c>
      <c r="Q453" s="8">
        <f>IF(L453&gt;0,(F453+2*0.1)*(G453+2*0.1)*L453,0)</f>
        <v/>
      </c>
      <c r="R453" s="8">
        <f>(F453+0.2)*(G453+0.2)*0.1</f>
        <v/>
      </c>
      <c r="S453" s="8">
        <f>(F453+0.2)*(G453+0.2)*0.05</f>
        <v/>
      </c>
      <c r="T453" s="8">
        <f>INDEX('2-ฐานราก เหล็กเสริม'!$S:$S,MATCH(B453,'2-ฐานราก เหล็กเสริม'!$A:$A,0))</f>
        <v/>
      </c>
      <c r="U453" s="8" t="inlineStr">
        <is>
          <t>M41</t>
        </is>
      </c>
      <c r="V453" s="10" t="inlineStr">
        <is>
          <t>แบบ S201 (ตำแหน่ง) / ระดับรอยืนยัน</t>
        </is>
      </c>
    </row>
    <row r="454">
      <c r="A454" s="8" t="inlineStr">
        <is>
          <t>F1A-034</t>
        </is>
      </c>
      <c r="B454" s="8" t="inlineStr">
        <is>
          <t>F1A</t>
        </is>
      </c>
      <c r="C454" s="8" t="inlineStr">
        <is>
          <t>8-1.51/A-6.74</t>
        </is>
      </c>
      <c r="D454" s="9" t="n">
        <v>40.491</v>
      </c>
      <c r="E454" s="9" t="n">
        <v>-6.738</v>
      </c>
      <c r="F454" s="9" t="n">
        <v>0.6</v>
      </c>
      <c r="G454" s="9" t="n">
        <v>0.6</v>
      </c>
      <c r="H454" s="9" t="n">
        <v>0.3</v>
      </c>
      <c r="I454" s="9" t="n">
        <v>-0.15</v>
      </c>
      <c r="J454" s="9" t="n">
        <v>-0.45</v>
      </c>
      <c r="K454" s="9" t="n">
        <v>-0.6</v>
      </c>
      <c r="L454" s="9" t="n">
        <v>0.6</v>
      </c>
      <c r="M454" s="8" t="n">
        <v>1</v>
      </c>
      <c r="N454" s="8" t="inlineStr">
        <is>
          <t>1x I-220 ยาว 22 ม.</t>
        </is>
      </c>
      <c r="O454" s="8">
        <f>F454*G454*H454</f>
        <v/>
      </c>
      <c r="P454" s="8">
        <f>2*(F454+G454)*H454</f>
        <v/>
      </c>
      <c r="Q454" s="8">
        <f>IF(L454&gt;0,(F454+2*0.1)*(G454+2*0.1)*L454,0)</f>
        <v/>
      </c>
      <c r="R454" s="8">
        <f>(F454+0.2)*(G454+0.2)*0.1</f>
        <v/>
      </c>
      <c r="S454" s="8">
        <f>(F454+0.2)*(G454+0.2)*0.05</f>
        <v/>
      </c>
      <c r="T454" s="8">
        <f>INDEX('2-ฐานราก เหล็กเสริม'!$S:$S,MATCH(B454,'2-ฐานราก เหล็กเสริม'!$A:$A,0))</f>
        <v/>
      </c>
      <c r="U454" s="8" t="inlineStr">
        <is>
          <t>M41</t>
        </is>
      </c>
      <c r="V454" s="10" t="inlineStr">
        <is>
          <t>แบบ S201 (ตำแหน่ง) / ระดับรอยืนยัน</t>
        </is>
      </c>
    </row>
    <row r="455">
      <c r="A455" s="8" t="inlineStr">
        <is>
          <t>F1A-035</t>
        </is>
      </c>
      <c r="B455" s="8" t="inlineStr">
        <is>
          <t>F1A</t>
        </is>
      </c>
      <c r="C455" s="8" t="inlineStr">
        <is>
          <t>8+1.49/A-6.74</t>
        </is>
      </c>
      <c r="D455" s="9" t="n">
        <v>43.49</v>
      </c>
      <c r="E455" s="9" t="n">
        <v>-6.738</v>
      </c>
      <c r="F455" s="9" t="n">
        <v>0.6</v>
      </c>
      <c r="G455" s="9" t="n">
        <v>0.6</v>
      </c>
      <c r="H455" s="9" t="n">
        <v>0.3</v>
      </c>
      <c r="I455" s="9" t="n">
        <v>-0.15</v>
      </c>
      <c r="J455" s="9" t="n">
        <v>-0.45</v>
      </c>
      <c r="K455" s="9" t="n">
        <v>-0.6</v>
      </c>
      <c r="L455" s="9" t="n">
        <v>0.6</v>
      </c>
      <c r="M455" s="8" t="n">
        <v>1</v>
      </c>
      <c r="N455" s="8" t="inlineStr">
        <is>
          <t>1x I-220 ยาว 22 ม.</t>
        </is>
      </c>
      <c r="O455" s="8">
        <f>F455*G455*H455</f>
        <v/>
      </c>
      <c r="P455" s="8">
        <f>2*(F455+G455)*H455</f>
        <v/>
      </c>
      <c r="Q455" s="8">
        <f>IF(L455&gt;0,(F455+2*0.1)*(G455+2*0.1)*L455,0)</f>
        <v/>
      </c>
      <c r="R455" s="8">
        <f>(F455+0.2)*(G455+0.2)*0.1</f>
        <v/>
      </c>
      <c r="S455" s="8">
        <f>(F455+0.2)*(G455+0.2)*0.05</f>
        <v/>
      </c>
      <c r="T455" s="8">
        <f>INDEX('2-ฐานราก เหล็กเสริม'!$S:$S,MATCH(B455,'2-ฐานราก เหล็กเสริม'!$A:$A,0))</f>
        <v/>
      </c>
      <c r="U455" s="8" t="inlineStr">
        <is>
          <t>M41</t>
        </is>
      </c>
      <c r="V455" s="10" t="inlineStr">
        <is>
          <t>แบบ S201 (ตำแหน่ง) / ระดับรอยืนยัน</t>
        </is>
      </c>
    </row>
    <row r="456">
      <c r="A456" s="8" t="inlineStr">
        <is>
          <t>F1A-036</t>
        </is>
      </c>
      <c r="B456" s="8" t="inlineStr">
        <is>
          <t>F1A</t>
        </is>
      </c>
      <c r="C456" s="8" t="inlineStr">
        <is>
          <t>9-1.51/A-6.74</t>
        </is>
      </c>
      <c r="D456" s="9" t="n">
        <v>46.488</v>
      </c>
      <c r="E456" s="9" t="n">
        <v>-6.738</v>
      </c>
      <c r="F456" s="9" t="n">
        <v>0.6</v>
      </c>
      <c r="G456" s="9" t="n">
        <v>0.6</v>
      </c>
      <c r="H456" s="9" t="n">
        <v>0.3</v>
      </c>
      <c r="I456" s="9" t="n">
        <v>-0.15</v>
      </c>
      <c r="J456" s="9" t="n">
        <v>-0.45</v>
      </c>
      <c r="K456" s="9" t="n">
        <v>-0.6</v>
      </c>
      <c r="L456" s="9" t="n">
        <v>0.6</v>
      </c>
      <c r="M456" s="8" t="n">
        <v>1</v>
      </c>
      <c r="N456" s="8" t="inlineStr">
        <is>
          <t>1x I-220 ยาว 22 ม.</t>
        </is>
      </c>
      <c r="O456" s="8">
        <f>F456*G456*H456</f>
        <v/>
      </c>
      <c r="P456" s="8">
        <f>2*(F456+G456)*H456</f>
        <v/>
      </c>
      <c r="Q456" s="8">
        <f>IF(L456&gt;0,(F456+2*0.1)*(G456+2*0.1)*L456,0)</f>
        <v/>
      </c>
      <c r="R456" s="8">
        <f>(F456+0.2)*(G456+0.2)*0.1</f>
        <v/>
      </c>
      <c r="S456" s="8">
        <f>(F456+0.2)*(G456+0.2)*0.05</f>
        <v/>
      </c>
      <c r="T456" s="8">
        <f>INDEX('2-ฐานราก เหล็กเสริม'!$S:$S,MATCH(B456,'2-ฐานราก เหล็กเสริม'!$A:$A,0))</f>
        <v/>
      </c>
      <c r="U456" s="8" t="inlineStr">
        <is>
          <t>M41</t>
        </is>
      </c>
      <c r="V456" s="10" t="inlineStr">
        <is>
          <t>แบบ S201 (ตำแหน่ง) / ระดับรอยืนยัน</t>
        </is>
      </c>
    </row>
    <row r="457">
      <c r="A457" s="8" t="inlineStr">
        <is>
          <t>F1A-037</t>
        </is>
      </c>
      <c r="B457" s="8" t="inlineStr">
        <is>
          <t>F1A</t>
        </is>
      </c>
      <c r="C457" s="8" t="inlineStr">
        <is>
          <t>1-8.26/A-4.49</t>
        </is>
      </c>
      <c r="D457" s="9" t="n">
        <v>-8.263999999999999</v>
      </c>
      <c r="E457" s="9" t="n">
        <v>-4.487</v>
      </c>
      <c r="F457" s="9" t="n">
        <v>0.6</v>
      </c>
      <c r="G457" s="9" t="n">
        <v>0.6</v>
      </c>
      <c r="H457" s="9" t="n">
        <v>0.3</v>
      </c>
      <c r="I457" s="9" t="n">
        <v>-0.15</v>
      </c>
      <c r="J457" s="9" t="n">
        <v>-0.45</v>
      </c>
      <c r="K457" s="9" t="n">
        <v>-0.6</v>
      </c>
      <c r="L457" s="9" t="n">
        <v>0.6</v>
      </c>
      <c r="M457" s="8" t="n">
        <v>1</v>
      </c>
      <c r="N457" s="8" t="inlineStr">
        <is>
          <t>1x I-220 ยาว 22 ม.</t>
        </is>
      </c>
      <c r="O457" s="8">
        <f>F457*G457*H457</f>
        <v/>
      </c>
      <c r="P457" s="8">
        <f>2*(F457+G457)*H457</f>
        <v/>
      </c>
      <c r="Q457" s="8">
        <f>IF(L457&gt;0,(F457+2*0.1)*(G457+2*0.1)*L457,0)</f>
        <v/>
      </c>
      <c r="R457" s="8">
        <f>(F457+0.2)*(G457+0.2)*0.1</f>
        <v/>
      </c>
      <c r="S457" s="8">
        <f>(F457+0.2)*(G457+0.2)*0.05</f>
        <v/>
      </c>
      <c r="T457" s="8">
        <f>INDEX('2-ฐานราก เหล็กเสริม'!$S:$S,MATCH(B457,'2-ฐานราก เหล็กเสริม'!$A:$A,0))</f>
        <v/>
      </c>
      <c r="U457" s="8" t="inlineStr">
        <is>
          <t>M41</t>
        </is>
      </c>
      <c r="V457" s="10" t="inlineStr">
        <is>
          <t>แบบ S201 (ตำแหน่ง) / ระดับรอยืนยัน</t>
        </is>
      </c>
    </row>
    <row r="458">
      <c r="A458" s="8" t="inlineStr">
        <is>
          <t>F1A-038</t>
        </is>
      </c>
      <c r="B458" s="8" t="inlineStr">
        <is>
          <t>F1A</t>
        </is>
      </c>
      <c r="C458" s="8" t="inlineStr">
        <is>
          <t>1-5.27/A-4.49</t>
        </is>
      </c>
      <c r="D458" s="9" t="n">
        <v>-5.266</v>
      </c>
      <c r="E458" s="9" t="n">
        <v>-4.487</v>
      </c>
      <c r="F458" s="9" t="n">
        <v>0.6</v>
      </c>
      <c r="G458" s="9" t="n">
        <v>0.6</v>
      </c>
      <c r="H458" s="9" t="n">
        <v>0.3</v>
      </c>
      <c r="I458" s="9" t="n">
        <v>-0.15</v>
      </c>
      <c r="J458" s="9" t="n">
        <v>-0.45</v>
      </c>
      <c r="K458" s="9" t="n">
        <v>-0.6</v>
      </c>
      <c r="L458" s="9" t="n">
        <v>0.6</v>
      </c>
      <c r="M458" s="8" t="n">
        <v>1</v>
      </c>
      <c r="N458" s="8" t="inlineStr">
        <is>
          <t>1x I-220 ยาว 22 ม.</t>
        </is>
      </c>
      <c r="O458" s="8">
        <f>F458*G458*H458</f>
        <v/>
      </c>
      <c r="P458" s="8">
        <f>2*(F458+G458)*H458</f>
        <v/>
      </c>
      <c r="Q458" s="8">
        <f>IF(L458&gt;0,(F458+2*0.1)*(G458+2*0.1)*L458,0)</f>
        <v/>
      </c>
      <c r="R458" s="8">
        <f>(F458+0.2)*(G458+0.2)*0.1</f>
        <v/>
      </c>
      <c r="S458" s="8">
        <f>(F458+0.2)*(G458+0.2)*0.05</f>
        <v/>
      </c>
      <c r="T458" s="8">
        <f>INDEX('2-ฐานราก เหล็กเสริม'!$S:$S,MATCH(B458,'2-ฐานราก เหล็กเสริม'!$A:$A,0))</f>
        <v/>
      </c>
      <c r="U458" s="8" t="inlineStr">
        <is>
          <t>M41</t>
        </is>
      </c>
      <c r="V458" s="10" t="inlineStr">
        <is>
          <t>แบบ S201 (ตำแหน่ง) / ระดับรอยืนยัน</t>
        </is>
      </c>
    </row>
    <row r="459">
      <c r="A459" s="8" t="inlineStr">
        <is>
          <t>F1A-039</t>
        </is>
      </c>
      <c r="B459" s="8" t="inlineStr">
        <is>
          <t>F1A</t>
        </is>
      </c>
      <c r="C459" s="8" t="inlineStr">
        <is>
          <t>1-1.51/A-4.49</t>
        </is>
      </c>
      <c r="D459" s="9" t="n">
        <v>-1.512</v>
      </c>
      <c r="E459" s="9" t="n">
        <v>-4.487</v>
      </c>
      <c r="F459" s="9" t="n">
        <v>0.6</v>
      </c>
      <c r="G459" s="9" t="n">
        <v>0.6</v>
      </c>
      <c r="H459" s="9" t="n">
        <v>0.3</v>
      </c>
      <c r="I459" s="9" t="n">
        <v>-0.15</v>
      </c>
      <c r="J459" s="9" t="n">
        <v>-0.45</v>
      </c>
      <c r="K459" s="9" t="n">
        <v>-0.6</v>
      </c>
      <c r="L459" s="9" t="n">
        <v>0.6</v>
      </c>
      <c r="M459" s="8" t="n">
        <v>1</v>
      </c>
      <c r="N459" s="8" t="inlineStr">
        <is>
          <t>1x I-220 ยาว 22 ม.</t>
        </is>
      </c>
      <c r="O459" s="8">
        <f>F459*G459*H459</f>
        <v/>
      </c>
      <c r="P459" s="8">
        <f>2*(F459+G459)*H459</f>
        <v/>
      </c>
      <c r="Q459" s="8">
        <f>IF(L459&gt;0,(F459+2*0.1)*(G459+2*0.1)*L459,0)</f>
        <v/>
      </c>
      <c r="R459" s="8">
        <f>(F459+0.2)*(G459+0.2)*0.1</f>
        <v/>
      </c>
      <c r="S459" s="8">
        <f>(F459+0.2)*(G459+0.2)*0.05</f>
        <v/>
      </c>
      <c r="T459" s="8">
        <f>INDEX('2-ฐานราก เหล็กเสริม'!$S:$S,MATCH(B459,'2-ฐานราก เหล็กเสริม'!$A:$A,0))</f>
        <v/>
      </c>
      <c r="U459" s="8" t="inlineStr">
        <is>
          <t>M41</t>
        </is>
      </c>
      <c r="V459" s="10" t="inlineStr">
        <is>
          <t>แบบ S201 (ตำแหน่ง) / ระดับรอยืนยัน</t>
        </is>
      </c>
    </row>
    <row r="460">
      <c r="A460" s="8" t="inlineStr">
        <is>
          <t>F1A-040</t>
        </is>
      </c>
      <c r="B460" s="8" t="inlineStr">
        <is>
          <t>F1A</t>
        </is>
      </c>
      <c r="C460" s="8" t="inlineStr">
        <is>
          <t>1+1.49/A-4.49</t>
        </is>
      </c>
      <c r="D460" s="9" t="n">
        <v>1.487</v>
      </c>
      <c r="E460" s="9" t="n">
        <v>-4.487</v>
      </c>
      <c r="F460" s="9" t="n">
        <v>0.6</v>
      </c>
      <c r="G460" s="9" t="n">
        <v>0.6</v>
      </c>
      <c r="H460" s="9" t="n">
        <v>0.3</v>
      </c>
      <c r="I460" s="9" t="n">
        <v>-0.15</v>
      </c>
      <c r="J460" s="9" t="n">
        <v>-0.45</v>
      </c>
      <c r="K460" s="9" t="n">
        <v>-0.6</v>
      </c>
      <c r="L460" s="9" t="n">
        <v>0.6</v>
      </c>
      <c r="M460" s="8" t="n">
        <v>1</v>
      </c>
      <c r="N460" s="8" t="inlineStr">
        <is>
          <t>1x I-220 ยาว 22 ม.</t>
        </is>
      </c>
      <c r="O460" s="8">
        <f>F460*G460*H460</f>
        <v/>
      </c>
      <c r="P460" s="8">
        <f>2*(F460+G460)*H460</f>
        <v/>
      </c>
      <c r="Q460" s="8">
        <f>IF(L460&gt;0,(F460+2*0.1)*(G460+2*0.1)*L460,0)</f>
        <v/>
      </c>
      <c r="R460" s="8">
        <f>(F460+0.2)*(G460+0.2)*0.1</f>
        <v/>
      </c>
      <c r="S460" s="8">
        <f>(F460+0.2)*(G460+0.2)*0.05</f>
        <v/>
      </c>
      <c r="T460" s="8">
        <f>INDEX('2-ฐานราก เหล็กเสริม'!$S:$S,MATCH(B460,'2-ฐานราก เหล็กเสริม'!$A:$A,0))</f>
        <v/>
      </c>
      <c r="U460" s="8" t="inlineStr">
        <is>
          <t>M41</t>
        </is>
      </c>
      <c r="V460" s="10" t="inlineStr">
        <is>
          <t>แบบ S201 (ตำแหน่ง) / ระดับรอยืนยัน</t>
        </is>
      </c>
    </row>
    <row r="461">
      <c r="A461" s="8" t="inlineStr">
        <is>
          <t>F1A-041</t>
        </is>
      </c>
      <c r="B461" s="8" t="inlineStr">
        <is>
          <t>F1A</t>
        </is>
      </c>
      <c r="C461" s="8" t="inlineStr">
        <is>
          <t>2-1.51/A-4.49</t>
        </is>
      </c>
      <c r="D461" s="9" t="n">
        <v>4.492</v>
      </c>
      <c r="E461" s="9" t="n">
        <v>-4.487</v>
      </c>
      <c r="F461" s="9" t="n">
        <v>0.6</v>
      </c>
      <c r="G461" s="9" t="n">
        <v>0.6</v>
      </c>
      <c r="H461" s="9" t="n">
        <v>0.3</v>
      </c>
      <c r="I461" s="9" t="n">
        <v>-0.15</v>
      </c>
      <c r="J461" s="9" t="n">
        <v>-0.45</v>
      </c>
      <c r="K461" s="9" t="n">
        <v>-0.6</v>
      </c>
      <c r="L461" s="9" t="n">
        <v>0.6</v>
      </c>
      <c r="M461" s="8" t="n">
        <v>1</v>
      </c>
      <c r="N461" s="8" t="inlineStr">
        <is>
          <t>1x I-220 ยาว 22 ม.</t>
        </is>
      </c>
      <c r="O461" s="8">
        <f>F461*G461*H461</f>
        <v/>
      </c>
      <c r="P461" s="8">
        <f>2*(F461+G461)*H461</f>
        <v/>
      </c>
      <c r="Q461" s="8">
        <f>IF(L461&gt;0,(F461+2*0.1)*(G461+2*0.1)*L461,0)</f>
        <v/>
      </c>
      <c r="R461" s="8">
        <f>(F461+0.2)*(G461+0.2)*0.1</f>
        <v/>
      </c>
      <c r="S461" s="8">
        <f>(F461+0.2)*(G461+0.2)*0.05</f>
        <v/>
      </c>
      <c r="T461" s="8">
        <f>INDEX('2-ฐานราก เหล็กเสริม'!$S:$S,MATCH(B461,'2-ฐานราก เหล็กเสริม'!$A:$A,0))</f>
        <v/>
      </c>
      <c r="U461" s="8" t="inlineStr">
        <is>
          <t>M41</t>
        </is>
      </c>
      <c r="V461" s="10" t="inlineStr">
        <is>
          <t>แบบ S201 (ตำแหน่ง) / ระดับรอยืนยัน</t>
        </is>
      </c>
    </row>
    <row r="462">
      <c r="A462" s="8" t="inlineStr">
        <is>
          <t>F1A-042</t>
        </is>
      </c>
      <c r="B462" s="8" t="inlineStr">
        <is>
          <t>F1A</t>
        </is>
      </c>
      <c r="C462" s="8" t="inlineStr">
        <is>
          <t>2+1.48/A-4.49</t>
        </is>
      </c>
      <c r="D462" s="9" t="n">
        <v>7.484</v>
      </c>
      <c r="E462" s="9" t="n">
        <v>-4.487</v>
      </c>
      <c r="F462" s="9" t="n">
        <v>0.6</v>
      </c>
      <c r="G462" s="9" t="n">
        <v>0.6</v>
      </c>
      <c r="H462" s="9" t="n">
        <v>0.3</v>
      </c>
      <c r="I462" s="9" t="n">
        <v>-0.15</v>
      </c>
      <c r="J462" s="9" t="n">
        <v>-0.45</v>
      </c>
      <c r="K462" s="9" t="n">
        <v>-0.6</v>
      </c>
      <c r="L462" s="9" t="n">
        <v>0.6</v>
      </c>
      <c r="M462" s="8" t="n">
        <v>1</v>
      </c>
      <c r="N462" s="8" t="inlineStr">
        <is>
          <t>1x I-220 ยาว 22 ม.</t>
        </is>
      </c>
      <c r="O462" s="8">
        <f>F462*G462*H462</f>
        <v/>
      </c>
      <c r="P462" s="8">
        <f>2*(F462+G462)*H462</f>
        <v/>
      </c>
      <c r="Q462" s="8">
        <f>IF(L462&gt;0,(F462+2*0.1)*(G462+2*0.1)*L462,0)</f>
        <v/>
      </c>
      <c r="R462" s="8">
        <f>(F462+0.2)*(G462+0.2)*0.1</f>
        <v/>
      </c>
      <c r="S462" s="8">
        <f>(F462+0.2)*(G462+0.2)*0.05</f>
        <v/>
      </c>
      <c r="T462" s="8">
        <f>INDEX('2-ฐานราก เหล็กเสริม'!$S:$S,MATCH(B462,'2-ฐานราก เหล็กเสริม'!$A:$A,0))</f>
        <v/>
      </c>
      <c r="U462" s="8" t="inlineStr">
        <is>
          <t>M41</t>
        </is>
      </c>
      <c r="V462" s="10" t="inlineStr">
        <is>
          <t>แบบ S201 (ตำแหน่ง) / ระดับรอยืนยัน</t>
        </is>
      </c>
    </row>
    <row r="463">
      <c r="A463" s="8" t="inlineStr">
        <is>
          <t>F1A-043</t>
        </is>
      </c>
      <c r="B463" s="8" t="inlineStr">
        <is>
          <t>F1A</t>
        </is>
      </c>
      <c r="C463" s="8" t="inlineStr">
        <is>
          <t>3-1.51/A-4.49</t>
        </is>
      </c>
      <c r="D463" s="9" t="n">
        <v>10.49</v>
      </c>
      <c r="E463" s="9" t="n">
        <v>-4.487</v>
      </c>
      <c r="F463" s="9" t="n">
        <v>0.6</v>
      </c>
      <c r="G463" s="9" t="n">
        <v>0.6</v>
      </c>
      <c r="H463" s="9" t="n">
        <v>0.3</v>
      </c>
      <c r="I463" s="9" t="n">
        <v>-0.15</v>
      </c>
      <c r="J463" s="9" t="n">
        <v>-0.45</v>
      </c>
      <c r="K463" s="9" t="n">
        <v>-0.6</v>
      </c>
      <c r="L463" s="9" t="n">
        <v>0.6</v>
      </c>
      <c r="M463" s="8" t="n">
        <v>1</v>
      </c>
      <c r="N463" s="8" t="inlineStr">
        <is>
          <t>1x I-220 ยาว 22 ม.</t>
        </is>
      </c>
      <c r="O463" s="8">
        <f>F463*G463*H463</f>
        <v/>
      </c>
      <c r="P463" s="8">
        <f>2*(F463+G463)*H463</f>
        <v/>
      </c>
      <c r="Q463" s="8">
        <f>IF(L463&gt;0,(F463+2*0.1)*(G463+2*0.1)*L463,0)</f>
        <v/>
      </c>
      <c r="R463" s="8">
        <f>(F463+0.2)*(G463+0.2)*0.1</f>
        <v/>
      </c>
      <c r="S463" s="8">
        <f>(F463+0.2)*(G463+0.2)*0.05</f>
        <v/>
      </c>
      <c r="T463" s="8">
        <f>INDEX('2-ฐานราก เหล็กเสริม'!$S:$S,MATCH(B463,'2-ฐานราก เหล็กเสริม'!$A:$A,0))</f>
        <v/>
      </c>
      <c r="U463" s="8" t="inlineStr">
        <is>
          <t>M41</t>
        </is>
      </c>
      <c r="V463" s="10" t="inlineStr">
        <is>
          <t>แบบ S201 (ตำแหน่ง) / ระดับรอยืนยัน</t>
        </is>
      </c>
    </row>
    <row r="464">
      <c r="A464" s="8" t="inlineStr">
        <is>
          <t>F1A-044</t>
        </is>
      </c>
      <c r="B464" s="8" t="inlineStr">
        <is>
          <t>F1A</t>
        </is>
      </c>
      <c r="C464" s="8" t="inlineStr">
        <is>
          <t>3+1.49/A-4.49</t>
        </is>
      </c>
      <c r="D464" s="9" t="n">
        <v>13.488</v>
      </c>
      <c r="E464" s="9" t="n">
        <v>-4.487</v>
      </c>
      <c r="F464" s="9" t="n">
        <v>0.6</v>
      </c>
      <c r="G464" s="9" t="n">
        <v>0.6</v>
      </c>
      <c r="H464" s="9" t="n">
        <v>0.3</v>
      </c>
      <c r="I464" s="9" t="n">
        <v>-0.15</v>
      </c>
      <c r="J464" s="9" t="n">
        <v>-0.45</v>
      </c>
      <c r="K464" s="9" t="n">
        <v>-0.6</v>
      </c>
      <c r="L464" s="9" t="n">
        <v>0.6</v>
      </c>
      <c r="M464" s="8" t="n">
        <v>1</v>
      </c>
      <c r="N464" s="8" t="inlineStr">
        <is>
          <t>1x I-220 ยาว 22 ม.</t>
        </is>
      </c>
      <c r="O464" s="8">
        <f>F464*G464*H464</f>
        <v/>
      </c>
      <c r="P464" s="8">
        <f>2*(F464+G464)*H464</f>
        <v/>
      </c>
      <c r="Q464" s="8">
        <f>IF(L464&gt;0,(F464+2*0.1)*(G464+2*0.1)*L464,0)</f>
        <v/>
      </c>
      <c r="R464" s="8">
        <f>(F464+0.2)*(G464+0.2)*0.1</f>
        <v/>
      </c>
      <c r="S464" s="8">
        <f>(F464+0.2)*(G464+0.2)*0.05</f>
        <v/>
      </c>
      <c r="T464" s="8">
        <f>INDEX('2-ฐานราก เหล็กเสริม'!$S:$S,MATCH(B464,'2-ฐานราก เหล็กเสริม'!$A:$A,0))</f>
        <v/>
      </c>
      <c r="U464" s="8" t="inlineStr">
        <is>
          <t>M41</t>
        </is>
      </c>
      <c r="V464" s="10" t="inlineStr">
        <is>
          <t>แบบ S201 (ตำแหน่ง) / ระดับรอยืนยัน</t>
        </is>
      </c>
    </row>
    <row r="465">
      <c r="A465" s="8" t="inlineStr">
        <is>
          <t>F1A-045</t>
        </is>
      </c>
      <c r="B465" s="8" t="inlineStr">
        <is>
          <t>F1A</t>
        </is>
      </c>
      <c r="C465" s="8" t="inlineStr">
        <is>
          <t>4-1.51/A-4.49</t>
        </is>
      </c>
      <c r="D465" s="9" t="n">
        <v>16.487</v>
      </c>
      <c r="E465" s="9" t="n">
        <v>-4.487</v>
      </c>
      <c r="F465" s="9" t="n">
        <v>0.6</v>
      </c>
      <c r="G465" s="9" t="n">
        <v>0.6</v>
      </c>
      <c r="H465" s="9" t="n">
        <v>0.3</v>
      </c>
      <c r="I465" s="9" t="n">
        <v>-0.15</v>
      </c>
      <c r="J465" s="9" t="n">
        <v>-0.45</v>
      </c>
      <c r="K465" s="9" t="n">
        <v>-0.6</v>
      </c>
      <c r="L465" s="9" t="n">
        <v>0.6</v>
      </c>
      <c r="M465" s="8" t="n">
        <v>1</v>
      </c>
      <c r="N465" s="8" t="inlineStr">
        <is>
          <t>1x I-220 ยาว 22 ม.</t>
        </is>
      </c>
      <c r="O465" s="8">
        <f>F465*G465*H465</f>
        <v/>
      </c>
      <c r="P465" s="8">
        <f>2*(F465+G465)*H465</f>
        <v/>
      </c>
      <c r="Q465" s="8">
        <f>IF(L465&gt;0,(F465+2*0.1)*(G465+2*0.1)*L465,0)</f>
        <v/>
      </c>
      <c r="R465" s="8">
        <f>(F465+0.2)*(G465+0.2)*0.1</f>
        <v/>
      </c>
      <c r="S465" s="8">
        <f>(F465+0.2)*(G465+0.2)*0.05</f>
        <v/>
      </c>
      <c r="T465" s="8">
        <f>INDEX('2-ฐานราก เหล็กเสริม'!$S:$S,MATCH(B465,'2-ฐานราก เหล็กเสริม'!$A:$A,0))</f>
        <v/>
      </c>
      <c r="U465" s="8" t="inlineStr">
        <is>
          <t>M41</t>
        </is>
      </c>
      <c r="V465" s="10" t="inlineStr">
        <is>
          <t>แบบ S201 (ตำแหน่ง) / ระดับรอยืนยัน</t>
        </is>
      </c>
    </row>
    <row r="466">
      <c r="A466" s="8" t="inlineStr">
        <is>
          <t>F1A-046</t>
        </is>
      </c>
      <c r="B466" s="8" t="inlineStr">
        <is>
          <t>F1A</t>
        </is>
      </c>
      <c r="C466" s="8" t="inlineStr">
        <is>
          <t>4+1.49/A-4.49</t>
        </is>
      </c>
      <c r="D466" s="9" t="n">
        <v>19.493</v>
      </c>
      <c r="E466" s="9" t="n">
        <v>-4.487</v>
      </c>
      <c r="F466" s="9" t="n">
        <v>0.6</v>
      </c>
      <c r="G466" s="9" t="n">
        <v>0.6</v>
      </c>
      <c r="H466" s="9" t="n">
        <v>0.3</v>
      </c>
      <c r="I466" s="9" t="n">
        <v>-0.15</v>
      </c>
      <c r="J466" s="9" t="n">
        <v>-0.45</v>
      </c>
      <c r="K466" s="9" t="n">
        <v>-0.6</v>
      </c>
      <c r="L466" s="9" t="n">
        <v>0.6</v>
      </c>
      <c r="M466" s="8" t="n">
        <v>1</v>
      </c>
      <c r="N466" s="8" t="inlineStr">
        <is>
          <t>1x I-220 ยาว 22 ม.</t>
        </is>
      </c>
      <c r="O466" s="8">
        <f>F466*G466*H466</f>
        <v/>
      </c>
      <c r="P466" s="8">
        <f>2*(F466+G466)*H466</f>
        <v/>
      </c>
      <c r="Q466" s="8">
        <f>IF(L466&gt;0,(F466+2*0.1)*(G466+2*0.1)*L466,0)</f>
        <v/>
      </c>
      <c r="R466" s="8">
        <f>(F466+0.2)*(G466+0.2)*0.1</f>
        <v/>
      </c>
      <c r="S466" s="8">
        <f>(F466+0.2)*(G466+0.2)*0.05</f>
        <v/>
      </c>
      <c r="T466" s="8">
        <f>INDEX('2-ฐานราก เหล็กเสริม'!$S:$S,MATCH(B466,'2-ฐานราก เหล็กเสริม'!$A:$A,0))</f>
        <v/>
      </c>
      <c r="U466" s="8" t="inlineStr">
        <is>
          <t>M41</t>
        </is>
      </c>
      <c r="V466" s="10" t="inlineStr">
        <is>
          <t>แบบ S201 (ตำแหน่ง) / ระดับรอยืนยัน</t>
        </is>
      </c>
    </row>
    <row r="467">
      <c r="A467" s="8" t="inlineStr">
        <is>
          <t>F1A-047</t>
        </is>
      </c>
      <c r="B467" s="8" t="inlineStr">
        <is>
          <t>F1A</t>
        </is>
      </c>
      <c r="C467" s="8" t="inlineStr">
        <is>
          <t>5-1.51/A-4.49</t>
        </is>
      </c>
      <c r="D467" s="9" t="n">
        <v>22.491</v>
      </c>
      <c r="E467" s="9" t="n">
        <v>-4.487</v>
      </c>
      <c r="F467" s="9" t="n">
        <v>0.6</v>
      </c>
      <c r="G467" s="9" t="n">
        <v>0.6</v>
      </c>
      <c r="H467" s="9" t="n">
        <v>0.3</v>
      </c>
      <c r="I467" s="9" t="n">
        <v>-0.15</v>
      </c>
      <c r="J467" s="9" t="n">
        <v>-0.45</v>
      </c>
      <c r="K467" s="9" t="n">
        <v>-0.6</v>
      </c>
      <c r="L467" s="9" t="n">
        <v>0.6</v>
      </c>
      <c r="M467" s="8" t="n">
        <v>1</v>
      </c>
      <c r="N467" s="8" t="inlineStr">
        <is>
          <t>1x I-220 ยาว 22 ม.</t>
        </is>
      </c>
      <c r="O467" s="8">
        <f>F467*G467*H467</f>
        <v/>
      </c>
      <c r="P467" s="8">
        <f>2*(F467+G467)*H467</f>
        <v/>
      </c>
      <c r="Q467" s="8">
        <f>IF(L467&gt;0,(F467+2*0.1)*(G467+2*0.1)*L467,0)</f>
        <v/>
      </c>
      <c r="R467" s="8">
        <f>(F467+0.2)*(G467+0.2)*0.1</f>
        <v/>
      </c>
      <c r="S467" s="8">
        <f>(F467+0.2)*(G467+0.2)*0.05</f>
        <v/>
      </c>
      <c r="T467" s="8">
        <f>INDEX('2-ฐานราก เหล็กเสริม'!$S:$S,MATCH(B467,'2-ฐานราก เหล็กเสริม'!$A:$A,0))</f>
        <v/>
      </c>
      <c r="U467" s="8" t="inlineStr">
        <is>
          <t>M41</t>
        </is>
      </c>
      <c r="V467" s="10" t="inlineStr">
        <is>
          <t>แบบ S201 (ตำแหน่ง) / ระดับรอยืนยัน</t>
        </is>
      </c>
    </row>
    <row r="468">
      <c r="A468" s="8" t="inlineStr">
        <is>
          <t>F1A-048</t>
        </is>
      </c>
      <c r="B468" s="8" t="inlineStr">
        <is>
          <t>F1A</t>
        </is>
      </c>
      <c r="C468" s="8" t="inlineStr">
        <is>
          <t>5+1.49/A-4.49</t>
        </is>
      </c>
      <c r="D468" s="9" t="n">
        <v>25.49</v>
      </c>
      <c r="E468" s="9" t="n">
        <v>-4.487</v>
      </c>
      <c r="F468" s="9" t="n">
        <v>0.6</v>
      </c>
      <c r="G468" s="9" t="n">
        <v>0.6</v>
      </c>
      <c r="H468" s="9" t="n">
        <v>0.3</v>
      </c>
      <c r="I468" s="9" t="n">
        <v>-0.15</v>
      </c>
      <c r="J468" s="9" t="n">
        <v>-0.45</v>
      </c>
      <c r="K468" s="9" t="n">
        <v>-0.6</v>
      </c>
      <c r="L468" s="9" t="n">
        <v>0.6</v>
      </c>
      <c r="M468" s="8" t="n">
        <v>1</v>
      </c>
      <c r="N468" s="8" t="inlineStr">
        <is>
          <t>1x I-220 ยาว 22 ม.</t>
        </is>
      </c>
      <c r="O468" s="8">
        <f>F468*G468*H468</f>
        <v/>
      </c>
      <c r="P468" s="8">
        <f>2*(F468+G468)*H468</f>
        <v/>
      </c>
      <c r="Q468" s="8">
        <f>IF(L468&gt;0,(F468+2*0.1)*(G468+2*0.1)*L468,0)</f>
        <v/>
      </c>
      <c r="R468" s="8">
        <f>(F468+0.2)*(G468+0.2)*0.1</f>
        <v/>
      </c>
      <c r="S468" s="8">
        <f>(F468+0.2)*(G468+0.2)*0.05</f>
        <v/>
      </c>
      <c r="T468" s="8">
        <f>INDEX('2-ฐานราก เหล็กเสริม'!$S:$S,MATCH(B468,'2-ฐานราก เหล็กเสริม'!$A:$A,0))</f>
        <v/>
      </c>
      <c r="U468" s="8" t="inlineStr">
        <is>
          <t>M41</t>
        </is>
      </c>
      <c r="V468" s="10" t="inlineStr">
        <is>
          <t>แบบ S201 (ตำแหน่ง) / ระดับรอยืนยัน</t>
        </is>
      </c>
    </row>
    <row r="469">
      <c r="A469" s="8" t="inlineStr">
        <is>
          <t>F1A-049</t>
        </is>
      </c>
      <c r="B469" s="8" t="inlineStr">
        <is>
          <t>F1A</t>
        </is>
      </c>
      <c r="C469" s="8" t="inlineStr">
        <is>
          <t>6-1.51/A-4.49</t>
        </is>
      </c>
      <c r="D469" s="9" t="n">
        <v>28.489</v>
      </c>
      <c r="E469" s="9" t="n">
        <v>-4.487</v>
      </c>
      <c r="F469" s="9" t="n">
        <v>0.6</v>
      </c>
      <c r="G469" s="9" t="n">
        <v>0.6</v>
      </c>
      <c r="H469" s="9" t="n">
        <v>0.3</v>
      </c>
      <c r="I469" s="9" t="n">
        <v>-0.15</v>
      </c>
      <c r="J469" s="9" t="n">
        <v>-0.45</v>
      </c>
      <c r="K469" s="9" t="n">
        <v>-0.6</v>
      </c>
      <c r="L469" s="9" t="n">
        <v>0.6</v>
      </c>
      <c r="M469" s="8" t="n">
        <v>1</v>
      </c>
      <c r="N469" s="8" t="inlineStr">
        <is>
          <t>1x I-220 ยาว 22 ม.</t>
        </is>
      </c>
      <c r="O469" s="8">
        <f>F469*G469*H469</f>
        <v/>
      </c>
      <c r="P469" s="8">
        <f>2*(F469+G469)*H469</f>
        <v/>
      </c>
      <c r="Q469" s="8">
        <f>IF(L469&gt;0,(F469+2*0.1)*(G469+2*0.1)*L469,0)</f>
        <v/>
      </c>
      <c r="R469" s="8">
        <f>(F469+0.2)*(G469+0.2)*0.1</f>
        <v/>
      </c>
      <c r="S469" s="8">
        <f>(F469+0.2)*(G469+0.2)*0.05</f>
        <v/>
      </c>
      <c r="T469" s="8">
        <f>INDEX('2-ฐานราก เหล็กเสริม'!$S:$S,MATCH(B469,'2-ฐานราก เหล็กเสริม'!$A:$A,0))</f>
        <v/>
      </c>
      <c r="U469" s="8" t="inlineStr">
        <is>
          <t>M41</t>
        </is>
      </c>
      <c r="V469" s="10" t="inlineStr">
        <is>
          <t>แบบ S201 (ตำแหน่ง) / ระดับรอยืนยัน</t>
        </is>
      </c>
    </row>
    <row r="470">
      <c r="A470" s="8" t="inlineStr">
        <is>
          <t>F1A-050</t>
        </is>
      </c>
      <c r="B470" s="8" t="inlineStr">
        <is>
          <t>F1A</t>
        </is>
      </c>
      <c r="C470" s="8" t="inlineStr">
        <is>
          <t>6+1.49/A-4.49</t>
        </is>
      </c>
      <c r="D470" s="9" t="n">
        <v>31.488</v>
      </c>
      <c r="E470" s="9" t="n">
        <v>-4.487</v>
      </c>
      <c r="F470" s="9" t="n">
        <v>0.6</v>
      </c>
      <c r="G470" s="9" t="n">
        <v>0.6</v>
      </c>
      <c r="H470" s="9" t="n">
        <v>0.3</v>
      </c>
      <c r="I470" s="9" t="n">
        <v>-0.15</v>
      </c>
      <c r="J470" s="9" t="n">
        <v>-0.45</v>
      </c>
      <c r="K470" s="9" t="n">
        <v>-0.6</v>
      </c>
      <c r="L470" s="9" t="n">
        <v>0.6</v>
      </c>
      <c r="M470" s="8" t="n">
        <v>1</v>
      </c>
      <c r="N470" s="8" t="inlineStr">
        <is>
          <t>1x I-220 ยาว 22 ม.</t>
        </is>
      </c>
      <c r="O470" s="8">
        <f>F470*G470*H470</f>
        <v/>
      </c>
      <c r="P470" s="8">
        <f>2*(F470+G470)*H470</f>
        <v/>
      </c>
      <c r="Q470" s="8">
        <f>IF(L470&gt;0,(F470+2*0.1)*(G470+2*0.1)*L470,0)</f>
        <v/>
      </c>
      <c r="R470" s="8">
        <f>(F470+0.2)*(G470+0.2)*0.1</f>
        <v/>
      </c>
      <c r="S470" s="8">
        <f>(F470+0.2)*(G470+0.2)*0.05</f>
        <v/>
      </c>
      <c r="T470" s="8">
        <f>INDEX('2-ฐานราก เหล็กเสริม'!$S:$S,MATCH(B470,'2-ฐานราก เหล็กเสริม'!$A:$A,0))</f>
        <v/>
      </c>
      <c r="U470" s="8" t="inlineStr">
        <is>
          <t>M41</t>
        </is>
      </c>
      <c r="V470" s="10" t="inlineStr">
        <is>
          <t>แบบ S201 (ตำแหน่ง) / ระดับรอยืนยัน</t>
        </is>
      </c>
    </row>
    <row r="471">
      <c r="A471" s="8" t="inlineStr">
        <is>
          <t>F1A-051</t>
        </is>
      </c>
      <c r="B471" s="8" t="inlineStr">
        <is>
          <t>F1A</t>
        </is>
      </c>
      <c r="C471" s="8" t="inlineStr">
        <is>
          <t>7-1.51/A-4.49</t>
        </is>
      </c>
      <c r="D471" s="9" t="n">
        <v>34.493</v>
      </c>
      <c r="E471" s="9" t="n">
        <v>-4.487</v>
      </c>
      <c r="F471" s="9" t="n">
        <v>0.6</v>
      </c>
      <c r="G471" s="9" t="n">
        <v>0.6</v>
      </c>
      <c r="H471" s="9" t="n">
        <v>0.3</v>
      </c>
      <c r="I471" s="9" t="n">
        <v>-0.15</v>
      </c>
      <c r="J471" s="9" t="n">
        <v>-0.45</v>
      </c>
      <c r="K471" s="9" t="n">
        <v>-0.6</v>
      </c>
      <c r="L471" s="9" t="n">
        <v>0.6</v>
      </c>
      <c r="M471" s="8" t="n">
        <v>1</v>
      </c>
      <c r="N471" s="8" t="inlineStr">
        <is>
          <t>1x I-220 ยาว 22 ม.</t>
        </is>
      </c>
      <c r="O471" s="8">
        <f>F471*G471*H471</f>
        <v/>
      </c>
      <c r="P471" s="8">
        <f>2*(F471+G471)*H471</f>
        <v/>
      </c>
      <c r="Q471" s="8">
        <f>IF(L471&gt;0,(F471+2*0.1)*(G471+2*0.1)*L471,0)</f>
        <v/>
      </c>
      <c r="R471" s="8">
        <f>(F471+0.2)*(G471+0.2)*0.1</f>
        <v/>
      </c>
      <c r="S471" s="8">
        <f>(F471+0.2)*(G471+0.2)*0.05</f>
        <v/>
      </c>
      <c r="T471" s="8">
        <f>INDEX('2-ฐานราก เหล็กเสริม'!$S:$S,MATCH(B471,'2-ฐานราก เหล็กเสริม'!$A:$A,0))</f>
        <v/>
      </c>
      <c r="U471" s="8" t="inlineStr">
        <is>
          <t>M41</t>
        </is>
      </c>
      <c r="V471" s="10" t="inlineStr">
        <is>
          <t>แบบ S201 (ตำแหน่ง) / ระดับรอยืนยัน</t>
        </is>
      </c>
    </row>
    <row r="472">
      <c r="A472" s="8" t="inlineStr">
        <is>
          <t>F1A-052</t>
        </is>
      </c>
      <c r="B472" s="8" t="inlineStr">
        <is>
          <t>F1A</t>
        </is>
      </c>
      <c r="C472" s="8" t="inlineStr">
        <is>
          <t>7+1.49/A-4.49</t>
        </is>
      </c>
      <c r="D472" s="9" t="n">
        <v>37.492</v>
      </c>
      <c r="E472" s="9" t="n">
        <v>-4.487</v>
      </c>
      <c r="F472" s="9" t="n">
        <v>0.6</v>
      </c>
      <c r="G472" s="9" t="n">
        <v>0.6</v>
      </c>
      <c r="H472" s="9" t="n">
        <v>0.3</v>
      </c>
      <c r="I472" s="9" t="n">
        <v>-0.15</v>
      </c>
      <c r="J472" s="9" t="n">
        <v>-0.45</v>
      </c>
      <c r="K472" s="9" t="n">
        <v>-0.6</v>
      </c>
      <c r="L472" s="9" t="n">
        <v>0.6</v>
      </c>
      <c r="M472" s="8" t="n">
        <v>1</v>
      </c>
      <c r="N472" s="8" t="inlineStr">
        <is>
          <t>1x I-220 ยาว 22 ม.</t>
        </is>
      </c>
      <c r="O472" s="8">
        <f>F472*G472*H472</f>
        <v/>
      </c>
      <c r="P472" s="8">
        <f>2*(F472+G472)*H472</f>
        <v/>
      </c>
      <c r="Q472" s="8">
        <f>IF(L472&gt;0,(F472+2*0.1)*(G472+2*0.1)*L472,0)</f>
        <v/>
      </c>
      <c r="R472" s="8">
        <f>(F472+0.2)*(G472+0.2)*0.1</f>
        <v/>
      </c>
      <c r="S472" s="8">
        <f>(F472+0.2)*(G472+0.2)*0.05</f>
        <v/>
      </c>
      <c r="T472" s="8">
        <f>INDEX('2-ฐานราก เหล็กเสริม'!$S:$S,MATCH(B472,'2-ฐานราก เหล็กเสริม'!$A:$A,0))</f>
        <v/>
      </c>
      <c r="U472" s="8" t="inlineStr">
        <is>
          <t>M41</t>
        </is>
      </c>
      <c r="V472" s="10" t="inlineStr">
        <is>
          <t>แบบ S201 (ตำแหน่ง) / ระดับรอยืนยัน</t>
        </is>
      </c>
    </row>
    <row r="473">
      <c r="A473" s="8" t="inlineStr">
        <is>
          <t>F1A-053</t>
        </is>
      </c>
      <c r="B473" s="8" t="inlineStr">
        <is>
          <t>F1A</t>
        </is>
      </c>
      <c r="C473" s="8" t="inlineStr">
        <is>
          <t>8-1.51/A-4.49</t>
        </is>
      </c>
      <c r="D473" s="9" t="n">
        <v>40.491</v>
      </c>
      <c r="E473" s="9" t="n">
        <v>-4.487</v>
      </c>
      <c r="F473" s="9" t="n">
        <v>0.6</v>
      </c>
      <c r="G473" s="9" t="n">
        <v>0.6</v>
      </c>
      <c r="H473" s="9" t="n">
        <v>0.3</v>
      </c>
      <c r="I473" s="9" t="n">
        <v>-0.15</v>
      </c>
      <c r="J473" s="9" t="n">
        <v>-0.45</v>
      </c>
      <c r="K473" s="9" t="n">
        <v>-0.6</v>
      </c>
      <c r="L473" s="9" t="n">
        <v>0.6</v>
      </c>
      <c r="M473" s="8" t="n">
        <v>1</v>
      </c>
      <c r="N473" s="8" t="inlineStr">
        <is>
          <t>1x I-220 ยาว 22 ม.</t>
        </is>
      </c>
      <c r="O473" s="8">
        <f>F473*G473*H473</f>
        <v/>
      </c>
      <c r="P473" s="8">
        <f>2*(F473+G473)*H473</f>
        <v/>
      </c>
      <c r="Q473" s="8">
        <f>IF(L473&gt;0,(F473+2*0.1)*(G473+2*0.1)*L473,0)</f>
        <v/>
      </c>
      <c r="R473" s="8">
        <f>(F473+0.2)*(G473+0.2)*0.1</f>
        <v/>
      </c>
      <c r="S473" s="8">
        <f>(F473+0.2)*(G473+0.2)*0.05</f>
        <v/>
      </c>
      <c r="T473" s="8">
        <f>INDEX('2-ฐานราก เหล็กเสริม'!$S:$S,MATCH(B473,'2-ฐานราก เหล็กเสริม'!$A:$A,0))</f>
        <v/>
      </c>
      <c r="U473" s="8" t="inlineStr">
        <is>
          <t>M41</t>
        </is>
      </c>
      <c r="V473" s="10" t="inlineStr">
        <is>
          <t>แบบ S201 (ตำแหน่ง) / ระดับรอยืนยัน</t>
        </is>
      </c>
    </row>
    <row r="474">
      <c r="A474" s="8" t="inlineStr">
        <is>
          <t>F1A-054</t>
        </is>
      </c>
      <c r="B474" s="8" t="inlineStr">
        <is>
          <t>F1A</t>
        </is>
      </c>
      <c r="C474" s="8" t="inlineStr">
        <is>
          <t>8+1.49/A-4.49</t>
        </is>
      </c>
      <c r="D474" s="9" t="n">
        <v>43.49</v>
      </c>
      <c r="E474" s="9" t="n">
        <v>-4.487</v>
      </c>
      <c r="F474" s="9" t="n">
        <v>0.6</v>
      </c>
      <c r="G474" s="9" t="n">
        <v>0.6</v>
      </c>
      <c r="H474" s="9" t="n">
        <v>0.3</v>
      </c>
      <c r="I474" s="9" t="n">
        <v>-0.15</v>
      </c>
      <c r="J474" s="9" t="n">
        <v>-0.45</v>
      </c>
      <c r="K474" s="9" t="n">
        <v>-0.6</v>
      </c>
      <c r="L474" s="9" t="n">
        <v>0.6</v>
      </c>
      <c r="M474" s="8" t="n">
        <v>1</v>
      </c>
      <c r="N474" s="8" t="inlineStr">
        <is>
          <t>1x I-220 ยาว 22 ม.</t>
        </is>
      </c>
      <c r="O474" s="8">
        <f>F474*G474*H474</f>
        <v/>
      </c>
      <c r="P474" s="8">
        <f>2*(F474+G474)*H474</f>
        <v/>
      </c>
      <c r="Q474" s="8">
        <f>IF(L474&gt;0,(F474+2*0.1)*(G474+2*0.1)*L474,0)</f>
        <v/>
      </c>
      <c r="R474" s="8">
        <f>(F474+0.2)*(G474+0.2)*0.1</f>
        <v/>
      </c>
      <c r="S474" s="8">
        <f>(F474+0.2)*(G474+0.2)*0.05</f>
        <v/>
      </c>
      <c r="T474" s="8">
        <f>INDEX('2-ฐานราก เหล็กเสริม'!$S:$S,MATCH(B474,'2-ฐานราก เหล็กเสริม'!$A:$A,0))</f>
        <v/>
      </c>
      <c r="U474" s="8" t="inlineStr">
        <is>
          <t>M41</t>
        </is>
      </c>
      <c r="V474" s="10" t="inlineStr">
        <is>
          <t>แบบ S201 (ตำแหน่ง) / ระดับรอยืนยัน</t>
        </is>
      </c>
    </row>
    <row r="475">
      <c r="A475" s="8" t="inlineStr">
        <is>
          <t>F1A-055</t>
        </is>
      </c>
      <c r="B475" s="8" t="inlineStr">
        <is>
          <t>F1A</t>
        </is>
      </c>
      <c r="C475" s="8" t="inlineStr">
        <is>
          <t>9-1.51/A-4.49</t>
        </is>
      </c>
      <c r="D475" s="9" t="n">
        <v>46.488</v>
      </c>
      <c r="E475" s="9" t="n">
        <v>-4.487</v>
      </c>
      <c r="F475" s="9" t="n">
        <v>0.6</v>
      </c>
      <c r="G475" s="9" t="n">
        <v>0.6</v>
      </c>
      <c r="H475" s="9" t="n">
        <v>0.3</v>
      </c>
      <c r="I475" s="9" t="n">
        <v>-0.15</v>
      </c>
      <c r="J475" s="9" t="n">
        <v>-0.45</v>
      </c>
      <c r="K475" s="9" t="n">
        <v>-0.6</v>
      </c>
      <c r="L475" s="9" t="n">
        <v>0.6</v>
      </c>
      <c r="M475" s="8" t="n">
        <v>1</v>
      </c>
      <c r="N475" s="8" t="inlineStr">
        <is>
          <t>1x I-220 ยาว 22 ม.</t>
        </is>
      </c>
      <c r="O475" s="8">
        <f>F475*G475*H475</f>
        <v/>
      </c>
      <c r="P475" s="8">
        <f>2*(F475+G475)*H475</f>
        <v/>
      </c>
      <c r="Q475" s="8">
        <f>IF(L475&gt;0,(F475+2*0.1)*(G475+2*0.1)*L475,0)</f>
        <v/>
      </c>
      <c r="R475" s="8">
        <f>(F475+0.2)*(G475+0.2)*0.1</f>
        <v/>
      </c>
      <c r="S475" s="8">
        <f>(F475+0.2)*(G475+0.2)*0.05</f>
        <v/>
      </c>
      <c r="T475" s="8">
        <f>INDEX('2-ฐานราก เหล็กเสริม'!$S:$S,MATCH(B475,'2-ฐานราก เหล็กเสริม'!$A:$A,0))</f>
        <v/>
      </c>
      <c r="U475" s="8" t="inlineStr">
        <is>
          <t>M41</t>
        </is>
      </c>
      <c r="V475" s="10" t="inlineStr">
        <is>
          <t>แบบ S201 (ตำแหน่ง) / ระดับรอยืนยัน</t>
        </is>
      </c>
    </row>
    <row r="476">
      <c r="A476" s="8" t="inlineStr">
        <is>
          <t>F1A-056</t>
        </is>
      </c>
      <c r="B476" s="8" t="inlineStr">
        <is>
          <t>F1A</t>
        </is>
      </c>
      <c r="C476" s="8" t="inlineStr">
        <is>
          <t>9+1.49/A-4.49</t>
        </is>
      </c>
      <c r="D476" s="9" t="n">
        <v>49.494</v>
      </c>
      <c r="E476" s="9" t="n">
        <v>-4.487</v>
      </c>
      <c r="F476" s="9" t="n">
        <v>0.6</v>
      </c>
      <c r="G476" s="9" t="n">
        <v>0.6</v>
      </c>
      <c r="H476" s="9" t="n">
        <v>0.3</v>
      </c>
      <c r="I476" s="9" t="n">
        <v>-0.15</v>
      </c>
      <c r="J476" s="9" t="n">
        <v>-0.45</v>
      </c>
      <c r="K476" s="9" t="n">
        <v>-0.6</v>
      </c>
      <c r="L476" s="9" t="n">
        <v>0.6</v>
      </c>
      <c r="M476" s="8" t="n">
        <v>1</v>
      </c>
      <c r="N476" s="8" t="inlineStr">
        <is>
          <t>1x I-220 ยาว 22 ม.</t>
        </is>
      </c>
      <c r="O476" s="8">
        <f>F476*G476*H476</f>
        <v/>
      </c>
      <c r="P476" s="8">
        <f>2*(F476+G476)*H476</f>
        <v/>
      </c>
      <c r="Q476" s="8">
        <f>IF(L476&gt;0,(F476+2*0.1)*(G476+2*0.1)*L476,0)</f>
        <v/>
      </c>
      <c r="R476" s="8">
        <f>(F476+0.2)*(G476+0.2)*0.1</f>
        <v/>
      </c>
      <c r="S476" s="8">
        <f>(F476+0.2)*(G476+0.2)*0.05</f>
        <v/>
      </c>
      <c r="T476" s="8">
        <f>INDEX('2-ฐานราก เหล็กเสริม'!$S:$S,MATCH(B476,'2-ฐานราก เหล็กเสริม'!$A:$A,0))</f>
        <v/>
      </c>
      <c r="U476" s="8" t="inlineStr">
        <is>
          <t>M41</t>
        </is>
      </c>
      <c r="V476" s="10" t="inlineStr">
        <is>
          <t>แบบ S201 (ตำแหน่ง) / ระดับรอยืนยัน</t>
        </is>
      </c>
    </row>
    <row r="477">
      <c r="A477" s="8" t="inlineStr">
        <is>
          <t>F1A-057</t>
        </is>
      </c>
      <c r="B477" s="8" t="inlineStr">
        <is>
          <t>F1A</t>
        </is>
      </c>
      <c r="C477" s="8" t="inlineStr">
        <is>
          <t>10-1.51/A-4.49</t>
        </is>
      </c>
      <c r="D477" s="9" t="n">
        <v>52.493</v>
      </c>
      <c r="E477" s="9" t="n">
        <v>-4.487</v>
      </c>
      <c r="F477" s="9" t="n">
        <v>0.6</v>
      </c>
      <c r="G477" s="9" t="n">
        <v>0.6</v>
      </c>
      <c r="H477" s="9" t="n">
        <v>0.3</v>
      </c>
      <c r="I477" s="9" t="n">
        <v>-0.15</v>
      </c>
      <c r="J477" s="9" t="n">
        <v>-0.45</v>
      </c>
      <c r="K477" s="9" t="n">
        <v>-0.6</v>
      </c>
      <c r="L477" s="9" t="n">
        <v>0.6</v>
      </c>
      <c r="M477" s="8" t="n">
        <v>1</v>
      </c>
      <c r="N477" s="8" t="inlineStr">
        <is>
          <t>1x I-220 ยาว 22 ม.</t>
        </is>
      </c>
      <c r="O477" s="8">
        <f>F477*G477*H477</f>
        <v/>
      </c>
      <c r="P477" s="8">
        <f>2*(F477+G477)*H477</f>
        <v/>
      </c>
      <c r="Q477" s="8">
        <f>IF(L477&gt;0,(F477+2*0.1)*(G477+2*0.1)*L477,0)</f>
        <v/>
      </c>
      <c r="R477" s="8">
        <f>(F477+0.2)*(G477+0.2)*0.1</f>
        <v/>
      </c>
      <c r="S477" s="8">
        <f>(F477+0.2)*(G477+0.2)*0.05</f>
        <v/>
      </c>
      <c r="T477" s="8">
        <f>INDEX('2-ฐานราก เหล็กเสริม'!$S:$S,MATCH(B477,'2-ฐานราก เหล็กเสริม'!$A:$A,0))</f>
        <v/>
      </c>
      <c r="U477" s="8" t="inlineStr">
        <is>
          <t>M41</t>
        </is>
      </c>
      <c r="V477" s="10" t="inlineStr">
        <is>
          <t>แบบ S201 (ตำแหน่ง) / ระดับรอยืนยัน</t>
        </is>
      </c>
    </row>
    <row r="478">
      <c r="A478" s="8" t="inlineStr">
        <is>
          <t>F1A-058</t>
        </is>
      </c>
      <c r="B478" s="8" t="inlineStr">
        <is>
          <t>F1A</t>
        </is>
      </c>
      <c r="C478" s="8" t="inlineStr">
        <is>
          <t>10+1.49/A-4.49</t>
        </is>
      </c>
      <c r="D478" s="9" t="n">
        <v>55.492</v>
      </c>
      <c r="E478" s="9" t="n">
        <v>-4.487</v>
      </c>
      <c r="F478" s="9" t="n">
        <v>0.6</v>
      </c>
      <c r="G478" s="9" t="n">
        <v>0.6</v>
      </c>
      <c r="H478" s="9" t="n">
        <v>0.3</v>
      </c>
      <c r="I478" s="9" t="n">
        <v>-0.15</v>
      </c>
      <c r="J478" s="9" t="n">
        <v>-0.45</v>
      </c>
      <c r="K478" s="9" t="n">
        <v>-0.6</v>
      </c>
      <c r="L478" s="9" t="n">
        <v>0.6</v>
      </c>
      <c r="M478" s="8" t="n">
        <v>1</v>
      </c>
      <c r="N478" s="8" t="inlineStr">
        <is>
          <t>1x I-220 ยาว 22 ม.</t>
        </is>
      </c>
      <c r="O478" s="8">
        <f>F478*G478*H478</f>
        <v/>
      </c>
      <c r="P478" s="8">
        <f>2*(F478+G478)*H478</f>
        <v/>
      </c>
      <c r="Q478" s="8">
        <f>IF(L478&gt;0,(F478+2*0.1)*(G478+2*0.1)*L478,0)</f>
        <v/>
      </c>
      <c r="R478" s="8">
        <f>(F478+0.2)*(G478+0.2)*0.1</f>
        <v/>
      </c>
      <c r="S478" s="8">
        <f>(F478+0.2)*(G478+0.2)*0.05</f>
        <v/>
      </c>
      <c r="T478" s="8">
        <f>INDEX('2-ฐานราก เหล็กเสริม'!$S:$S,MATCH(B478,'2-ฐานราก เหล็กเสริม'!$A:$A,0))</f>
        <v/>
      </c>
      <c r="U478" s="8" t="inlineStr">
        <is>
          <t>M41</t>
        </is>
      </c>
      <c r="V478" s="10" t="inlineStr">
        <is>
          <t>แบบ S201 (ตำแหน่ง) / ระดับรอยืนยัน</t>
        </is>
      </c>
    </row>
    <row r="479">
      <c r="A479" s="8" t="inlineStr">
        <is>
          <t>F1A-059</t>
        </is>
      </c>
      <c r="B479" s="8" t="inlineStr">
        <is>
          <t>F1A</t>
        </is>
      </c>
      <c r="C479" s="8" t="inlineStr">
        <is>
          <t>11-1.50/A-4.49</t>
        </is>
      </c>
      <c r="D479" s="9" t="n">
        <v>58.497</v>
      </c>
      <c r="E479" s="9" t="n">
        <v>-4.487</v>
      </c>
      <c r="F479" s="9" t="n">
        <v>0.6</v>
      </c>
      <c r="G479" s="9" t="n">
        <v>0.6</v>
      </c>
      <c r="H479" s="9" t="n">
        <v>0.3</v>
      </c>
      <c r="I479" s="9" t="n">
        <v>-0.15</v>
      </c>
      <c r="J479" s="9" t="n">
        <v>-0.45</v>
      </c>
      <c r="K479" s="9" t="n">
        <v>-0.6</v>
      </c>
      <c r="L479" s="9" t="n">
        <v>0.6</v>
      </c>
      <c r="M479" s="8" t="n">
        <v>1</v>
      </c>
      <c r="N479" s="8" t="inlineStr">
        <is>
          <t>1x I-220 ยาว 22 ม.</t>
        </is>
      </c>
      <c r="O479" s="8">
        <f>F479*G479*H479</f>
        <v/>
      </c>
      <c r="P479" s="8">
        <f>2*(F479+G479)*H479</f>
        <v/>
      </c>
      <c r="Q479" s="8">
        <f>IF(L479&gt;0,(F479+2*0.1)*(G479+2*0.1)*L479,0)</f>
        <v/>
      </c>
      <c r="R479" s="8">
        <f>(F479+0.2)*(G479+0.2)*0.1</f>
        <v/>
      </c>
      <c r="S479" s="8">
        <f>(F479+0.2)*(G479+0.2)*0.05</f>
        <v/>
      </c>
      <c r="T479" s="8">
        <f>INDEX('2-ฐานราก เหล็กเสริม'!$S:$S,MATCH(B479,'2-ฐานราก เหล็กเสริม'!$A:$A,0))</f>
        <v/>
      </c>
      <c r="U479" s="8" t="inlineStr">
        <is>
          <t>M41</t>
        </is>
      </c>
      <c r="V479" s="10" t="inlineStr">
        <is>
          <t>แบบ S201 (ตำแหน่ง) / ระดับรอยืนยัน</t>
        </is>
      </c>
    </row>
    <row r="480">
      <c r="A480" s="8" t="inlineStr">
        <is>
          <t>F1A-060</t>
        </is>
      </c>
      <c r="B480" s="8" t="inlineStr">
        <is>
          <t>F1A</t>
        </is>
      </c>
      <c r="C480" s="8" t="inlineStr">
        <is>
          <t>1-8.26/A-1.50</t>
        </is>
      </c>
      <c r="D480" s="9" t="n">
        <v>-8.263999999999999</v>
      </c>
      <c r="E480" s="9" t="n">
        <v>-1.495</v>
      </c>
      <c r="F480" s="9" t="n">
        <v>0.6</v>
      </c>
      <c r="G480" s="9" t="n">
        <v>0.6</v>
      </c>
      <c r="H480" s="9" t="n">
        <v>0.3</v>
      </c>
      <c r="I480" s="9" t="n">
        <v>-0.15</v>
      </c>
      <c r="J480" s="9" t="n">
        <v>-0.45</v>
      </c>
      <c r="K480" s="9" t="n">
        <v>-0.6</v>
      </c>
      <c r="L480" s="9" t="n">
        <v>0.6</v>
      </c>
      <c r="M480" s="8" t="n">
        <v>1</v>
      </c>
      <c r="N480" s="8" t="inlineStr">
        <is>
          <t>1x I-220 ยาว 22 ม.</t>
        </is>
      </c>
      <c r="O480" s="8">
        <f>F480*G480*H480</f>
        <v/>
      </c>
      <c r="P480" s="8">
        <f>2*(F480+G480)*H480</f>
        <v/>
      </c>
      <c r="Q480" s="8">
        <f>IF(L480&gt;0,(F480+2*0.1)*(G480+2*0.1)*L480,0)</f>
        <v/>
      </c>
      <c r="R480" s="8">
        <f>(F480+0.2)*(G480+0.2)*0.1</f>
        <v/>
      </c>
      <c r="S480" s="8">
        <f>(F480+0.2)*(G480+0.2)*0.05</f>
        <v/>
      </c>
      <c r="T480" s="8">
        <f>INDEX('2-ฐานราก เหล็กเสริม'!$S:$S,MATCH(B480,'2-ฐานราก เหล็กเสริม'!$A:$A,0))</f>
        <v/>
      </c>
      <c r="U480" s="8" t="inlineStr">
        <is>
          <t>M41</t>
        </is>
      </c>
      <c r="V480" s="10" t="inlineStr">
        <is>
          <t>แบบ S201 (ตำแหน่ง) / ระดับรอยืนยัน</t>
        </is>
      </c>
    </row>
    <row r="481">
      <c r="A481" s="8" t="inlineStr">
        <is>
          <t>F1A-061</t>
        </is>
      </c>
      <c r="B481" s="8" t="inlineStr">
        <is>
          <t>F1A</t>
        </is>
      </c>
      <c r="C481" s="8" t="inlineStr">
        <is>
          <t>1-5.27/A-1.50</t>
        </is>
      </c>
      <c r="D481" s="9" t="n">
        <v>-5.266</v>
      </c>
      <c r="E481" s="9" t="n">
        <v>-1.495</v>
      </c>
      <c r="F481" s="9" t="n">
        <v>0.6</v>
      </c>
      <c r="G481" s="9" t="n">
        <v>0.6</v>
      </c>
      <c r="H481" s="9" t="n">
        <v>0.3</v>
      </c>
      <c r="I481" s="9" t="n">
        <v>-0.15</v>
      </c>
      <c r="J481" s="9" t="n">
        <v>-0.45</v>
      </c>
      <c r="K481" s="9" t="n">
        <v>-0.6</v>
      </c>
      <c r="L481" s="9" t="n">
        <v>0.6</v>
      </c>
      <c r="M481" s="8" t="n">
        <v>1</v>
      </c>
      <c r="N481" s="8" t="inlineStr">
        <is>
          <t>1x I-220 ยาว 22 ม.</t>
        </is>
      </c>
      <c r="O481" s="8">
        <f>F481*G481*H481</f>
        <v/>
      </c>
      <c r="P481" s="8">
        <f>2*(F481+G481)*H481</f>
        <v/>
      </c>
      <c r="Q481" s="8">
        <f>IF(L481&gt;0,(F481+2*0.1)*(G481+2*0.1)*L481,0)</f>
        <v/>
      </c>
      <c r="R481" s="8">
        <f>(F481+0.2)*(G481+0.2)*0.1</f>
        <v/>
      </c>
      <c r="S481" s="8">
        <f>(F481+0.2)*(G481+0.2)*0.05</f>
        <v/>
      </c>
      <c r="T481" s="8">
        <f>INDEX('2-ฐานราก เหล็กเสริม'!$S:$S,MATCH(B481,'2-ฐานราก เหล็กเสริม'!$A:$A,0))</f>
        <v/>
      </c>
      <c r="U481" s="8" t="inlineStr">
        <is>
          <t>M41</t>
        </is>
      </c>
      <c r="V481" s="10" t="inlineStr">
        <is>
          <t>แบบ S201 (ตำแหน่ง) / ระดับรอยืนยัน</t>
        </is>
      </c>
    </row>
    <row r="482">
      <c r="A482" s="8" t="inlineStr">
        <is>
          <t>F1A-062</t>
        </is>
      </c>
      <c r="B482" s="8" t="inlineStr">
        <is>
          <t>F1A</t>
        </is>
      </c>
      <c r="C482" s="8" t="inlineStr">
        <is>
          <t>1-1.51/A-1.50</t>
        </is>
      </c>
      <c r="D482" s="9" t="n">
        <v>-1.512</v>
      </c>
      <c r="E482" s="9" t="n">
        <v>-1.495</v>
      </c>
      <c r="F482" s="9" t="n">
        <v>0.6</v>
      </c>
      <c r="G482" s="9" t="n">
        <v>0.6</v>
      </c>
      <c r="H482" s="9" t="n">
        <v>0.3</v>
      </c>
      <c r="I482" s="9" t="n">
        <v>-0.15</v>
      </c>
      <c r="J482" s="9" t="n">
        <v>-0.45</v>
      </c>
      <c r="K482" s="9" t="n">
        <v>-0.6</v>
      </c>
      <c r="L482" s="9" t="n">
        <v>0.6</v>
      </c>
      <c r="M482" s="8" t="n">
        <v>1</v>
      </c>
      <c r="N482" s="8" t="inlineStr">
        <is>
          <t>1x I-220 ยาว 22 ม.</t>
        </is>
      </c>
      <c r="O482" s="8">
        <f>F482*G482*H482</f>
        <v/>
      </c>
      <c r="P482" s="8">
        <f>2*(F482+G482)*H482</f>
        <v/>
      </c>
      <c r="Q482" s="8">
        <f>IF(L482&gt;0,(F482+2*0.1)*(G482+2*0.1)*L482,0)</f>
        <v/>
      </c>
      <c r="R482" s="8">
        <f>(F482+0.2)*(G482+0.2)*0.1</f>
        <v/>
      </c>
      <c r="S482" s="8">
        <f>(F482+0.2)*(G482+0.2)*0.05</f>
        <v/>
      </c>
      <c r="T482" s="8">
        <f>INDEX('2-ฐานราก เหล็กเสริม'!$S:$S,MATCH(B482,'2-ฐานราก เหล็กเสริม'!$A:$A,0))</f>
        <v/>
      </c>
      <c r="U482" s="8" t="inlineStr">
        <is>
          <t>M41</t>
        </is>
      </c>
      <c r="V482" s="10" t="inlineStr">
        <is>
          <t>แบบ S201 (ตำแหน่ง) / ระดับรอยืนยัน</t>
        </is>
      </c>
    </row>
    <row r="483">
      <c r="A483" s="8" t="inlineStr">
        <is>
          <t>F1A-063</t>
        </is>
      </c>
      <c r="B483" s="8" t="inlineStr">
        <is>
          <t>F1A</t>
        </is>
      </c>
      <c r="C483" s="8" t="inlineStr">
        <is>
          <t>1+1.49/A-1.50</t>
        </is>
      </c>
      <c r="D483" s="9" t="n">
        <v>1.487</v>
      </c>
      <c r="E483" s="9" t="n">
        <v>-1.495</v>
      </c>
      <c r="F483" s="9" t="n">
        <v>0.6</v>
      </c>
      <c r="G483" s="9" t="n">
        <v>0.6</v>
      </c>
      <c r="H483" s="9" t="n">
        <v>0.3</v>
      </c>
      <c r="I483" s="9" t="n">
        <v>-0.15</v>
      </c>
      <c r="J483" s="9" t="n">
        <v>-0.45</v>
      </c>
      <c r="K483" s="9" t="n">
        <v>-0.6</v>
      </c>
      <c r="L483" s="9" t="n">
        <v>0.6</v>
      </c>
      <c r="M483" s="8" t="n">
        <v>1</v>
      </c>
      <c r="N483" s="8" t="inlineStr">
        <is>
          <t>1x I-220 ยาว 22 ม.</t>
        </is>
      </c>
      <c r="O483" s="8">
        <f>F483*G483*H483</f>
        <v/>
      </c>
      <c r="P483" s="8">
        <f>2*(F483+G483)*H483</f>
        <v/>
      </c>
      <c r="Q483" s="8">
        <f>IF(L483&gt;0,(F483+2*0.1)*(G483+2*0.1)*L483,0)</f>
        <v/>
      </c>
      <c r="R483" s="8">
        <f>(F483+0.2)*(G483+0.2)*0.1</f>
        <v/>
      </c>
      <c r="S483" s="8">
        <f>(F483+0.2)*(G483+0.2)*0.05</f>
        <v/>
      </c>
      <c r="T483" s="8">
        <f>INDEX('2-ฐานราก เหล็กเสริม'!$S:$S,MATCH(B483,'2-ฐานราก เหล็กเสริม'!$A:$A,0))</f>
        <v/>
      </c>
      <c r="U483" s="8" t="inlineStr">
        <is>
          <t>M41</t>
        </is>
      </c>
      <c r="V483" s="10" t="inlineStr">
        <is>
          <t>แบบ S201 (ตำแหน่ง) / ระดับรอยืนยัน</t>
        </is>
      </c>
    </row>
    <row r="484">
      <c r="A484" s="8" t="inlineStr">
        <is>
          <t>F1A-064</t>
        </is>
      </c>
      <c r="B484" s="8" t="inlineStr">
        <is>
          <t>F1A</t>
        </is>
      </c>
      <c r="C484" s="8" t="inlineStr">
        <is>
          <t>2-1.51/A-1.50</t>
        </is>
      </c>
      <c r="D484" s="9" t="n">
        <v>4.492</v>
      </c>
      <c r="E484" s="9" t="n">
        <v>-1.495</v>
      </c>
      <c r="F484" s="9" t="n">
        <v>0.6</v>
      </c>
      <c r="G484" s="9" t="n">
        <v>0.6</v>
      </c>
      <c r="H484" s="9" t="n">
        <v>0.3</v>
      </c>
      <c r="I484" s="9" t="n">
        <v>-0.15</v>
      </c>
      <c r="J484" s="9" t="n">
        <v>-0.45</v>
      </c>
      <c r="K484" s="9" t="n">
        <v>-0.6</v>
      </c>
      <c r="L484" s="9" t="n">
        <v>0.6</v>
      </c>
      <c r="M484" s="8" t="n">
        <v>1</v>
      </c>
      <c r="N484" s="8" t="inlineStr">
        <is>
          <t>1x I-220 ยาว 22 ม.</t>
        </is>
      </c>
      <c r="O484" s="8">
        <f>F484*G484*H484</f>
        <v/>
      </c>
      <c r="P484" s="8">
        <f>2*(F484+G484)*H484</f>
        <v/>
      </c>
      <c r="Q484" s="8">
        <f>IF(L484&gt;0,(F484+2*0.1)*(G484+2*0.1)*L484,0)</f>
        <v/>
      </c>
      <c r="R484" s="8">
        <f>(F484+0.2)*(G484+0.2)*0.1</f>
        <v/>
      </c>
      <c r="S484" s="8">
        <f>(F484+0.2)*(G484+0.2)*0.05</f>
        <v/>
      </c>
      <c r="T484" s="8">
        <f>INDEX('2-ฐานราก เหล็กเสริม'!$S:$S,MATCH(B484,'2-ฐานราก เหล็กเสริม'!$A:$A,0))</f>
        <v/>
      </c>
      <c r="U484" s="8" t="inlineStr">
        <is>
          <t>M41</t>
        </is>
      </c>
      <c r="V484" s="10" t="inlineStr">
        <is>
          <t>แบบ S201 (ตำแหน่ง) / ระดับรอยืนยัน</t>
        </is>
      </c>
    </row>
    <row r="485">
      <c r="A485" s="8" t="inlineStr">
        <is>
          <t>F1A-065</t>
        </is>
      </c>
      <c r="B485" s="8" t="inlineStr">
        <is>
          <t>F1A</t>
        </is>
      </c>
      <c r="C485" s="8" t="inlineStr">
        <is>
          <t>2+1.48/A-1.50</t>
        </is>
      </c>
      <c r="D485" s="9" t="n">
        <v>7.484</v>
      </c>
      <c r="E485" s="9" t="n">
        <v>-1.495</v>
      </c>
      <c r="F485" s="9" t="n">
        <v>0.6</v>
      </c>
      <c r="G485" s="9" t="n">
        <v>0.6</v>
      </c>
      <c r="H485" s="9" t="n">
        <v>0.3</v>
      </c>
      <c r="I485" s="9" t="n">
        <v>-0.15</v>
      </c>
      <c r="J485" s="9" t="n">
        <v>-0.45</v>
      </c>
      <c r="K485" s="9" t="n">
        <v>-0.6</v>
      </c>
      <c r="L485" s="9" t="n">
        <v>0.6</v>
      </c>
      <c r="M485" s="8" t="n">
        <v>1</v>
      </c>
      <c r="N485" s="8" t="inlineStr">
        <is>
          <t>1x I-220 ยาว 22 ม.</t>
        </is>
      </c>
      <c r="O485" s="8">
        <f>F485*G485*H485</f>
        <v/>
      </c>
      <c r="P485" s="8">
        <f>2*(F485+G485)*H485</f>
        <v/>
      </c>
      <c r="Q485" s="8">
        <f>IF(L485&gt;0,(F485+2*0.1)*(G485+2*0.1)*L485,0)</f>
        <v/>
      </c>
      <c r="R485" s="8">
        <f>(F485+0.2)*(G485+0.2)*0.1</f>
        <v/>
      </c>
      <c r="S485" s="8">
        <f>(F485+0.2)*(G485+0.2)*0.05</f>
        <v/>
      </c>
      <c r="T485" s="8">
        <f>INDEX('2-ฐานราก เหล็กเสริม'!$S:$S,MATCH(B485,'2-ฐานราก เหล็กเสริม'!$A:$A,0))</f>
        <v/>
      </c>
      <c r="U485" s="8" t="inlineStr">
        <is>
          <t>M41</t>
        </is>
      </c>
      <c r="V485" s="10" t="inlineStr">
        <is>
          <t>แบบ S201 (ตำแหน่ง) / ระดับรอยืนยัน</t>
        </is>
      </c>
    </row>
    <row r="486">
      <c r="A486" s="8" t="inlineStr">
        <is>
          <t>F1A-066</t>
        </is>
      </c>
      <c r="B486" s="8" t="inlineStr">
        <is>
          <t>F1A</t>
        </is>
      </c>
      <c r="C486" s="8" t="inlineStr">
        <is>
          <t>3-1.51/A-1.50</t>
        </is>
      </c>
      <c r="D486" s="9" t="n">
        <v>10.49</v>
      </c>
      <c r="E486" s="9" t="n">
        <v>-1.495</v>
      </c>
      <c r="F486" s="9" t="n">
        <v>0.6</v>
      </c>
      <c r="G486" s="9" t="n">
        <v>0.6</v>
      </c>
      <c r="H486" s="9" t="n">
        <v>0.3</v>
      </c>
      <c r="I486" s="9" t="n">
        <v>-0.15</v>
      </c>
      <c r="J486" s="9" t="n">
        <v>-0.45</v>
      </c>
      <c r="K486" s="9" t="n">
        <v>-0.6</v>
      </c>
      <c r="L486" s="9" t="n">
        <v>0.6</v>
      </c>
      <c r="M486" s="8" t="n">
        <v>1</v>
      </c>
      <c r="N486" s="8" t="inlineStr">
        <is>
          <t>1x I-220 ยาว 22 ม.</t>
        </is>
      </c>
      <c r="O486" s="8">
        <f>F486*G486*H486</f>
        <v/>
      </c>
      <c r="P486" s="8">
        <f>2*(F486+G486)*H486</f>
        <v/>
      </c>
      <c r="Q486" s="8">
        <f>IF(L486&gt;0,(F486+2*0.1)*(G486+2*0.1)*L486,0)</f>
        <v/>
      </c>
      <c r="R486" s="8">
        <f>(F486+0.2)*(G486+0.2)*0.1</f>
        <v/>
      </c>
      <c r="S486" s="8">
        <f>(F486+0.2)*(G486+0.2)*0.05</f>
        <v/>
      </c>
      <c r="T486" s="8">
        <f>INDEX('2-ฐานราก เหล็กเสริม'!$S:$S,MATCH(B486,'2-ฐานราก เหล็กเสริม'!$A:$A,0))</f>
        <v/>
      </c>
      <c r="U486" s="8" t="inlineStr">
        <is>
          <t>M41</t>
        </is>
      </c>
      <c r="V486" s="10" t="inlineStr">
        <is>
          <t>แบบ S201 (ตำแหน่ง) / ระดับรอยืนยัน</t>
        </is>
      </c>
    </row>
    <row r="487">
      <c r="A487" s="8" t="inlineStr">
        <is>
          <t>F1A-067</t>
        </is>
      </c>
      <c r="B487" s="8" t="inlineStr">
        <is>
          <t>F1A</t>
        </is>
      </c>
      <c r="C487" s="8" t="inlineStr">
        <is>
          <t>3+1.49/A-1.50</t>
        </is>
      </c>
      <c r="D487" s="9" t="n">
        <v>13.488</v>
      </c>
      <c r="E487" s="9" t="n">
        <v>-1.495</v>
      </c>
      <c r="F487" s="9" t="n">
        <v>0.6</v>
      </c>
      <c r="G487" s="9" t="n">
        <v>0.6</v>
      </c>
      <c r="H487" s="9" t="n">
        <v>0.3</v>
      </c>
      <c r="I487" s="9" t="n">
        <v>-0.15</v>
      </c>
      <c r="J487" s="9" t="n">
        <v>-0.45</v>
      </c>
      <c r="K487" s="9" t="n">
        <v>-0.6</v>
      </c>
      <c r="L487" s="9" t="n">
        <v>0.6</v>
      </c>
      <c r="M487" s="8" t="n">
        <v>1</v>
      </c>
      <c r="N487" s="8" t="inlineStr">
        <is>
          <t>1x I-220 ยาว 22 ม.</t>
        </is>
      </c>
      <c r="O487" s="8">
        <f>F487*G487*H487</f>
        <v/>
      </c>
      <c r="P487" s="8">
        <f>2*(F487+G487)*H487</f>
        <v/>
      </c>
      <c r="Q487" s="8">
        <f>IF(L487&gt;0,(F487+2*0.1)*(G487+2*0.1)*L487,0)</f>
        <v/>
      </c>
      <c r="R487" s="8">
        <f>(F487+0.2)*(G487+0.2)*0.1</f>
        <v/>
      </c>
      <c r="S487" s="8">
        <f>(F487+0.2)*(G487+0.2)*0.05</f>
        <v/>
      </c>
      <c r="T487" s="8">
        <f>INDEX('2-ฐานราก เหล็กเสริม'!$S:$S,MATCH(B487,'2-ฐานราก เหล็กเสริม'!$A:$A,0))</f>
        <v/>
      </c>
      <c r="U487" s="8" t="inlineStr">
        <is>
          <t>M41</t>
        </is>
      </c>
      <c r="V487" s="10" t="inlineStr">
        <is>
          <t>แบบ S201 (ตำแหน่ง) / ระดับรอยืนยัน</t>
        </is>
      </c>
    </row>
    <row r="488">
      <c r="A488" s="8" t="inlineStr">
        <is>
          <t>F1A-068</t>
        </is>
      </c>
      <c r="B488" s="8" t="inlineStr">
        <is>
          <t>F1A</t>
        </is>
      </c>
      <c r="C488" s="8" t="inlineStr">
        <is>
          <t>4-1.51/A-1.50</t>
        </is>
      </c>
      <c r="D488" s="9" t="n">
        <v>16.487</v>
      </c>
      <c r="E488" s="9" t="n">
        <v>-1.495</v>
      </c>
      <c r="F488" s="9" t="n">
        <v>0.6</v>
      </c>
      <c r="G488" s="9" t="n">
        <v>0.6</v>
      </c>
      <c r="H488" s="9" t="n">
        <v>0.3</v>
      </c>
      <c r="I488" s="9" t="n">
        <v>-0.15</v>
      </c>
      <c r="J488" s="9" t="n">
        <v>-0.45</v>
      </c>
      <c r="K488" s="9" t="n">
        <v>-0.6</v>
      </c>
      <c r="L488" s="9" t="n">
        <v>0.6</v>
      </c>
      <c r="M488" s="8" t="n">
        <v>1</v>
      </c>
      <c r="N488" s="8" t="inlineStr">
        <is>
          <t>1x I-220 ยาว 22 ม.</t>
        </is>
      </c>
      <c r="O488" s="8">
        <f>F488*G488*H488</f>
        <v/>
      </c>
      <c r="P488" s="8">
        <f>2*(F488+G488)*H488</f>
        <v/>
      </c>
      <c r="Q488" s="8">
        <f>IF(L488&gt;0,(F488+2*0.1)*(G488+2*0.1)*L488,0)</f>
        <v/>
      </c>
      <c r="R488" s="8">
        <f>(F488+0.2)*(G488+0.2)*0.1</f>
        <v/>
      </c>
      <c r="S488" s="8">
        <f>(F488+0.2)*(G488+0.2)*0.05</f>
        <v/>
      </c>
      <c r="T488" s="8">
        <f>INDEX('2-ฐานราก เหล็กเสริม'!$S:$S,MATCH(B488,'2-ฐานราก เหล็กเสริม'!$A:$A,0))</f>
        <v/>
      </c>
      <c r="U488" s="8" t="inlineStr">
        <is>
          <t>M41</t>
        </is>
      </c>
      <c r="V488" s="10" t="inlineStr">
        <is>
          <t>แบบ S201 (ตำแหน่ง) / ระดับรอยืนยัน</t>
        </is>
      </c>
    </row>
    <row r="489">
      <c r="A489" s="8" t="inlineStr">
        <is>
          <t>F1A-069</t>
        </is>
      </c>
      <c r="B489" s="8" t="inlineStr">
        <is>
          <t>F1A</t>
        </is>
      </c>
      <c r="C489" s="8" t="inlineStr">
        <is>
          <t>4+1.49/A-1.50</t>
        </is>
      </c>
      <c r="D489" s="9" t="n">
        <v>19.493</v>
      </c>
      <c r="E489" s="9" t="n">
        <v>-1.495</v>
      </c>
      <c r="F489" s="9" t="n">
        <v>0.6</v>
      </c>
      <c r="G489" s="9" t="n">
        <v>0.6</v>
      </c>
      <c r="H489" s="9" t="n">
        <v>0.3</v>
      </c>
      <c r="I489" s="9" t="n">
        <v>-0.15</v>
      </c>
      <c r="J489" s="9" t="n">
        <v>-0.45</v>
      </c>
      <c r="K489" s="9" t="n">
        <v>-0.6</v>
      </c>
      <c r="L489" s="9" t="n">
        <v>0.6</v>
      </c>
      <c r="M489" s="8" t="n">
        <v>1</v>
      </c>
      <c r="N489" s="8" t="inlineStr">
        <is>
          <t>1x I-220 ยาว 22 ม.</t>
        </is>
      </c>
      <c r="O489" s="8">
        <f>F489*G489*H489</f>
        <v/>
      </c>
      <c r="P489" s="8">
        <f>2*(F489+G489)*H489</f>
        <v/>
      </c>
      <c r="Q489" s="8">
        <f>IF(L489&gt;0,(F489+2*0.1)*(G489+2*0.1)*L489,0)</f>
        <v/>
      </c>
      <c r="R489" s="8">
        <f>(F489+0.2)*(G489+0.2)*0.1</f>
        <v/>
      </c>
      <c r="S489" s="8">
        <f>(F489+0.2)*(G489+0.2)*0.05</f>
        <v/>
      </c>
      <c r="T489" s="8">
        <f>INDEX('2-ฐานราก เหล็กเสริม'!$S:$S,MATCH(B489,'2-ฐานราก เหล็กเสริม'!$A:$A,0))</f>
        <v/>
      </c>
      <c r="U489" s="8" t="inlineStr">
        <is>
          <t>M41</t>
        </is>
      </c>
      <c r="V489" s="10" t="inlineStr">
        <is>
          <t>แบบ S201 (ตำแหน่ง) / ระดับรอยืนยัน</t>
        </is>
      </c>
    </row>
    <row r="490">
      <c r="A490" s="8" t="inlineStr">
        <is>
          <t>F1A-070</t>
        </is>
      </c>
      <c r="B490" s="8" t="inlineStr">
        <is>
          <t>F1A</t>
        </is>
      </c>
      <c r="C490" s="8" t="inlineStr">
        <is>
          <t>5-1.51/A-1.50</t>
        </is>
      </c>
      <c r="D490" s="9" t="n">
        <v>22.491</v>
      </c>
      <c r="E490" s="9" t="n">
        <v>-1.495</v>
      </c>
      <c r="F490" s="9" t="n">
        <v>0.6</v>
      </c>
      <c r="G490" s="9" t="n">
        <v>0.6</v>
      </c>
      <c r="H490" s="9" t="n">
        <v>0.3</v>
      </c>
      <c r="I490" s="9" t="n">
        <v>-0.15</v>
      </c>
      <c r="J490" s="9" t="n">
        <v>-0.45</v>
      </c>
      <c r="K490" s="9" t="n">
        <v>-0.6</v>
      </c>
      <c r="L490" s="9" t="n">
        <v>0.6</v>
      </c>
      <c r="M490" s="8" t="n">
        <v>1</v>
      </c>
      <c r="N490" s="8" t="inlineStr">
        <is>
          <t>1x I-220 ยาว 22 ม.</t>
        </is>
      </c>
      <c r="O490" s="8">
        <f>F490*G490*H490</f>
        <v/>
      </c>
      <c r="P490" s="8">
        <f>2*(F490+G490)*H490</f>
        <v/>
      </c>
      <c r="Q490" s="8">
        <f>IF(L490&gt;0,(F490+2*0.1)*(G490+2*0.1)*L490,0)</f>
        <v/>
      </c>
      <c r="R490" s="8">
        <f>(F490+0.2)*(G490+0.2)*0.1</f>
        <v/>
      </c>
      <c r="S490" s="8">
        <f>(F490+0.2)*(G490+0.2)*0.05</f>
        <v/>
      </c>
      <c r="T490" s="8">
        <f>INDEX('2-ฐานราก เหล็กเสริม'!$S:$S,MATCH(B490,'2-ฐานราก เหล็กเสริม'!$A:$A,0))</f>
        <v/>
      </c>
      <c r="U490" s="8" t="inlineStr">
        <is>
          <t>M41</t>
        </is>
      </c>
      <c r="V490" s="10" t="inlineStr">
        <is>
          <t>แบบ S201 (ตำแหน่ง) / ระดับรอยืนยัน</t>
        </is>
      </c>
    </row>
    <row r="491">
      <c r="A491" s="8" t="inlineStr">
        <is>
          <t>F1A-071</t>
        </is>
      </c>
      <c r="B491" s="8" t="inlineStr">
        <is>
          <t>F1A</t>
        </is>
      </c>
      <c r="C491" s="8" t="inlineStr">
        <is>
          <t>5+1.49/A-1.50</t>
        </is>
      </c>
      <c r="D491" s="9" t="n">
        <v>25.49</v>
      </c>
      <c r="E491" s="9" t="n">
        <v>-1.495</v>
      </c>
      <c r="F491" s="9" t="n">
        <v>0.6</v>
      </c>
      <c r="G491" s="9" t="n">
        <v>0.6</v>
      </c>
      <c r="H491" s="9" t="n">
        <v>0.3</v>
      </c>
      <c r="I491" s="9" t="n">
        <v>-0.15</v>
      </c>
      <c r="J491" s="9" t="n">
        <v>-0.45</v>
      </c>
      <c r="K491" s="9" t="n">
        <v>-0.6</v>
      </c>
      <c r="L491" s="9" t="n">
        <v>0.6</v>
      </c>
      <c r="M491" s="8" t="n">
        <v>1</v>
      </c>
      <c r="N491" s="8" t="inlineStr">
        <is>
          <t>1x I-220 ยาว 22 ม.</t>
        </is>
      </c>
      <c r="O491" s="8">
        <f>F491*G491*H491</f>
        <v/>
      </c>
      <c r="P491" s="8">
        <f>2*(F491+G491)*H491</f>
        <v/>
      </c>
      <c r="Q491" s="8">
        <f>IF(L491&gt;0,(F491+2*0.1)*(G491+2*0.1)*L491,0)</f>
        <v/>
      </c>
      <c r="R491" s="8">
        <f>(F491+0.2)*(G491+0.2)*0.1</f>
        <v/>
      </c>
      <c r="S491" s="8">
        <f>(F491+0.2)*(G491+0.2)*0.05</f>
        <v/>
      </c>
      <c r="T491" s="8">
        <f>INDEX('2-ฐานราก เหล็กเสริม'!$S:$S,MATCH(B491,'2-ฐานราก เหล็กเสริม'!$A:$A,0))</f>
        <v/>
      </c>
      <c r="U491" s="8" t="inlineStr">
        <is>
          <t>M41</t>
        </is>
      </c>
      <c r="V491" s="10" t="inlineStr">
        <is>
          <t>แบบ S201 (ตำแหน่ง) / ระดับรอยืนยัน</t>
        </is>
      </c>
    </row>
    <row r="492">
      <c r="A492" s="8" t="inlineStr">
        <is>
          <t>F1A-072</t>
        </is>
      </c>
      <c r="B492" s="8" t="inlineStr">
        <is>
          <t>F1A</t>
        </is>
      </c>
      <c r="C492" s="8" t="inlineStr">
        <is>
          <t>6-1.51/A-1.50</t>
        </is>
      </c>
      <c r="D492" s="9" t="n">
        <v>28.489</v>
      </c>
      <c r="E492" s="9" t="n">
        <v>-1.495</v>
      </c>
      <c r="F492" s="9" t="n">
        <v>0.6</v>
      </c>
      <c r="G492" s="9" t="n">
        <v>0.6</v>
      </c>
      <c r="H492" s="9" t="n">
        <v>0.3</v>
      </c>
      <c r="I492" s="9" t="n">
        <v>-0.15</v>
      </c>
      <c r="J492" s="9" t="n">
        <v>-0.45</v>
      </c>
      <c r="K492" s="9" t="n">
        <v>-0.6</v>
      </c>
      <c r="L492" s="9" t="n">
        <v>0.6</v>
      </c>
      <c r="M492" s="8" t="n">
        <v>1</v>
      </c>
      <c r="N492" s="8" t="inlineStr">
        <is>
          <t>1x I-220 ยาว 22 ม.</t>
        </is>
      </c>
      <c r="O492" s="8">
        <f>F492*G492*H492</f>
        <v/>
      </c>
      <c r="P492" s="8">
        <f>2*(F492+G492)*H492</f>
        <v/>
      </c>
      <c r="Q492" s="8">
        <f>IF(L492&gt;0,(F492+2*0.1)*(G492+2*0.1)*L492,0)</f>
        <v/>
      </c>
      <c r="R492" s="8">
        <f>(F492+0.2)*(G492+0.2)*0.1</f>
        <v/>
      </c>
      <c r="S492" s="8">
        <f>(F492+0.2)*(G492+0.2)*0.05</f>
        <v/>
      </c>
      <c r="T492" s="8">
        <f>INDEX('2-ฐานราก เหล็กเสริม'!$S:$S,MATCH(B492,'2-ฐานราก เหล็กเสริม'!$A:$A,0))</f>
        <v/>
      </c>
      <c r="U492" s="8" t="inlineStr">
        <is>
          <t>M41</t>
        </is>
      </c>
      <c r="V492" s="10" t="inlineStr">
        <is>
          <t>แบบ S201 (ตำแหน่ง) / ระดับรอยืนยัน</t>
        </is>
      </c>
    </row>
    <row r="493">
      <c r="A493" s="8" t="inlineStr">
        <is>
          <t>F1A-073</t>
        </is>
      </c>
      <c r="B493" s="8" t="inlineStr">
        <is>
          <t>F1A</t>
        </is>
      </c>
      <c r="C493" s="8" t="inlineStr">
        <is>
          <t>6+1.49/A-1.50</t>
        </is>
      </c>
      <c r="D493" s="9" t="n">
        <v>31.488</v>
      </c>
      <c r="E493" s="9" t="n">
        <v>-1.495</v>
      </c>
      <c r="F493" s="9" t="n">
        <v>0.6</v>
      </c>
      <c r="G493" s="9" t="n">
        <v>0.6</v>
      </c>
      <c r="H493" s="9" t="n">
        <v>0.3</v>
      </c>
      <c r="I493" s="9" t="n">
        <v>-0.15</v>
      </c>
      <c r="J493" s="9" t="n">
        <v>-0.45</v>
      </c>
      <c r="K493" s="9" t="n">
        <v>-0.6</v>
      </c>
      <c r="L493" s="9" t="n">
        <v>0.6</v>
      </c>
      <c r="M493" s="8" t="n">
        <v>1</v>
      </c>
      <c r="N493" s="8" t="inlineStr">
        <is>
          <t>1x I-220 ยาว 22 ม.</t>
        </is>
      </c>
      <c r="O493" s="8">
        <f>F493*G493*H493</f>
        <v/>
      </c>
      <c r="P493" s="8">
        <f>2*(F493+G493)*H493</f>
        <v/>
      </c>
      <c r="Q493" s="8">
        <f>IF(L493&gt;0,(F493+2*0.1)*(G493+2*0.1)*L493,0)</f>
        <v/>
      </c>
      <c r="R493" s="8">
        <f>(F493+0.2)*(G493+0.2)*0.1</f>
        <v/>
      </c>
      <c r="S493" s="8">
        <f>(F493+0.2)*(G493+0.2)*0.05</f>
        <v/>
      </c>
      <c r="T493" s="8">
        <f>INDEX('2-ฐานราก เหล็กเสริม'!$S:$S,MATCH(B493,'2-ฐานราก เหล็กเสริม'!$A:$A,0))</f>
        <v/>
      </c>
      <c r="U493" s="8" t="inlineStr">
        <is>
          <t>M41</t>
        </is>
      </c>
      <c r="V493" s="10" t="inlineStr">
        <is>
          <t>แบบ S201 (ตำแหน่ง) / ระดับรอยืนยัน</t>
        </is>
      </c>
    </row>
    <row r="494">
      <c r="A494" s="8" t="inlineStr">
        <is>
          <t>F1A-074</t>
        </is>
      </c>
      <c r="B494" s="8" t="inlineStr">
        <is>
          <t>F1A</t>
        </is>
      </c>
      <c r="C494" s="8" t="inlineStr">
        <is>
          <t>7-1.51/A-1.50</t>
        </is>
      </c>
      <c r="D494" s="9" t="n">
        <v>34.493</v>
      </c>
      <c r="E494" s="9" t="n">
        <v>-1.495</v>
      </c>
      <c r="F494" s="9" t="n">
        <v>0.6</v>
      </c>
      <c r="G494" s="9" t="n">
        <v>0.6</v>
      </c>
      <c r="H494" s="9" t="n">
        <v>0.3</v>
      </c>
      <c r="I494" s="9" t="n">
        <v>-0.15</v>
      </c>
      <c r="J494" s="9" t="n">
        <v>-0.45</v>
      </c>
      <c r="K494" s="9" t="n">
        <v>-0.6</v>
      </c>
      <c r="L494" s="9" t="n">
        <v>0.6</v>
      </c>
      <c r="M494" s="8" t="n">
        <v>1</v>
      </c>
      <c r="N494" s="8" t="inlineStr">
        <is>
          <t>1x I-220 ยาว 22 ม.</t>
        </is>
      </c>
      <c r="O494" s="8">
        <f>F494*G494*H494</f>
        <v/>
      </c>
      <c r="P494" s="8">
        <f>2*(F494+G494)*H494</f>
        <v/>
      </c>
      <c r="Q494" s="8">
        <f>IF(L494&gt;0,(F494+2*0.1)*(G494+2*0.1)*L494,0)</f>
        <v/>
      </c>
      <c r="R494" s="8">
        <f>(F494+0.2)*(G494+0.2)*0.1</f>
        <v/>
      </c>
      <c r="S494" s="8">
        <f>(F494+0.2)*(G494+0.2)*0.05</f>
        <v/>
      </c>
      <c r="T494" s="8">
        <f>INDEX('2-ฐานราก เหล็กเสริม'!$S:$S,MATCH(B494,'2-ฐานราก เหล็กเสริม'!$A:$A,0))</f>
        <v/>
      </c>
      <c r="U494" s="8" t="inlineStr">
        <is>
          <t>M41</t>
        </is>
      </c>
      <c r="V494" s="10" t="inlineStr">
        <is>
          <t>แบบ S201 (ตำแหน่ง) / ระดับรอยืนยัน</t>
        </is>
      </c>
    </row>
    <row r="495">
      <c r="A495" s="8" t="inlineStr">
        <is>
          <t>F1A-075</t>
        </is>
      </c>
      <c r="B495" s="8" t="inlineStr">
        <is>
          <t>F1A</t>
        </is>
      </c>
      <c r="C495" s="8" t="inlineStr">
        <is>
          <t>7+1.49/A-1.50</t>
        </is>
      </c>
      <c r="D495" s="9" t="n">
        <v>37.492</v>
      </c>
      <c r="E495" s="9" t="n">
        <v>-1.495</v>
      </c>
      <c r="F495" s="9" t="n">
        <v>0.6</v>
      </c>
      <c r="G495" s="9" t="n">
        <v>0.6</v>
      </c>
      <c r="H495" s="9" t="n">
        <v>0.3</v>
      </c>
      <c r="I495" s="9" t="n">
        <v>-0.15</v>
      </c>
      <c r="J495" s="9" t="n">
        <v>-0.45</v>
      </c>
      <c r="K495" s="9" t="n">
        <v>-0.6</v>
      </c>
      <c r="L495" s="9" t="n">
        <v>0.6</v>
      </c>
      <c r="M495" s="8" t="n">
        <v>1</v>
      </c>
      <c r="N495" s="8" t="inlineStr">
        <is>
          <t>1x I-220 ยาว 22 ม.</t>
        </is>
      </c>
      <c r="O495" s="8">
        <f>F495*G495*H495</f>
        <v/>
      </c>
      <c r="P495" s="8">
        <f>2*(F495+G495)*H495</f>
        <v/>
      </c>
      <c r="Q495" s="8">
        <f>IF(L495&gt;0,(F495+2*0.1)*(G495+2*0.1)*L495,0)</f>
        <v/>
      </c>
      <c r="R495" s="8">
        <f>(F495+0.2)*(G495+0.2)*0.1</f>
        <v/>
      </c>
      <c r="S495" s="8">
        <f>(F495+0.2)*(G495+0.2)*0.05</f>
        <v/>
      </c>
      <c r="T495" s="8">
        <f>INDEX('2-ฐานราก เหล็กเสริม'!$S:$S,MATCH(B495,'2-ฐานราก เหล็กเสริม'!$A:$A,0))</f>
        <v/>
      </c>
      <c r="U495" s="8" t="inlineStr">
        <is>
          <t>M41</t>
        </is>
      </c>
      <c r="V495" s="10" t="inlineStr">
        <is>
          <t>แบบ S201 (ตำแหน่ง) / ระดับรอยืนยัน</t>
        </is>
      </c>
    </row>
    <row r="496">
      <c r="A496" s="8" t="inlineStr">
        <is>
          <t>F1A-076</t>
        </is>
      </c>
      <c r="B496" s="8" t="inlineStr">
        <is>
          <t>F1A</t>
        </is>
      </c>
      <c r="C496" s="8" t="inlineStr">
        <is>
          <t>8-1.51/A-1.50</t>
        </is>
      </c>
      <c r="D496" s="9" t="n">
        <v>40.491</v>
      </c>
      <c r="E496" s="9" t="n">
        <v>-1.495</v>
      </c>
      <c r="F496" s="9" t="n">
        <v>0.6</v>
      </c>
      <c r="G496" s="9" t="n">
        <v>0.6</v>
      </c>
      <c r="H496" s="9" t="n">
        <v>0.3</v>
      </c>
      <c r="I496" s="9" t="n">
        <v>-0.15</v>
      </c>
      <c r="J496" s="9" t="n">
        <v>-0.45</v>
      </c>
      <c r="K496" s="9" t="n">
        <v>-0.6</v>
      </c>
      <c r="L496" s="9" t="n">
        <v>0.6</v>
      </c>
      <c r="M496" s="8" t="n">
        <v>1</v>
      </c>
      <c r="N496" s="8" t="inlineStr">
        <is>
          <t>1x I-220 ยาว 22 ม.</t>
        </is>
      </c>
      <c r="O496" s="8">
        <f>F496*G496*H496</f>
        <v/>
      </c>
      <c r="P496" s="8">
        <f>2*(F496+G496)*H496</f>
        <v/>
      </c>
      <c r="Q496" s="8">
        <f>IF(L496&gt;0,(F496+2*0.1)*(G496+2*0.1)*L496,0)</f>
        <v/>
      </c>
      <c r="R496" s="8">
        <f>(F496+0.2)*(G496+0.2)*0.1</f>
        <v/>
      </c>
      <c r="S496" s="8">
        <f>(F496+0.2)*(G496+0.2)*0.05</f>
        <v/>
      </c>
      <c r="T496" s="8">
        <f>INDEX('2-ฐานราก เหล็กเสริม'!$S:$S,MATCH(B496,'2-ฐานราก เหล็กเสริม'!$A:$A,0))</f>
        <v/>
      </c>
      <c r="U496" s="8" t="inlineStr">
        <is>
          <t>M41</t>
        </is>
      </c>
      <c r="V496" s="10" t="inlineStr">
        <is>
          <t>แบบ S201 (ตำแหน่ง) / ระดับรอยืนยัน</t>
        </is>
      </c>
    </row>
    <row r="497">
      <c r="A497" s="8" t="inlineStr">
        <is>
          <t>F1A-077</t>
        </is>
      </c>
      <c r="B497" s="8" t="inlineStr">
        <is>
          <t>F1A</t>
        </is>
      </c>
      <c r="C497" s="8" t="inlineStr">
        <is>
          <t>8+1.49/A-1.50</t>
        </is>
      </c>
      <c r="D497" s="9" t="n">
        <v>43.49</v>
      </c>
      <c r="E497" s="9" t="n">
        <v>-1.495</v>
      </c>
      <c r="F497" s="9" t="n">
        <v>0.6</v>
      </c>
      <c r="G497" s="9" t="n">
        <v>0.6</v>
      </c>
      <c r="H497" s="9" t="n">
        <v>0.3</v>
      </c>
      <c r="I497" s="9" t="n">
        <v>-0.15</v>
      </c>
      <c r="J497" s="9" t="n">
        <v>-0.45</v>
      </c>
      <c r="K497" s="9" t="n">
        <v>-0.6</v>
      </c>
      <c r="L497" s="9" t="n">
        <v>0.6</v>
      </c>
      <c r="M497" s="8" t="n">
        <v>1</v>
      </c>
      <c r="N497" s="8" t="inlineStr">
        <is>
          <t>1x I-220 ยาว 22 ม.</t>
        </is>
      </c>
      <c r="O497" s="8">
        <f>F497*G497*H497</f>
        <v/>
      </c>
      <c r="P497" s="8">
        <f>2*(F497+G497)*H497</f>
        <v/>
      </c>
      <c r="Q497" s="8">
        <f>IF(L497&gt;0,(F497+2*0.1)*(G497+2*0.1)*L497,0)</f>
        <v/>
      </c>
      <c r="R497" s="8">
        <f>(F497+0.2)*(G497+0.2)*0.1</f>
        <v/>
      </c>
      <c r="S497" s="8">
        <f>(F497+0.2)*(G497+0.2)*0.05</f>
        <v/>
      </c>
      <c r="T497" s="8">
        <f>INDEX('2-ฐานราก เหล็กเสริม'!$S:$S,MATCH(B497,'2-ฐานราก เหล็กเสริม'!$A:$A,0))</f>
        <v/>
      </c>
      <c r="U497" s="8" t="inlineStr">
        <is>
          <t>M41</t>
        </is>
      </c>
      <c r="V497" s="10" t="inlineStr">
        <is>
          <t>แบบ S201 (ตำแหน่ง) / ระดับรอยืนยัน</t>
        </is>
      </c>
    </row>
    <row r="498">
      <c r="A498" s="8" t="inlineStr">
        <is>
          <t>F1A-078</t>
        </is>
      </c>
      <c r="B498" s="8" t="inlineStr">
        <is>
          <t>F1A</t>
        </is>
      </c>
      <c r="C498" s="8" t="inlineStr">
        <is>
          <t>9-1.51/A-1.50</t>
        </is>
      </c>
      <c r="D498" s="9" t="n">
        <v>46.488</v>
      </c>
      <c r="E498" s="9" t="n">
        <v>-1.495</v>
      </c>
      <c r="F498" s="9" t="n">
        <v>0.6</v>
      </c>
      <c r="G498" s="9" t="n">
        <v>0.6</v>
      </c>
      <c r="H498" s="9" t="n">
        <v>0.3</v>
      </c>
      <c r="I498" s="9" t="n">
        <v>-0.15</v>
      </c>
      <c r="J498" s="9" t="n">
        <v>-0.45</v>
      </c>
      <c r="K498" s="9" t="n">
        <v>-0.6</v>
      </c>
      <c r="L498" s="9" t="n">
        <v>0.6</v>
      </c>
      <c r="M498" s="8" t="n">
        <v>1</v>
      </c>
      <c r="N498" s="8" t="inlineStr">
        <is>
          <t>1x I-220 ยาว 22 ม.</t>
        </is>
      </c>
      <c r="O498" s="8">
        <f>F498*G498*H498</f>
        <v/>
      </c>
      <c r="P498" s="8">
        <f>2*(F498+G498)*H498</f>
        <v/>
      </c>
      <c r="Q498" s="8">
        <f>IF(L498&gt;0,(F498+2*0.1)*(G498+2*0.1)*L498,0)</f>
        <v/>
      </c>
      <c r="R498" s="8">
        <f>(F498+0.2)*(G498+0.2)*0.1</f>
        <v/>
      </c>
      <c r="S498" s="8">
        <f>(F498+0.2)*(G498+0.2)*0.05</f>
        <v/>
      </c>
      <c r="T498" s="8">
        <f>INDEX('2-ฐานราก เหล็กเสริม'!$S:$S,MATCH(B498,'2-ฐานราก เหล็กเสริม'!$A:$A,0))</f>
        <v/>
      </c>
      <c r="U498" s="8" t="inlineStr">
        <is>
          <t>M41</t>
        </is>
      </c>
      <c r="V498" s="10" t="inlineStr">
        <is>
          <t>แบบ S201 (ตำแหน่ง) / ระดับรอยืนยัน</t>
        </is>
      </c>
    </row>
    <row r="499">
      <c r="A499" s="8" t="inlineStr">
        <is>
          <t>F1A-079</t>
        </is>
      </c>
      <c r="B499" s="8" t="inlineStr">
        <is>
          <t>F1A</t>
        </is>
      </c>
      <c r="C499" s="8" t="inlineStr">
        <is>
          <t>9+1.49/A-1.50</t>
        </is>
      </c>
      <c r="D499" s="9" t="n">
        <v>49.494</v>
      </c>
      <c r="E499" s="9" t="n">
        <v>-1.495</v>
      </c>
      <c r="F499" s="9" t="n">
        <v>0.6</v>
      </c>
      <c r="G499" s="9" t="n">
        <v>0.6</v>
      </c>
      <c r="H499" s="9" t="n">
        <v>0.3</v>
      </c>
      <c r="I499" s="9" t="n">
        <v>-0.15</v>
      </c>
      <c r="J499" s="9" t="n">
        <v>-0.45</v>
      </c>
      <c r="K499" s="9" t="n">
        <v>-0.6</v>
      </c>
      <c r="L499" s="9" t="n">
        <v>0.6</v>
      </c>
      <c r="M499" s="8" t="n">
        <v>1</v>
      </c>
      <c r="N499" s="8" t="inlineStr">
        <is>
          <t>1x I-220 ยาว 22 ม.</t>
        </is>
      </c>
      <c r="O499" s="8">
        <f>F499*G499*H499</f>
        <v/>
      </c>
      <c r="P499" s="8">
        <f>2*(F499+G499)*H499</f>
        <v/>
      </c>
      <c r="Q499" s="8">
        <f>IF(L499&gt;0,(F499+2*0.1)*(G499+2*0.1)*L499,0)</f>
        <v/>
      </c>
      <c r="R499" s="8">
        <f>(F499+0.2)*(G499+0.2)*0.1</f>
        <v/>
      </c>
      <c r="S499" s="8">
        <f>(F499+0.2)*(G499+0.2)*0.05</f>
        <v/>
      </c>
      <c r="T499" s="8">
        <f>INDEX('2-ฐานราก เหล็กเสริม'!$S:$S,MATCH(B499,'2-ฐานราก เหล็กเสริม'!$A:$A,0))</f>
        <v/>
      </c>
      <c r="U499" s="8" t="inlineStr">
        <is>
          <t>M41</t>
        </is>
      </c>
      <c r="V499" s="10" t="inlineStr">
        <is>
          <t>แบบ S201 (ตำแหน่ง) / ระดับรอยืนยัน</t>
        </is>
      </c>
    </row>
    <row r="500">
      <c r="A500" s="8" t="inlineStr">
        <is>
          <t>F1A-080</t>
        </is>
      </c>
      <c r="B500" s="8" t="inlineStr">
        <is>
          <t>F1A</t>
        </is>
      </c>
      <c r="C500" s="8" t="inlineStr">
        <is>
          <t>10-1.51/A-1.50</t>
        </is>
      </c>
      <c r="D500" s="9" t="n">
        <v>52.493</v>
      </c>
      <c r="E500" s="9" t="n">
        <v>-1.495</v>
      </c>
      <c r="F500" s="9" t="n">
        <v>0.6</v>
      </c>
      <c r="G500" s="9" t="n">
        <v>0.6</v>
      </c>
      <c r="H500" s="9" t="n">
        <v>0.3</v>
      </c>
      <c r="I500" s="9" t="n">
        <v>-0.15</v>
      </c>
      <c r="J500" s="9" t="n">
        <v>-0.45</v>
      </c>
      <c r="K500" s="9" t="n">
        <v>-0.6</v>
      </c>
      <c r="L500" s="9" t="n">
        <v>0.6</v>
      </c>
      <c r="M500" s="8" t="n">
        <v>1</v>
      </c>
      <c r="N500" s="8" t="inlineStr">
        <is>
          <t>1x I-220 ยาว 22 ม.</t>
        </is>
      </c>
      <c r="O500" s="8">
        <f>F500*G500*H500</f>
        <v/>
      </c>
      <c r="P500" s="8">
        <f>2*(F500+G500)*H500</f>
        <v/>
      </c>
      <c r="Q500" s="8">
        <f>IF(L500&gt;0,(F500+2*0.1)*(G500+2*0.1)*L500,0)</f>
        <v/>
      </c>
      <c r="R500" s="8">
        <f>(F500+0.2)*(G500+0.2)*0.1</f>
        <v/>
      </c>
      <c r="S500" s="8">
        <f>(F500+0.2)*(G500+0.2)*0.05</f>
        <v/>
      </c>
      <c r="T500" s="8">
        <f>INDEX('2-ฐานราก เหล็กเสริม'!$S:$S,MATCH(B500,'2-ฐานราก เหล็กเสริม'!$A:$A,0))</f>
        <v/>
      </c>
      <c r="U500" s="8" t="inlineStr">
        <is>
          <t>M41</t>
        </is>
      </c>
      <c r="V500" s="10" t="inlineStr">
        <is>
          <t>แบบ S201 (ตำแหน่ง) / ระดับรอยืนยัน</t>
        </is>
      </c>
    </row>
    <row r="501">
      <c r="A501" s="8" t="inlineStr">
        <is>
          <t>F1A-081</t>
        </is>
      </c>
      <c r="B501" s="8" t="inlineStr">
        <is>
          <t>F1A</t>
        </is>
      </c>
      <c r="C501" s="8" t="inlineStr">
        <is>
          <t>10+1.49/A-1.50</t>
        </is>
      </c>
      <c r="D501" s="9" t="n">
        <v>55.492</v>
      </c>
      <c r="E501" s="9" t="n">
        <v>-1.495</v>
      </c>
      <c r="F501" s="9" t="n">
        <v>0.6</v>
      </c>
      <c r="G501" s="9" t="n">
        <v>0.6</v>
      </c>
      <c r="H501" s="9" t="n">
        <v>0.3</v>
      </c>
      <c r="I501" s="9" t="n">
        <v>-0.15</v>
      </c>
      <c r="J501" s="9" t="n">
        <v>-0.45</v>
      </c>
      <c r="K501" s="9" t="n">
        <v>-0.6</v>
      </c>
      <c r="L501" s="9" t="n">
        <v>0.6</v>
      </c>
      <c r="M501" s="8" t="n">
        <v>1</v>
      </c>
      <c r="N501" s="8" t="inlineStr">
        <is>
          <t>1x I-220 ยาว 22 ม.</t>
        </is>
      </c>
      <c r="O501" s="8">
        <f>F501*G501*H501</f>
        <v/>
      </c>
      <c r="P501" s="8">
        <f>2*(F501+G501)*H501</f>
        <v/>
      </c>
      <c r="Q501" s="8">
        <f>IF(L501&gt;0,(F501+2*0.1)*(G501+2*0.1)*L501,0)</f>
        <v/>
      </c>
      <c r="R501" s="8">
        <f>(F501+0.2)*(G501+0.2)*0.1</f>
        <v/>
      </c>
      <c r="S501" s="8">
        <f>(F501+0.2)*(G501+0.2)*0.05</f>
        <v/>
      </c>
      <c r="T501" s="8">
        <f>INDEX('2-ฐานราก เหล็กเสริม'!$S:$S,MATCH(B501,'2-ฐานราก เหล็กเสริม'!$A:$A,0))</f>
        <v/>
      </c>
      <c r="U501" s="8" t="inlineStr">
        <is>
          <t>M41</t>
        </is>
      </c>
      <c r="V501" s="10" t="inlineStr">
        <is>
          <t>แบบ S201 (ตำแหน่ง) / ระดับรอยืนยัน</t>
        </is>
      </c>
    </row>
    <row r="502">
      <c r="A502" s="8" t="inlineStr">
        <is>
          <t>F1A-082</t>
        </is>
      </c>
      <c r="B502" s="8" t="inlineStr">
        <is>
          <t>F1A</t>
        </is>
      </c>
      <c r="C502" s="8" t="inlineStr">
        <is>
          <t>11-1.50/A-1.50</t>
        </is>
      </c>
      <c r="D502" s="9" t="n">
        <v>58.497</v>
      </c>
      <c r="E502" s="9" t="n">
        <v>-1.495</v>
      </c>
      <c r="F502" s="9" t="n">
        <v>0.6</v>
      </c>
      <c r="G502" s="9" t="n">
        <v>0.6</v>
      </c>
      <c r="H502" s="9" t="n">
        <v>0.3</v>
      </c>
      <c r="I502" s="9" t="n">
        <v>-0.15</v>
      </c>
      <c r="J502" s="9" t="n">
        <v>-0.45</v>
      </c>
      <c r="K502" s="9" t="n">
        <v>-0.6</v>
      </c>
      <c r="L502" s="9" t="n">
        <v>0.6</v>
      </c>
      <c r="M502" s="8" t="n">
        <v>1</v>
      </c>
      <c r="N502" s="8" t="inlineStr">
        <is>
          <t>1x I-220 ยาว 22 ม.</t>
        </is>
      </c>
      <c r="O502" s="8">
        <f>F502*G502*H502</f>
        <v/>
      </c>
      <c r="P502" s="8">
        <f>2*(F502+G502)*H502</f>
        <v/>
      </c>
      <c r="Q502" s="8">
        <f>IF(L502&gt;0,(F502+2*0.1)*(G502+2*0.1)*L502,0)</f>
        <v/>
      </c>
      <c r="R502" s="8">
        <f>(F502+0.2)*(G502+0.2)*0.1</f>
        <v/>
      </c>
      <c r="S502" s="8">
        <f>(F502+0.2)*(G502+0.2)*0.05</f>
        <v/>
      </c>
      <c r="T502" s="8">
        <f>INDEX('2-ฐานราก เหล็กเสริม'!$S:$S,MATCH(B502,'2-ฐานราก เหล็กเสริม'!$A:$A,0))</f>
        <v/>
      </c>
      <c r="U502" s="8" t="inlineStr">
        <is>
          <t>M41</t>
        </is>
      </c>
      <c r="V502" s="10" t="inlineStr">
        <is>
          <t>แบบ S201 (ตำแหน่ง) / ระดับรอยืนยัน</t>
        </is>
      </c>
    </row>
    <row r="503">
      <c r="A503" s="8" t="inlineStr">
        <is>
          <t>F1A-083</t>
        </is>
      </c>
      <c r="B503" s="8" t="inlineStr">
        <is>
          <t>F1A</t>
        </is>
      </c>
      <c r="C503" s="8" t="inlineStr">
        <is>
          <t>11+1.49/A-1.50</t>
        </is>
      </c>
      <c r="D503" s="9" t="n">
        <v>61.489</v>
      </c>
      <c r="E503" s="9" t="n">
        <v>-1.495</v>
      </c>
      <c r="F503" s="9" t="n">
        <v>0.6</v>
      </c>
      <c r="G503" s="9" t="n">
        <v>0.6</v>
      </c>
      <c r="H503" s="9" t="n">
        <v>0.3</v>
      </c>
      <c r="I503" s="9" t="n">
        <v>-0.15</v>
      </c>
      <c r="J503" s="9" t="n">
        <v>-0.45</v>
      </c>
      <c r="K503" s="9" t="n">
        <v>-0.6</v>
      </c>
      <c r="L503" s="9" t="n">
        <v>0.6</v>
      </c>
      <c r="M503" s="8" t="n">
        <v>1</v>
      </c>
      <c r="N503" s="8" t="inlineStr">
        <is>
          <t>1x I-220 ยาว 22 ม.</t>
        </is>
      </c>
      <c r="O503" s="8">
        <f>F503*G503*H503</f>
        <v/>
      </c>
      <c r="P503" s="8">
        <f>2*(F503+G503)*H503</f>
        <v/>
      </c>
      <c r="Q503" s="8">
        <f>IF(L503&gt;0,(F503+2*0.1)*(G503+2*0.1)*L503,0)</f>
        <v/>
      </c>
      <c r="R503" s="8">
        <f>(F503+0.2)*(G503+0.2)*0.1</f>
        <v/>
      </c>
      <c r="S503" s="8">
        <f>(F503+0.2)*(G503+0.2)*0.05</f>
        <v/>
      </c>
      <c r="T503" s="8">
        <f>INDEX('2-ฐานราก เหล็กเสริม'!$S:$S,MATCH(B503,'2-ฐานราก เหล็กเสริม'!$A:$A,0))</f>
        <v/>
      </c>
      <c r="U503" s="8" t="inlineStr">
        <is>
          <t>M41</t>
        </is>
      </c>
      <c r="V503" s="10" t="inlineStr">
        <is>
          <t>แบบ S201 (ตำแหน่ง) / ระดับรอยืนยัน</t>
        </is>
      </c>
    </row>
    <row r="504">
      <c r="A504" s="8" t="inlineStr">
        <is>
          <t>F1A-084</t>
        </is>
      </c>
      <c r="B504" s="8" t="inlineStr">
        <is>
          <t>F1A</t>
        </is>
      </c>
      <c r="C504" s="8" t="inlineStr">
        <is>
          <t>11+4.10/A-1.50</t>
        </is>
      </c>
      <c r="D504" s="9" t="n">
        <v>64.09699999999999</v>
      </c>
      <c r="E504" s="9" t="n">
        <v>-1.495</v>
      </c>
      <c r="F504" s="9" t="n">
        <v>0.6</v>
      </c>
      <c r="G504" s="9" t="n">
        <v>0.6</v>
      </c>
      <c r="H504" s="9" t="n">
        <v>0.3</v>
      </c>
      <c r="I504" s="9" t="n">
        <v>-0.15</v>
      </c>
      <c r="J504" s="9" t="n">
        <v>-0.45</v>
      </c>
      <c r="K504" s="9" t="n">
        <v>-0.6</v>
      </c>
      <c r="L504" s="9" t="n">
        <v>0.6</v>
      </c>
      <c r="M504" s="8" t="n">
        <v>1</v>
      </c>
      <c r="N504" s="8" t="inlineStr">
        <is>
          <t>1x I-220 ยาว 22 ม.</t>
        </is>
      </c>
      <c r="O504" s="8">
        <f>F504*G504*H504</f>
        <v/>
      </c>
      <c r="P504" s="8">
        <f>2*(F504+G504)*H504</f>
        <v/>
      </c>
      <c r="Q504" s="8">
        <f>IF(L504&gt;0,(F504+2*0.1)*(G504+2*0.1)*L504,0)</f>
        <v/>
      </c>
      <c r="R504" s="8">
        <f>(F504+0.2)*(G504+0.2)*0.1</f>
        <v/>
      </c>
      <c r="S504" s="8">
        <f>(F504+0.2)*(G504+0.2)*0.05</f>
        <v/>
      </c>
      <c r="T504" s="8">
        <f>INDEX('2-ฐานราก เหล็กเสริม'!$S:$S,MATCH(B504,'2-ฐานราก เหล็กเสริม'!$A:$A,0))</f>
        <v/>
      </c>
      <c r="U504" s="8" t="inlineStr">
        <is>
          <t>M41</t>
        </is>
      </c>
      <c r="V504" s="10" t="inlineStr">
        <is>
          <t>แบบ S201 (ตำแหน่ง) / ระดับรอยืนยัน</t>
        </is>
      </c>
    </row>
    <row r="505">
      <c r="A505" s="8" t="inlineStr">
        <is>
          <t>F1A-085</t>
        </is>
      </c>
      <c r="B505" s="8" t="inlineStr">
        <is>
          <t>F1A</t>
        </is>
      </c>
      <c r="C505" s="8" t="inlineStr">
        <is>
          <t>11+6.30/A-1.50</t>
        </is>
      </c>
      <c r="D505" s="9" t="n">
        <v>66.295</v>
      </c>
      <c r="E505" s="9" t="n">
        <v>-1.495</v>
      </c>
      <c r="F505" s="9" t="n">
        <v>0.6</v>
      </c>
      <c r="G505" s="9" t="n">
        <v>0.6</v>
      </c>
      <c r="H505" s="9" t="n">
        <v>0.3</v>
      </c>
      <c r="I505" s="9" t="n">
        <v>-0.15</v>
      </c>
      <c r="J505" s="9" t="n">
        <v>-0.45</v>
      </c>
      <c r="K505" s="9" t="n">
        <v>-0.6</v>
      </c>
      <c r="L505" s="9" t="n">
        <v>0.6</v>
      </c>
      <c r="M505" s="8" t="n">
        <v>1</v>
      </c>
      <c r="N505" s="8" t="inlineStr">
        <is>
          <t>1x I-220 ยาว 22 ม.</t>
        </is>
      </c>
      <c r="O505" s="8">
        <f>F505*G505*H505</f>
        <v/>
      </c>
      <c r="P505" s="8">
        <f>2*(F505+G505)*H505</f>
        <v/>
      </c>
      <c r="Q505" s="8">
        <f>IF(L505&gt;0,(F505+2*0.1)*(G505+2*0.1)*L505,0)</f>
        <v/>
      </c>
      <c r="R505" s="8">
        <f>(F505+0.2)*(G505+0.2)*0.1</f>
        <v/>
      </c>
      <c r="S505" s="8">
        <f>(F505+0.2)*(G505+0.2)*0.05</f>
        <v/>
      </c>
      <c r="T505" s="8">
        <f>INDEX('2-ฐานราก เหล็กเสริม'!$S:$S,MATCH(B505,'2-ฐานราก เหล็กเสริม'!$A:$A,0))</f>
        <v/>
      </c>
      <c r="U505" s="8" t="inlineStr">
        <is>
          <t>M41</t>
        </is>
      </c>
      <c r="V505" s="10" t="inlineStr">
        <is>
          <t>แบบ S201 (ตำแหน่ง) / ระดับรอยืนยัน</t>
        </is>
      </c>
    </row>
    <row r="506">
      <c r="A506" s="8" t="inlineStr">
        <is>
          <t>F1A-086</t>
        </is>
      </c>
      <c r="B506" s="8" t="inlineStr">
        <is>
          <t>F1A</t>
        </is>
      </c>
      <c r="C506" s="8" t="inlineStr">
        <is>
          <t>1-8.26/A+1.51</t>
        </is>
      </c>
      <c r="D506" s="9" t="n">
        <v>-8.263999999999999</v>
      </c>
      <c r="E506" s="9" t="n">
        <v>1.511</v>
      </c>
      <c r="F506" s="9" t="n">
        <v>0.6</v>
      </c>
      <c r="G506" s="9" t="n">
        <v>0.6</v>
      </c>
      <c r="H506" s="9" t="n">
        <v>0.3</v>
      </c>
      <c r="I506" s="9" t="n">
        <v>-0.15</v>
      </c>
      <c r="J506" s="9" t="n">
        <v>-0.45</v>
      </c>
      <c r="K506" s="9" t="n">
        <v>-0.6</v>
      </c>
      <c r="L506" s="9" t="n">
        <v>0.6</v>
      </c>
      <c r="M506" s="8" t="n">
        <v>1</v>
      </c>
      <c r="N506" s="8" t="inlineStr">
        <is>
          <t>1x I-220 ยาว 22 ม.</t>
        </is>
      </c>
      <c r="O506" s="8">
        <f>F506*G506*H506</f>
        <v/>
      </c>
      <c r="P506" s="8">
        <f>2*(F506+G506)*H506</f>
        <v/>
      </c>
      <c r="Q506" s="8">
        <f>IF(L506&gt;0,(F506+2*0.1)*(G506+2*0.1)*L506,0)</f>
        <v/>
      </c>
      <c r="R506" s="8">
        <f>(F506+0.2)*(G506+0.2)*0.1</f>
        <v/>
      </c>
      <c r="S506" s="8">
        <f>(F506+0.2)*(G506+0.2)*0.05</f>
        <v/>
      </c>
      <c r="T506" s="8">
        <f>INDEX('2-ฐานราก เหล็กเสริม'!$S:$S,MATCH(B506,'2-ฐานราก เหล็กเสริม'!$A:$A,0))</f>
        <v/>
      </c>
      <c r="U506" s="8" t="inlineStr">
        <is>
          <t>M41</t>
        </is>
      </c>
      <c r="V506" s="10" t="inlineStr">
        <is>
          <t>แบบ S201 (ตำแหน่ง) / ระดับรอยืนยัน</t>
        </is>
      </c>
    </row>
    <row r="507">
      <c r="A507" s="8" t="inlineStr">
        <is>
          <t>F1A-087</t>
        </is>
      </c>
      <c r="B507" s="8" t="inlineStr">
        <is>
          <t>F1A</t>
        </is>
      </c>
      <c r="C507" s="8" t="inlineStr">
        <is>
          <t>1-5.27/A+1.51</t>
        </is>
      </c>
      <c r="D507" s="9" t="n">
        <v>-5.266</v>
      </c>
      <c r="E507" s="9" t="n">
        <v>1.511</v>
      </c>
      <c r="F507" s="9" t="n">
        <v>0.6</v>
      </c>
      <c r="G507" s="9" t="n">
        <v>0.6</v>
      </c>
      <c r="H507" s="9" t="n">
        <v>0.3</v>
      </c>
      <c r="I507" s="9" t="n">
        <v>-0.15</v>
      </c>
      <c r="J507" s="9" t="n">
        <v>-0.45</v>
      </c>
      <c r="K507" s="9" t="n">
        <v>-0.6</v>
      </c>
      <c r="L507" s="9" t="n">
        <v>0.6</v>
      </c>
      <c r="M507" s="8" t="n">
        <v>1</v>
      </c>
      <c r="N507" s="8" t="inlineStr">
        <is>
          <t>1x I-220 ยาว 22 ม.</t>
        </is>
      </c>
      <c r="O507" s="8">
        <f>F507*G507*H507</f>
        <v/>
      </c>
      <c r="P507" s="8">
        <f>2*(F507+G507)*H507</f>
        <v/>
      </c>
      <c r="Q507" s="8">
        <f>IF(L507&gt;0,(F507+2*0.1)*(G507+2*0.1)*L507,0)</f>
        <v/>
      </c>
      <c r="R507" s="8">
        <f>(F507+0.2)*(G507+0.2)*0.1</f>
        <v/>
      </c>
      <c r="S507" s="8">
        <f>(F507+0.2)*(G507+0.2)*0.05</f>
        <v/>
      </c>
      <c r="T507" s="8">
        <f>INDEX('2-ฐานราก เหล็กเสริม'!$S:$S,MATCH(B507,'2-ฐานราก เหล็กเสริม'!$A:$A,0))</f>
        <v/>
      </c>
      <c r="U507" s="8" t="inlineStr">
        <is>
          <t>M41</t>
        </is>
      </c>
      <c r="V507" s="10" t="inlineStr">
        <is>
          <t>แบบ S201 (ตำแหน่ง) / ระดับรอยืนยัน</t>
        </is>
      </c>
    </row>
    <row r="508">
      <c r="A508" s="8" t="inlineStr">
        <is>
          <t>F1A-088</t>
        </is>
      </c>
      <c r="B508" s="8" t="inlineStr">
        <is>
          <t>F1A</t>
        </is>
      </c>
      <c r="C508" s="8" t="inlineStr">
        <is>
          <t>11+1.49/A+1.51</t>
        </is>
      </c>
      <c r="D508" s="9" t="n">
        <v>61.489</v>
      </c>
      <c r="E508" s="9" t="n">
        <v>1.511</v>
      </c>
      <c r="F508" s="9" t="n">
        <v>0.6</v>
      </c>
      <c r="G508" s="9" t="n">
        <v>0.6</v>
      </c>
      <c r="H508" s="9" t="n">
        <v>0.3</v>
      </c>
      <c r="I508" s="9" t="n">
        <v>-0.15</v>
      </c>
      <c r="J508" s="9" t="n">
        <v>-0.45</v>
      </c>
      <c r="K508" s="9" t="n">
        <v>-0.6</v>
      </c>
      <c r="L508" s="9" t="n">
        <v>0.6</v>
      </c>
      <c r="M508" s="8" t="n">
        <v>1</v>
      </c>
      <c r="N508" s="8" t="inlineStr">
        <is>
          <t>1x I-220 ยาว 22 ม.</t>
        </is>
      </c>
      <c r="O508" s="8">
        <f>F508*G508*H508</f>
        <v/>
      </c>
      <c r="P508" s="8">
        <f>2*(F508+G508)*H508</f>
        <v/>
      </c>
      <c r="Q508" s="8">
        <f>IF(L508&gt;0,(F508+2*0.1)*(G508+2*0.1)*L508,0)</f>
        <v/>
      </c>
      <c r="R508" s="8">
        <f>(F508+0.2)*(G508+0.2)*0.1</f>
        <v/>
      </c>
      <c r="S508" s="8">
        <f>(F508+0.2)*(G508+0.2)*0.05</f>
        <v/>
      </c>
      <c r="T508" s="8">
        <f>INDEX('2-ฐานราก เหล็กเสริม'!$S:$S,MATCH(B508,'2-ฐานราก เหล็กเสริม'!$A:$A,0))</f>
        <v/>
      </c>
      <c r="U508" s="8" t="inlineStr">
        <is>
          <t>M41</t>
        </is>
      </c>
      <c r="V508" s="10" t="inlineStr">
        <is>
          <t>แบบ S201 (ตำแหน่ง) / ระดับรอยืนยัน</t>
        </is>
      </c>
    </row>
    <row r="509">
      <c r="A509" s="8" t="inlineStr">
        <is>
          <t>F1A-089</t>
        </is>
      </c>
      <c r="B509" s="8" t="inlineStr">
        <is>
          <t>F1A</t>
        </is>
      </c>
      <c r="C509" s="8" t="inlineStr">
        <is>
          <t>11+4.10/A+1.51</t>
        </is>
      </c>
      <c r="D509" s="9" t="n">
        <v>64.09699999999999</v>
      </c>
      <c r="E509" s="9" t="n">
        <v>1.511</v>
      </c>
      <c r="F509" s="9" t="n">
        <v>0.6</v>
      </c>
      <c r="G509" s="9" t="n">
        <v>0.6</v>
      </c>
      <c r="H509" s="9" t="n">
        <v>0.3</v>
      </c>
      <c r="I509" s="9" t="n">
        <v>-0.15</v>
      </c>
      <c r="J509" s="9" t="n">
        <v>-0.45</v>
      </c>
      <c r="K509" s="9" t="n">
        <v>-0.6</v>
      </c>
      <c r="L509" s="9" t="n">
        <v>0.6</v>
      </c>
      <c r="M509" s="8" t="n">
        <v>1</v>
      </c>
      <c r="N509" s="8" t="inlineStr">
        <is>
          <t>1x I-220 ยาว 22 ม.</t>
        </is>
      </c>
      <c r="O509" s="8">
        <f>F509*G509*H509</f>
        <v/>
      </c>
      <c r="P509" s="8">
        <f>2*(F509+G509)*H509</f>
        <v/>
      </c>
      <c r="Q509" s="8">
        <f>IF(L509&gt;0,(F509+2*0.1)*(G509+2*0.1)*L509,0)</f>
        <v/>
      </c>
      <c r="R509" s="8">
        <f>(F509+0.2)*(G509+0.2)*0.1</f>
        <v/>
      </c>
      <c r="S509" s="8">
        <f>(F509+0.2)*(G509+0.2)*0.05</f>
        <v/>
      </c>
      <c r="T509" s="8">
        <f>INDEX('2-ฐานราก เหล็กเสริม'!$S:$S,MATCH(B509,'2-ฐานราก เหล็กเสริม'!$A:$A,0))</f>
        <v/>
      </c>
      <c r="U509" s="8" t="inlineStr">
        <is>
          <t>M41</t>
        </is>
      </c>
      <c r="V509" s="10" t="inlineStr">
        <is>
          <t>แบบ S201 (ตำแหน่ง) / ระดับรอยืนยัน</t>
        </is>
      </c>
    </row>
    <row r="510">
      <c r="A510" s="8" t="inlineStr">
        <is>
          <t>F1A-090</t>
        </is>
      </c>
      <c r="B510" s="8" t="inlineStr">
        <is>
          <t>F1A</t>
        </is>
      </c>
      <c r="C510" s="8" t="inlineStr">
        <is>
          <t>11+6.30/A+1.51</t>
        </is>
      </c>
      <c r="D510" s="9" t="n">
        <v>66.295</v>
      </c>
      <c r="E510" s="9" t="n">
        <v>1.511</v>
      </c>
      <c r="F510" s="9" t="n">
        <v>0.6</v>
      </c>
      <c r="G510" s="9" t="n">
        <v>0.6</v>
      </c>
      <c r="H510" s="9" t="n">
        <v>0.3</v>
      </c>
      <c r="I510" s="9" t="n">
        <v>-0.15</v>
      </c>
      <c r="J510" s="9" t="n">
        <v>-0.45</v>
      </c>
      <c r="K510" s="9" t="n">
        <v>-0.6</v>
      </c>
      <c r="L510" s="9" t="n">
        <v>0.6</v>
      </c>
      <c r="M510" s="8" t="n">
        <v>1</v>
      </c>
      <c r="N510" s="8" t="inlineStr">
        <is>
          <t>1x I-220 ยาว 22 ม.</t>
        </is>
      </c>
      <c r="O510" s="8">
        <f>F510*G510*H510</f>
        <v/>
      </c>
      <c r="P510" s="8">
        <f>2*(F510+G510)*H510</f>
        <v/>
      </c>
      <c r="Q510" s="8">
        <f>IF(L510&gt;0,(F510+2*0.1)*(G510+2*0.1)*L510,0)</f>
        <v/>
      </c>
      <c r="R510" s="8">
        <f>(F510+0.2)*(G510+0.2)*0.1</f>
        <v/>
      </c>
      <c r="S510" s="8">
        <f>(F510+0.2)*(G510+0.2)*0.05</f>
        <v/>
      </c>
      <c r="T510" s="8">
        <f>INDEX('2-ฐานราก เหล็กเสริม'!$S:$S,MATCH(B510,'2-ฐานราก เหล็กเสริม'!$A:$A,0))</f>
        <v/>
      </c>
      <c r="U510" s="8" t="inlineStr">
        <is>
          <t>M41</t>
        </is>
      </c>
      <c r="V510" s="10" t="inlineStr">
        <is>
          <t>แบบ S201 (ตำแหน่ง) / ระดับรอยืนยัน</t>
        </is>
      </c>
    </row>
    <row r="511">
      <c r="A511" s="8" t="inlineStr">
        <is>
          <t>F1A-091</t>
        </is>
      </c>
      <c r="B511" s="8" t="inlineStr">
        <is>
          <t>F1A</t>
        </is>
      </c>
      <c r="C511" s="8" t="inlineStr">
        <is>
          <t>1-8.26/B-1.49</t>
        </is>
      </c>
      <c r="D511" s="9" t="n">
        <v>-8.263999999999999</v>
      </c>
      <c r="E511" s="9" t="n">
        <v>4.509</v>
      </c>
      <c r="F511" s="9" t="n">
        <v>0.6</v>
      </c>
      <c r="G511" s="9" t="n">
        <v>0.6</v>
      </c>
      <c r="H511" s="9" t="n">
        <v>0.3</v>
      </c>
      <c r="I511" s="9" t="n">
        <v>-0.15</v>
      </c>
      <c r="J511" s="9" t="n">
        <v>-0.45</v>
      </c>
      <c r="K511" s="9" t="n">
        <v>-0.6</v>
      </c>
      <c r="L511" s="9" t="n">
        <v>0.6</v>
      </c>
      <c r="M511" s="8" t="n">
        <v>1</v>
      </c>
      <c r="N511" s="8" t="inlineStr">
        <is>
          <t>1x I-220 ยาว 22 ม.</t>
        </is>
      </c>
      <c r="O511" s="8">
        <f>F511*G511*H511</f>
        <v/>
      </c>
      <c r="P511" s="8">
        <f>2*(F511+G511)*H511</f>
        <v/>
      </c>
      <c r="Q511" s="8">
        <f>IF(L511&gt;0,(F511+2*0.1)*(G511+2*0.1)*L511,0)</f>
        <v/>
      </c>
      <c r="R511" s="8">
        <f>(F511+0.2)*(G511+0.2)*0.1</f>
        <v/>
      </c>
      <c r="S511" s="8">
        <f>(F511+0.2)*(G511+0.2)*0.05</f>
        <v/>
      </c>
      <c r="T511" s="8">
        <f>INDEX('2-ฐานราก เหล็กเสริม'!$S:$S,MATCH(B511,'2-ฐานราก เหล็กเสริม'!$A:$A,0))</f>
        <v/>
      </c>
      <c r="U511" s="8" t="inlineStr">
        <is>
          <t>M41</t>
        </is>
      </c>
      <c r="V511" s="10" t="inlineStr">
        <is>
          <t>แบบ S201 (ตำแหน่ง) / ระดับรอยืนยัน</t>
        </is>
      </c>
    </row>
    <row r="512">
      <c r="A512" s="8" t="inlineStr">
        <is>
          <t>F1A-092</t>
        </is>
      </c>
      <c r="B512" s="8" t="inlineStr">
        <is>
          <t>F1A</t>
        </is>
      </c>
      <c r="C512" s="8" t="inlineStr">
        <is>
          <t>1-5.27/B-1.49</t>
        </is>
      </c>
      <c r="D512" s="9" t="n">
        <v>-5.266</v>
      </c>
      <c r="E512" s="9" t="n">
        <v>4.509</v>
      </c>
      <c r="F512" s="9" t="n">
        <v>0.6</v>
      </c>
      <c r="G512" s="9" t="n">
        <v>0.6</v>
      </c>
      <c r="H512" s="9" t="n">
        <v>0.3</v>
      </c>
      <c r="I512" s="9" t="n">
        <v>-0.15</v>
      </c>
      <c r="J512" s="9" t="n">
        <v>-0.45</v>
      </c>
      <c r="K512" s="9" t="n">
        <v>-0.6</v>
      </c>
      <c r="L512" s="9" t="n">
        <v>0.6</v>
      </c>
      <c r="M512" s="8" t="n">
        <v>1</v>
      </c>
      <c r="N512" s="8" t="inlineStr">
        <is>
          <t>1x I-220 ยาว 22 ม.</t>
        </is>
      </c>
      <c r="O512" s="8">
        <f>F512*G512*H512</f>
        <v/>
      </c>
      <c r="P512" s="8">
        <f>2*(F512+G512)*H512</f>
        <v/>
      </c>
      <c r="Q512" s="8">
        <f>IF(L512&gt;0,(F512+2*0.1)*(G512+2*0.1)*L512,0)</f>
        <v/>
      </c>
      <c r="R512" s="8">
        <f>(F512+0.2)*(G512+0.2)*0.1</f>
        <v/>
      </c>
      <c r="S512" s="8">
        <f>(F512+0.2)*(G512+0.2)*0.05</f>
        <v/>
      </c>
      <c r="T512" s="8">
        <f>INDEX('2-ฐานราก เหล็กเสริม'!$S:$S,MATCH(B512,'2-ฐานราก เหล็กเสริม'!$A:$A,0))</f>
        <v/>
      </c>
      <c r="U512" s="8" t="inlineStr">
        <is>
          <t>M41</t>
        </is>
      </c>
      <c r="V512" s="10" t="inlineStr">
        <is>
          <t>แบบ S201 (ตำแหน่ง) / ระดับรอยืนยัน</t>
        </is>
      </c>
    </row>
    <row r="513">
      <c r="A513" s="8" t="inlineStr">
        <is>
          <t>F1A-093</t>
        </is>
      </c>
      <c r="B513" s="8" t="inlineStr">
        <is>
          <t>F1A</t>
        </is>
      </c>
      <c r="C513" s="8" t="inlineStr">
        <is>
          <t>11+1.49/B-1.49</t>
        </is>
      </c>
      <c r="D513" s="9" t="n">
        <v>61.489</v>
      </c>
      <c r="E513" s="9" t="n">
        <v>4.509</v>
      </c>
      <c r="F513" s="9" t="n">
        <v>0.6</v>
      </c>
      <c r="G513" s="9" t="n">
        <v>0.6</v>
      </c>
      <c r="H513" s="9" t="n">
        <v>0.3</v>
      </c>
      <c r="I513" s="9" t="n">
        <v>-0.15</v>
      </c>
      <c r="J513" s="9" t="n">
        <v>-0.45</v>
      </c>
      <c r="K513" s="9" t="n">
        <v>-0.6</v>
      </c>
      <c r="L513" s="9" t="n">
        <v>0.6</v>
      </c>
      <c r="M513" s="8" t="n">
        <v>1</v>
      </c>
      <c r="N513" s="8" t="inlineStr">
        <is>
          <t>1x I-220 ยาว 22 ม.</t>
        </is>
      </c>
      <c r="O513" s="8">
        <f>F513*G513*H513</f>
        <v/>
      </c>
      <c r="P513" s="8">
        <f>2*(F513+G513)*H513</f>
        <v/>
      </c>
      <c r="Q513" s="8">
        <f>IF(L513&gt;0,(F513+2*0.1)*(G513+2*0.1)*L513,0)</f>
        <v/>
      </c>
      <c r="R513" s="8">
        <f>(F513+0.2)*(G513+0.2)*0.1</f>
        <v/>
      </c>
      <c r="S513" s="8">
        <f>(F513+0.2)*(G513+0.2)*0.05</f>
        <v/>
      </c>
      <c r="T513" s="8">
        <f>INDEX('2-ฐานราก เหล็กเสริม'!$S:$S,MATCH(B513,'2-ฐานราก เหล็กเสริม'!$A:$A,0))</f>
        <v/>
      </c>
      <c r="U513" s="8" t="inlineStr">
        <is>
          <t>M41</t>
        </is>
      </c>
      <c r="V513" s="10" t="inlineStr">
        <is>
          <t>แบบ S201 (ตำแหน่ง) / ระดับรอยืนยัน</t>
        </is>
      </c>
    </row>
    <row r="514">
      <c r="A514" s="8" t="inlineStr">
        <is>
          <t>F1A-094</t>
        </is>
      </c>
      <c r="B514" s="8" t="inlineStr">
        <is>
          <t>F1A</t>
        </is>
      </c>
      <c r="C514" s="8" t="inlineStr">
        <is>
          <t>11+4.10/B-1.49</t>
        </is>
      </c>
      <c r="D514" s="9" t="n">
        <v>64.09699999999999</v>
      </c>
      <c r="E514" s="9" t="n">
        <v>4.509</v>
      </c>
      <c r="F514" s="9" t="n">
        <v>0.6</v>
      </c>
      <c r="G514" s="9" t="n">
        <v>0.6</v>
      </c>
      <c r="H514" s="9" t="n">
        <v>0.3</v>
      </c>
      <c r="I514" s="9" t="n">
        <v>-0.15</v>
      </c>
      <c r="J514" s="9" t="n">
        <v>-0.45</v>
      </c>
      <c r="K514" s="9" t="n">
        <v>-0.6</v>
      </c>
      <c r="L514" s="9" t="n">
        <v>0.6</v>
      </c>
      <c r="M514" s="8" t="n">
        <v>1</v>
      </c>
      <c r="N514" s="8" t="inlineStr">
        <is>
          <t>1x I-220 ยาว 22 ม.</t>
        </is>
      </c>
      <c r="O514" s="8">
        <f>F514*G514*H514</f>
        <v/>
      </c>
      <c r="P514" s="8">
        <f>2*(F514+G514)*H514</f>
        <v/>
      </c>
      <c r="Q514" s="8">
        <f>IF(L514&gt;0,(F514+2*0.1)*(G514+2*0.1)*L514,0)</f>
        <v/>
      </c>
      <c r="R514" s="8">
        <f>(F514+0.2)*(G514+0.2)*0.1</f>
        <v/>
      </c>
      <c r="S514" s="8">
        <f>(F514+0.2)*(G514+0.2)*0.05</f>
        <v/>
      </c>
      <c r="T514" s="8">
        <f>INDEX('2-ฐานราก เหล็กเสริม'!$S:$S,MATCH(B514,'2-ฐานราก เหล็กเสริม'!$A:$A,0))</f>
        <v/>
      </c>
      <c r="U514" s="8" t="inlineStr">
        <is>
          <t>M41</t>
        </is>
      </c>
      <c r="V514" s="10" t="inlineStr">
        <is>
          <t>แบบ S201 (ตำแหน่ง) / ระดับรอยืนยัน</t>
        </is>
      </c>
    </row>
    <row r="515">
      <c r="A515" s="8" t="inlineStr">
        <is>
          <t>F1A-095</t>
        </is>
      </c>
      <c r="B515" s="8" t="inlineStr">
        <is>
          <t>F1A</t>
        </is>
      </c>
      <c r="C515" s="8" t="inlineStr">
        <is>
          <t>11+6.30/B-1.49</t>
        </is>
      </c>
      <c r="D515" s="9" t="n">
        <v>66.295</v>
      </c>
      <c r="E515" s="9" t="n">
        <v>4.509</v>
      </c>
      <c r="F515" s="9" t="n">
        <v>0.6</v>
      </c>
      <c r="G515" s="9" t="n">
        <v>0.6</v>
      </c>
      <c r="H515" s="9" t="n">
        <v>0.3</v>
      </c>
      <c r="I515" s="9" t="n">
        <v>-0.15</v>
      </c>
      <c r="J515" s="9" t="n">
        <v>-0.45</v>
      </c>
      <c r="K515" s="9" t="n">
        <v>-0.6</v>
      </c>
      <c r="L515" s="9" t="n">
        <v>0.6</v>
      </c>
      <c r="M515" s="8" t="n">
        <v>1</v>
      </c>
      <c r="N515" s="8" t="inlineStr">
        <is>
          <t>1x I-220 ยาว 22 ม.</t>
        </is>
      </c>
      <c r="O515" s="8">
        <f>F515*G515*H515</f>
        <v/>
      </c>
      <c r="P515" s="8">
        <f>2*(F515+G515)*H515</f>
        <v/>
      </c>
      <c r="Q515" s="8">
        <f>IF(L515&gt;0,(F515+2*0.1)*(G515+2*0.1)*L515,0)</f>
        <v/>
      </c>
      <c r="R515" s="8">
        <f>(F515+0.2)*(G515+0.2)*0.1</f>
        <v/>
      </c>
      <c r="S515" s="8">
        <f>(F515+0.2)*(G515+0.2)*0.05</f>
        <v/>
      </c>
      <c r="T515" s="8">
        <f>INDEX('2-ฐานราก เหล็กเสริม'!$S:$S,MATCH(B515,'2-ฐานราก เหล็กเสริม'!$A:$A,0))</f>
        <v/>
      </c>
      <c r="U515" s="8" t="inlineStr">
        <is>
          <t>M41</t>
        </is>
      </c>
      <c r="V515" s="10" t="inlineStr">
        <is>
          <t>แบบ S201 (ตำแหน่ง) / ระดับรอยืนยัน</t>
        </is>
      </c>
    </row>
    <row r="516">
      <c r="A516" s="8" t="inlineStr">
        <is>
          <t>F1A-096</t>
        </is>
      </c>
      <c r="B516" s="8" t="inlineStr">
        <is>
          <t>F1A</t>
        </is>
      </c>
      <c r="C516" s="8" t="inlineStr">
        <is>
          <t>1-8.26/B+1.51</t>
        </is>
      </c>
      <c r="D516" s="9" t="n">
        <v>-8.263999999999999</v>
      </c>
      <c r="E516" s="9" t="n">
        <v>7.508</v>
      </c>
      <c r="F516" s="9" t="n">
        <v>0.6</v>
      </c>
      <c r="G516" s="9" t="n">
        <v>0.6</v>
      </c>
      <c r="H516" s="9" t="n">
        <v>0.3</v>
      </c>
      <c r="I516" s="9" t="n">
        <v>-0.15</v>
      </c>
      <c r="J516" s="9" t="n">
        <v>-0.45</v>
      </c>
      <c r="K516" s="9" t="n">
        <v>-0.6</v>
      </c>
      <c r="L516" s="9" t="n">
        <v>0.6</v>
      </c>
      <c r="M516" s="8" t="n">
        <v>1</v>
      </c>
      <c r="N516" s="8" t="inlineStr">
        <is>
          <t>1x I-220 ยาว 22 ม.</t>
        </is>
      </c>
      <c r="O516" s="8">
        <f>F516*G516*H516</f>
        <v/>
      </c>
      <c r="P516" s="8">
        <f>2*(F516+G516)*H516</f>
        <v/>
      </c>
      <c r="Q516" s="8">
        <f>IF(L516&gt;0,(F516+2*0.1)*(G516+2*0.1)*L516,0)</f>
        <v/>
      </c>
      <c r="R516" s="8">
        <f>(F516+0.2)*(G516+0.2)*0.1</f>
        <v/>
      </c>
      <c r="S516" s="8">
        <f>(F516+0.2)*(G516+0.2)*0.05</f>
        <v/>
      </c>
      <c r="T516" s="8">
        <f>INDEX('2-ฐานราก เหล็กเสริม'!$S:$S,MATCH(B516,'2-ฐานราก เหล็กเสริม'!$A:$A,0))</f>
        <v/>
      </c>
      <c r="U516" s="8" t="inlineStr">
        <is>
          <t>M41</t>
        </is>
      </c>
      <c r="V516" s="10" t="inlineStr">
        <is>
          <t>แบบ S201 (ตำแหน่ง) / ระดับรอยืนยัน</t>
        </is>
      </c>
    </row>
    <row r="517">
      <c r="A517" s="8" t="inlineStr">
        <is>
          <t>F1A-097</t>
        </is>
      </c>
      <c r="B517" s="8" t="inlineStr">
        <is>
          <t>F1A</t>
        </is>
      </c>
      <c r="C517" s="8" t="inlineStr">
        <is>
          <t>1-5.27/B+1.51</t>
        </is>
      </c>
      <c r="D517" s="9" t="n">
        <v>-5.266</v>
      </c>
      <c r="E517" s="9" t="n">
        <v>7.508</v>
      </c>
      <c r="F517" s="9" t="n">
        <v>0.6</v>
      </c>
      <c r="G517" s="9" t="n">
        <v>0.6</v>
      </c>
      <c r="H517" s="9" t="n">
        <v>0.3</v>
      </c>
      <c r="I517" s="9" t="n">
        <v>-0.15</v>
      </c>
      <c r="J517" s="9" t="n">
        <v>-0.45</v>
      </c>
      <c r="K517" s="9" t="n">
        <v>-0.6</v>
      </c>
      <c r="L517" s="9" t="n">
        <v>0.6</v>
      </c>
      <c r="M517" s="8" t="n">
        <v>1</v>
      </c>
      <c r="N517" s="8" t="inlineStr">
        <is>
          <t>1x I-220 ยาว 22 ม.</t>
        </is>
      </c>
      <c r="O517" s="8">
        <f>F517*G517*H517</f>
        <v/>
      </c>
      <c r="P517" s="8">
        <f>2*(F517+G517)*H517</f>
        <v/>
      </c>
      <c r="Q517" s="8">
        <f>IF(L517&gt;0,(F517+2*0.1)*(G517+2*0.1)*L517,0)</f>
        <v/>
      </c>
      <c r="R517" s="8">
        <f>(F517+0.2)*(G517+0.2)*0.1</f>
        <v/>
      </c>
      <c r="S517" s="8">
        <f>(F517+0.2)*(G517+0.2)*0.05</f>
        <v/>
      </c>
      <c r="T517" s="8">
        <f>INDEX('2-ฐานราก เหล็กเสริม'!$S:$S,MATCH(B517,'2-ฐานราก เหล็กเสริม'!$A:$A,0))</f>
        <v/>
      </c>
      <c r="U517" s="8" t="inlineStr">
        <is>
          <t>M41</t>
        </is>
      </c>
      <c r="V517" s="10" t="inlineStr">
        <is>
          <t>แบบ S201 (ตำแหน่ง) / ระดับรอยืนยัน</t>
        </is>
      </c>
    </row>
    <row r="518">
      <c r="A518" s="8" t="inlineStr">
        <is>
          <t>F1A-098</t>
        </is>
      </c>
      <c r="B518" s="8" t="inlineStr">
        <is>
          <t>F1A</t>
        </is>
      </c>
      <c r="C518" s="8" t="inlineStr">
        <is>
          <t>11+1.49/B+1.51</t>
        </is>
      </c>
      <c r="D518" s="9" t="n">
        <v>61.489</v>
      </c>
      <c r="E518" s="9" t="n">
        <v>7.508</v>
      </c>
      <c r="F518" s="9" t="n">
        <v>0.6</v>
      </c>
      <c r="G518" s="9" t="n">
        <v>0.6</v>
      </c>
      <c r="H518" s="9" t="n">
        <v>0.3</v>
      </c>
      <c r="I518" s="9" t="n">
        <v>-0.15</v>
      </c>
      <c r="J518" s="9" t="n">
        <v>-0.45</v>
      </c>
      <c r="K518" s="9" t="n">
        <v>-0.6</v>
      </c>
      <c r="L518" s="9" t="n">
        <v>0.6</v>
      </c>
      <c r="M518" s="8" t="n">
        <v>1</v>
      </c>
      <c r="N518" s="8" t="inlineStr">
        <is>
          <t>1x I-220 ยาว 22 ม.</t>
        </is>
      </c>
      <c r="O518" s="8">
        <f>F518*G518*H518</f>
        <v/>
      </c>
      <c r="P518" s="8">
        <f>2*(F518+G518)*H518</f>
        <v/>
      </c>
      <c r="Q518" s="8">
        <f>IF(L518&gt;0,(F518+2*0.1)*(G518+2*0.1)*L518,0)</f>
        <v/>
      </c>
      <c r="R518" s="8">
        <f>(F518+0.2)*(G518+0.2)*0.1</f>
        <v/>
      </c>
      <c r="S518" s="8">
        <f>(F518+0.2)*(G518+0.2)*0.05</f>
        <v/>
      </c>
      <c r="T518" s="8">
        <f>INDEX('2-ฐานราก เหล็กเสริม'!$S:$S,MATCH(B518,'2-ฐานราก เหล็กเสริม'!$A:$A,0))</f>
        <v/>
      </c>
      <c r="U518" s="8" t="inlineStr">
        <is>
          <t>M41</t>
        </is>
      </c>
      <c r="V518" s="10" t="inlineStr">
        <is>
          <t>แบบ S201 (ตำแหน่ง) / ระดับรอยืนยัน</t>
        </is>
      </c>
    </row>
    <row r="519">
      <c r="A519" s="8" t="inlineStr">
        <is>
          <t>F1A-099</t>
        </is>
      </c>
      <c r="B519" s="8" t="inlineStr">
        <is>
          <t>F1A</t>
        </is>
      </c>
      <c r="C519" s="8" t="inlineStr">
        <is>
          <t>11+4.50/B+1.51</t>
        </is>
      </c>
      <c r="D519" s="9" t="n">
        <v>64.495</v>
      </c>
      <c r="E519" s="9" t="n">
        <v>7.508</v>
      </c>
      <c r="F519" s="9" t="n">
        <v>0.6</v>
      </c>
      <c r="G519" s="9" t="n">
        <v>0.6</v>
      </c>
      <c r="H519" s="9" t="n">
        <v>0.3</v>
      </c>
      <c r="I519" s="9" t="n">
        <v>-0.15</v>
      </c>
      <c r="J519" s="9" t="n">
        <v>-0.45</v>
      </c>
      <c r="K519" s="9" t="n">
        <v>-0.6</v>
      </c>
      <c r="L519" s="9" t="n">
        <v>0.6</v>
      </c>
      <c r="M519" s="8" t="n">
        <v>1</v>
      </c>
      <c r="N519" s="8" t="inlineStr">
        <is>
          <t>1x I-220 ยาว 22 ม.</t>
        </is>
      </c>
      <c r="O519" s="8">
        <f>F519*G519*H519</f>
        <v/>
      </c>
      <c r="P519" s="8">
        <f>2*(F519+G519)*H519</f>
        <v/>
      </c>
      <c r="Q519" s="8">
        <f>IF(L519&gt;0,(F519+2*0.1)*(G519+2*0.1)*L519,0)</f>
        <v/>
      </c>
      <c r="R519" s="8">
        <f>(F519+0.2)*(G519+0.2)*0.1</f>
        <v/>
      </c>
      <c r="S519" s="8">
        <f>(F519+0.2)*(G519+0.2)*0.05</f>
        <v/>
      </c>
      <c r="T519" s="8">
        <f>INDEX('2-ฐานราก เหล็กเสริม'!$S:$S,MATCH(B519,'2-ฐานราก เหล็กเสริม'!$A:$A,0))</f>
        <v/>
      </c>
      <c r="U519" s="8" t="inlineStr">
        <is>
          <t>M41</t>
        </is>
      </c>
      <c r="V519" s="10" t="inlineStr">
        <is>
          <t>แบบ S201 (ตำแหน่ง) / ระดับรอยืนยัน</t>
        </is>
      </c>
    </row>
    <row r="520">
      <c r="A520" s="8" t="inlineStr">
        <is>
          <t>F1A-100</t>
        </is>
      </c>
      <c r="B520" s="8" t="inlineStr">
        <is>
          <t>F1A</t>
        </is>
      </c>
      <c r="C520" s="8" t="inlineStr">
        <is>
          <t>11+6.49/B+1.51</t>
        </is>
      </c>
      <c r="D520" s="9" t="n">
        <v>66.494</v>
      </c>
      <c r="E520" s="9" t="n">
        <v>7.508</v>
      </c>
      <c r="F520" s="9" t="n">
        <v>0.6</v>
      </c>
      <c r="G520" s="9" t="n">
        <v>0.6</v>
      </c>
      <c r="H520" s="9" t="n">
        <v>0.3</v>
      </c>
      <c r="I520" s="9" t="n">
        <v>-0.15</v>
      </c>
      <c r="J520" s="9" t="n">
        <v>-0.45</v>
      </c>
      <c r="K520" s="9" t="n">
        <v>-0.6</v>
      </c>
      <c r="L520" s="9" t="n">
        <v>0.6</v>
      </c>
      <c r="M520" s="8" t="n">
        <v>1</v>
      </c>
      <c r="N520" s="8" t="inlineStr">
        <is>
          <t>1x I-220 ยาว 22 ม.</t>
        </is>
      </c>
      <c r="O520" s="8">
        <f>F520*G520*H520</f>
        <v/>
      </c>
      <c r="P520" s="8">
        <f>2*(F520+G520)*H520</f>
        <v/>
      </c>
      <c r="Q520" s="8">
        <f>IF(L520&gt;0,(F520+2*0.1)*(G520+2*0.1)*L520,0)</f>
        <v/>
      </c>
      <c r="R520" s="8">
        <f>(F520+0.2)*(G520+0.2)*0.1</f>
        <v/>
      </c>
      <c r="S520" s="8">
        <f>(F520+0.2)*(G520+0.2)*0.05</f>
        <v/>
      </c>
      <c r="T520" s="8">
        <f>INDEX('2-ฐานราก เหล็กเสริม'!$S:$S,MATCH(B520,'2-ฐานราก เหล็กเสริม'!$A:$A,0))</f>
        <v/>
      </c>
      <c r="U520" s="8" t="inlineStr">
        <is>
          <t>M41</t>
        </is>
      </c>
      <c r="V520" s="10" t="inlineStr">
        <is>
          <t>แบบ S201 (ตำแหน่ง) / ระดับรอยืนยัน</t>
        </is>
      </c>
    </row>
    <row r="521">
      <c r="A521" s="8" t="inlineStr">
        <is>
          <t>F1A-101</t>
        </is>
      </c>
      <c r="B521" s="8" t="inlineStr">
        <is>
          <t>F1A</t>
        </is>
      </c>
      <c r="C521" s="8" t="inlineStr">
        <is>
          <t>1-7.52/C-1.49</t>
        </is>
      </c>
      <c r="D521" s="9" t="n">
        <v>-7.516</v>
      </c>
      <c r="E521" s="9" t="n">
        <v>10.514</v>
      </c>
      <c r="F521" s="9" t="n">
        <v>0.6</v>
      </c>
      <c r="G521" s="9" t="n">
        <v>0.6</v>
      </c>
      <c r="H521" s="9" t="n">
        <v>0.3</v>
      </c>
      <c r="I521" s="9" t="n">
        <v>-0.15</v>
      </c>
      <c r="J521" s="9" t="n">
        <v>-0.45</v>
      </c>
      <c r="K521" s="9" t="n">
        <v>-0.6</v>
      </c>
      <c r="L521" s="9" t="n">
        <v>0.6</v>
      </c>
      <c r="M521" s="8" t="n">
        <v>1</v>
      </c>
      <c r="N521" s="8" t="inlineStr">
        <is>
          <t>1x I-220 ยาว 22 ม.</t>
        </is>
      </c>
      <c r="O521" s="8">
        <f>F521*G521*H521</f>
        <v/>
      </c>
      <c r="P521" s="8">
        <f>2*(F521+G521)*H521</f>
        <v/>
      </c>
      <c r="Q521" s="8">
        <f>IF(L521&gt;0,(F521+2*0.1)*(G521+2*0.1)*L521,0)</f>
        <v/>
      </c>
      <c r="R521" s="8">
        <f>(F521+0.2)*(G521+0.2)*0.1</f>
        <v/>
      </c>
      <c r="S521" s="8">
        <f>(F521+0.2)*(G521+0.2)*0.05</f>
        <v/>
      </c>
      <c r="T521" s="8">
        <f>INDEX('2-ฐานราก เหล็กเสริม'!$S:$S,MATCH(B521,'2-ฐานราก เหล็กเสริม'!$A:$A,0))</f>
        <v/>
      </c>
      <c r="U521" s="8" t="inlineStr">
        <is>
          <t>M41</t>
        </is>
      </c>
      <c r="V521" s="10" t="inlineStr">
        <is>
          <t>แบบ S201 (ตำแหน่ง) / ระดับรอยืนยัน</t>
        </is>
      </c>
    </row>
    <row r="522">
      <c r="A522" s="8" t="inlineStr">
        <is>
          <t>F1A-102</t>
        </is>
      </c>
      <c r="B522" s="8" t="inlineStr">
        <is>
          <t>F1A</t>
        </is>
      </c>
      <c r="C522" s="8" t="inlineStr">
        <is>
          <t>1-4.51/C-1.49</t>
        </is>
      </c>
      <c r="D522" s="9" t="n">
        <v>-4.511</v>
      </c>
      <c r="E522" s="9" t="n">
        <v>10.514</v>
      </c>
      <c r="F522" s="9" t="n">
        <v>0.6</v>
      </c>
      <c r="G522" s="9" t="n">
        <v>0.6</v>
      </c>
      <c r="H522" s="9" t="n">
        <v>0.3</v>
      </c>
      <c r="I522" s="9" t="n">
        <v>-0.15</v>
      </c>
      <c r="J522" s="9" t="n">
        <v>-0.45</v>
      </c>
      <c r="K522" s="9" t="n">
        <v>-0.6</v>
      </c>
      <c r="L522" s="9" t="n">
        <v>0.6</v>
      </c>
      <c r="M522" s="8" t="n">
        <v>1</v>
      </c>
      <c r="N522" s="8" t="inlineStr">
        <is>
          <t>1x I-220 ยาว 22 ม.</t>
        </is>
      </c>
      <c r="O522" s="8">
        <f>F522*G522*H522</f>
        <v/>
      </c>
      <c r="P522" s="8">
        <f>2*(F522+G522)*H522</f>
        <v/>
      </c>
      <c r="Q522" s="8">
        <f>IF(L522&gt;0,(F522+2*0.1)*(G522+2*0.1)*L522,0)</f>
        <v/>
      </c>
      <c r="R522" s="8">
        <f>(F522+0.2)*(G522+0.2)*0.1</f>
        <v/>
      </c>
      <c r="S522" s="8">
        <f>(F522+0.2)*(G522+0.2)*0.05</f>
        <v/>
      </c>
      <c r="T522" s="8">
        <f>INDEX('2-ฐานราก เหล็กเสริม'!$S:$S,MATCH(B522,'2-ฐานราก เหล็กเสริม'!$A:$A,0))</f>
        <v/>
      </c>
      <c r="U522" s="8" t="inlineStr">
        <is>
          <t>M41</t>
        </is>
      </c>
      <c r="V522" s="10" t="inlineStr">
        <is>
          <t>แบบ S201 (ตำแหน่ง) / ระดับรอยืนยัน</t>
        </is>
      </c>
    </row>
    <row r="523">
      <c r="A523" s="8" t="inlineStr">
        <is>
          <t>F1A-103</t>
        </is>
      </c>
      <c r="B523" s="8" t="inlineStr">
        <is>
          <t>F1A</t>
        </is>
      </c>
      <c r="C523" s="8" t="inlineStr">
        <is>
          <t>1-1.51/C-1.49</t>
        </is>
      </c>
      <c r="D523" s="9" t="n">
        <v>-1.512</v>
      </c>
      <c r="E523" s="9" t="n">
        <v>10.514</v>
      </c>
      <c r="F523" s="9" t="n">
        <v>0.6</v>
      </c>
      <c r="G523" s="9" t="n">
        <v>0.6</v>
      </c>
      <c r="H523" s="9" t="n">
        <v>0.3</v>
      </c>
      <c r="I523" s="9" t="n">
        <v>-0.15</v>
      </c>
      <c r="J523" s="9" t="n">
        <v>-0.45</v>
      </c>
      <c r="K523" s="9" t="n">
        <v>-0.6</v>
      </c>
      <c r="L523" s="9" t="n">
        <v>0.6</v>
      </c>
      <c r="M523" s="8" t="n">
        <v>1</v>
      </c>
      <c r="N523" s="8" t="inlineStr">
        <is>
          <t>1x I-220 ยาว 22 ม.</t>
        </is>
      </c>
      <c r="O523" s="8">
        <f>F523*G523*H523</f>
        <v/>
      </c>
      <c r="P523" s="8">
        <f>2*(F523+G523)*H523</f>
        <v/>
      </c>
      <c r="Q523" s="8">
        <f>IF(L523&gt;0,(F523+2*0.1)*(G523+2*0.1)*L523,0)</f>
        <v/>
      </c>
      <c r="R523" s="8">
        <f>(F523+0.2)*(G523+0.2)*0.1</f>
        <v/>
      </c>
      <c r="S523" s="8">
        <f>(F523+0.2)*(G523+0.2)*0.05</f>
        <v/>
      </c>
      <c r="T523" s="8">
        <f>INDEX('2-ฐานราก เหล็กเสริม'!$S:$S,MATCH(B523,'2-ฐานราก เหล็กเสริม'!$A:$A,0))</f>
        <v/>
      </c>
      <c r="U523" s="8" t="inlineStr">
        <is>
          <t>M41</t>
        </is>
      </c>
      <c r="V523" s="10" t="inlineStr">
        <is>
          <t>แบบ S201 (ตำแหน่ง) / ระดับรอยืนยัน</t>
        </is>
      </c>
    </row>
    <row r="524">
      <c r="A524" s="8" t="inlineStr">
        <is>
          <t>F1A-104</t>
        </is>
      </c>
      <c r="B524" s="8" t="inlineStr">
        <is>
          <t>F1A</t>
        </is>
      </c>
      <c r="C524" s="8" t="inlineStr">
        <is>
          <t>11+1.49/C-1.49</t>
        </is>
      </c>
      <c r="D524" s="9" t="n">
        <v>61.489</v>
      </c>
      <c r="E524" s="9" t="n">
        <v>10.514</v>
      </c>
      <c r="F524" s="9" t="n">
        <v>0.6</v>
      </c>
      <c r="G524" s="9" t="n">
        <v>0.6</v>
      </c>
      <c r="H524" s="9" t="n">
        <v>0.3</v>
      </c>
      <c r="I524" s="9" t="n">
        <v>-0.15</v>
      </c>
      <c r="J524" s="9" t="n">
        <v>-0.45</v>
      </c>
      <c r="K524" s="9" t="n">
        <v>-0.6</v>
      </c>
      <c r="L524" s="9" t="n">
        <v>0.6</v>
      </c>
      <c r="M524" s="8" t="n">
        <v>1</v>
      </c>
      <c r="N524" s="8" t="inlineStr">
        <is>
          <t>1x I-220 ยาว 22 ม.</t>
        </is>
      </c>
      <c r="O524" s="8">
        <f>F524*G524*H524</f>
        <v/>
      </c>
      <c r="P524" s="8">
        <f>2*(F524+G524)*H524</f>
        <v/>
      </c>
      <c r="Q524" s="8">
        <f>IF(L524&gt;0,(F524+2*0.1)*(G524+2*0.1)*L524,0)</f>
        <v/>
      </c>
      <c r="R524" s="8">
        <f>(F524+0.2)*(G524+0.2)*0.1</f>
        <v/>
      </c>
      <c r="S524" s="8">
        <f>(F524+0.2)*(G524+0.2)*0.05</f>
        <v/>
      </c>
      <c r="T524" s="8">
        <f>INDEX('2-ฐานราก เหล็กเสริม'!$S:$S,MATCH(B524,'2-ฐานราก เหล็กเสริม'!$A:$A,0))</f>
        <v/>
      </c>
      <c r="U524" s="8" t="inlineStr">
        <is>
          <t>M41</t>
        </is>
      </c>
      <c r="V524" s="10" t="inlineStr">
        <is>
          <t>แบบ S201 (ตำแหน่ง) / ระดับรอยืนยัน</t>
        </is>
      </c>
    </row>
    <row r="525">
      <c r="A525" s="8" t="inlineStr">
        <is>
          <t>F1A-105</t>
        </is>
      </c>
      <c r="B525" s="8" t="inlineStr">
        <is>
          <t>F1A</t>
        </is>
      </c>
      <c r="C525" s="8" t="inlineStr">
        <is>
          <t>11+4.50/C-1.49</t>
        </is>
      </c>
      <c r="D525" s="9" t="n">
        <v>64.495</v>
      </c>
      <c r="E525" s="9" t="n">
        <v>10.514</v>
      </c>
      <c r="F525" s="9" t="n">
        <v>0.6</v>
      </c>
      <c r="G525" s="9" t="n">
        <v>0.6</v>
      </c>
      <c r="H525" s="9" t="n">
        <v>0.3</v>
      </c>
      <c r="I525" s="9" t="n">
        <v>-0.15</v>
      </c>
      <c r="J525" s="9" t="n">
        <v>-0.45</v>
      </c>
      <c r="K525" s="9" t="n">
        <v>-0.6</v>
      </c>
      <c r="L525" s="9" t="n">
        <v>0.6</v>
      </c>
      <c r="M525" s="8" t="n">
        <v>1</v>
      </c>
      <c r="N525" s="8" t="inlineStr">
        <is>
          <t>1x I-220 ยาว 22 ม.</t>
        </is>
      </c>
      <c r="O525" s="8">
        <f>F525*G525*H525</f>
        <v/>
      </c>
      <c r="P525" s="8">
        <f>2*(F525+G525)*H525</f>
        <v/>
      </c>
      <c r="Q525" s="8">
        <f>IF(L525&gt;0,(F525+2*0.1)*(G525+2*0.1)*L525,0)</f>
        <v/>
      </c>
      <c r="R525" s="8">
        <f>(F525+0.2)*(G525+0.2)*0.1</f>
        <v/>
      </c>
      <c r="S525" s="8">
        <f>(F525+0.2)*(G525+0.2)*0.05</f>
        <v/>
      </c>
      <c r="T525" s="8">
        <f>INDEX('2-ฐานราก เหล็กเสริม'!$S:$S,MATCH(B525,'2-ฐานราก เหล็กเสริม'!$A:$A,0))</f>
        <v/>
      </c>
      <c r="U525" s="8" t="inlineStr">
        <is>
          <t>M41</t>
        </is>
      </c>
      <c r="V525" s="10" t="inlineStr">
        <is>
          <t>แบบ S201 (ตำแหน่ง) / ระดับรอยืนยัน</t>
        </is>
      </c>
    </row>
    <row r="526">
      <c r="A526" s="8" t="inlineStr">
        <is>
          <t>F1A-106</t>
        </is>
      </c>
      <c r="B526" s="8" t="inlineStr">
        <is>
          <t>F1A</t>
        </is>
      </c>
      <c r="C526" s="8" t="inlineStr">
        <is>
          <t>11+6.49/C-1.49</t>
        </is>
      </c>
      <c r="D526" s="9" t="n">
        <v>66.494</v>
      </c>
      <c r="E526" s="9" t="n">
        <v>10.514</v>
      </c>
      <c r="F526" s="9" t="n">
        <v>0.6</v>
      </c>
      <c r="G526" s="9" t="n">
        <v>0.6</v>
      </c>
      <c r="H526" s="9" t="n">
        <v>0.3</v>
      </c>
      <c r="I526" s="9" t="n">
        <v>-0.15</v>
      </c>
      <c r="J526" s="9" t="n">
        <v>-0.45</v>
      </c>
      <c r="K526" s="9" t="n">
        <v>-0.6</v>
      </c>
      <c r="L526" s="9" t="n">
        <v>0.6</v>
      </c>
      <c r="M526" s="8" t="n">
        <v>1</v>
      </c>
      <c r="N526" s="8" t="inlineStr">
        <is>
          <t>1x I-220 ยาว 22 ม.</t>
        </is>
      </c>
      <c r="O526" s="8">
        <f>F526*G526*H526</f>
        <v/>
      </c>
      <c r="P526" s="8">
        <f>2*(F526+G526)*H526</f>
        <v/>
      </c>
      <c r="Q526" s="8">
        <f>IF(L526&gt;0,(F526+2*0.1)*(G526+2*0.1)*L526,0)</f>
        <v/>
      </c>
      <c r="R526" s="8">
        <f>(F526+0.2)*(G526+0.2)*0.1</f>
        <v/>
      </c>
      <c r="S526" s="8">
        <f>(F526+0.2)*(G526+0.2)*0.05</f>
        <v/>
      </c>
      <c r="T526" s="8">
        <f>INDEX('2-ฐานราก เหล็กเสริม'!$S:$S,MATCH(B526,'2-ฐานราก เหล็กเสริม'!$A:$A,0))</f>
        <v/>
      </c>
      <c r="U526" s="8" t="inlineStr">
        <is>
          <t>M41</t>
        </is>
      </c>
      <c r="V526" s="10" t="inlineStr">
        <is>
          <t>แบบ S201 (ตำแหน่ง) / ระดับรอยืนยัน</t>
        </is>
      </c>
    </row>
    <row r="527">
      <c r="A527" s="8" t="inlineStr">
        <is>
          <t>F1A-107</t>
        </is>
      </c>
      <c r="B527" s="8" t="inlineStr">
        <is>
          <t>F1A</t>
        </is>
      </c>
      <c r="C527" s="8" t="inlineStr">
        <is>
          <t>1-7.52/C+1.51</t>
        </is>
      </c>
      <c r="D527" s="9" t="n">
        <v>-7.516</v>
      </c>
      <c r="E527" s="9" t="n">
        <v>13.506</v>
      </c>
      <c r="F527" s="9" t="n">
        <v>0.6</v>
      </c>
      <c r="G527" s="9" t="n">
        <v>0.6</v>
      </c>
      <c r="H527" s="9" t="n">
        <v>0.3</v>
      </c>
      <c r="I527" s="9" t="n">
        <v>-0.15</v>
      </c>
      <c r="J527" s="9" t="n">
        <v>-0.45</v>
      </c>
      <c r="K527" s="9" t="n">
        <v>-0.6</v>
      </c>
      <c r="L527" s="9" t="n">
        <v>0.6</v>
      </c>
      <c r="M527" s="8" t="n">
        <v>1</v>
      </c>
      <c r="N527" s="8" t="inlineStr">
        <is>
          <t>1x I-220 ยาว 22 ม.</t>
        </is>
      </c>
      <c r="O527" s="8">
        <f>F527*G527*H527</f>
        <v/>
      </c>
      <c r="P527" s="8">
        <f>2*(F527+G527)*H527</f>
        <v/>
      </c>
      <c r="Q527" s="8">
        <f>IF(L527&gt;0,(F527+2*0.1)*(G527+2*0.1)*L527,0)</f>
        <v/>
      </c>
      <c r="R527" s="8">
        <f>(F527+0.2)*(G527+0.2)*0.1</f>
        <v/>
      </c>
      <c r="S527" s="8">
        <f>(F527+0.2)*(G527+0.2)*0.05</f>
        <v/>
      </c>
      <c r="T527" s="8">
        <f>INDEX('2-ฐานราก เหล็กเสริม'!$S:$S,MATCH(B527,'2-ฐานราก เหล็กเสริม'!$A:$A,0))</f>
        <v/>
      </c>
      <c r="U527" s="8" t="inlineStr">
        <is>
          <t>M41</t>
        </is>
      </c>
      <c r="V527" s="10" t="inlineStr">
        <is>
          <t>แบบ S201 (ตำแหน่ง) / ระดับรอยืนยัน</t>
        </is>
      </c>
    </row>
    <row r="528">
      <c r="A528" s="8" t="inlineStr">
        <is>
          <t>F1A-108</t>
        </is>
      </c>
      <c r="B528" s="8" t="inlineStr">
        <is>
          <t>F1A</t>
        </is>
      </c>
      <c r="C528" s="8" t="inlineStr">
        <is>
          <t>1-4.51/C+1.51</t>
        </is>
      </c>
      <c r="D528" s="9" t="n">
        <v>-4.511</v>
      </c>
      <c r="E528" s="9" t="n">
        <v>13.506</v>
      </c>
      <c r="F528" s="9" t="n">
        <v>0.6</v>
      </c>
      <c r="G528" s="9" t="n">
        <v>0.6</v>
      </c>
      <c r="H528" s="9" t="n">
        <v>0.3</v>
      </c>
      <c r="I528" s="9" t="n">
        <v>-0.15</v>
      </c>
      <c r="J528" s="9" t="n">
        <v>-0.45</v>
      </c>
      <c r="K528" s="9" t="n">
        <v>-0.6</v>
      </c>
      <c r="L528" s="9" t="n">
        <v>0.6</v>
      </c>
      <c r="M528" s="8" t="n">
        <v>1</v>
      </c>
      <c r="N528" s="8" t="inlineStr">
        <is>
          <t>1x I-220 ยาว 22 ม.</t>
        </is>
      </c>
      <c r="O528" s="8">
        <f>F528*G528*H528</f>
        <v/>
      </c>
      <c r="P528" s="8">
        <f>2*(F528+G528)*H528</f>
        <v/>
      </c>
      <c r="Q528" s="8">
        <f>IF(L528&gt;0,(F528+2*0.1)*(G528+2*0.1)*L528,0)</f>
        <v/>
      </c>
      <c r="R528" s="8">
        <f>(F528+0.2)*(G528+0.2)*0.1</f>
        <v/>
      </c>
      <c r="S528" s="8">
        <f>(F528+0.2)*(G528+0.2)*0.05</f>
        <v/>
      </c>
      <c r="T528" s="8">
        <f>INDEX('2-ฐานราก เหล็กเสริม'!$S:$S,MATCH(B528,'2-ฐานราก เหล็กเสริม'!$A:$A,0))</f>
        <v/>
      </c>
      <c r="U528" s="8" t="inlineStr">
        <is>
          <t>M41</t>
        </is>
      </c>
      <c r="V528" s="10" t="inlineStr">
        <is>
          <t>แบบ S201 (ตำแหน่ง) / ระดับรอยืนยัน</t>
        </is>
      </c>
    </row>
    <row r="529">
      <c r="A529" s="8" t="inlineStr">
        <is>
          <t>F1A-109</t>
        </is>
      </c>
      <c r="B529" s="8" t="inlineStr">
        <is>
          <t>F1A</t>
        </is>
      </c>
      <c r="C529" s="8" t="inlineStr">
        <is>
          <t>1-1.51/C+1.51</t>
        </is>
      </c>
      <c r="D529" s="9" t="n">
        <v>-1.512</v>
      </c>
      <c r="E529" s="9" t="n">
        <v>13.506</v>
      </c>
      <c r="F529" s="9" t="n">
        <v>0.6</v>
      </c>
      <c r="G529" s="9" t="n">
        <v>0.6</v>
      </c>
      <c r="H529" s="9" t="n">
        <v>0.3</v>
      </c>
      <c r="I529" s="9" t="n">
        <v>-0.15</v>
      </c>
      <c r="J529" s="9" t="n">
        <v>-0.45</v>
      </c>
      <c r="K529" s="9" t="n">
        <v>-0.6</v>
      </c>
      <c r="L529" s="9" t="n">
        <v>0.6</v>
      </c>
      <c r="M529" s="8" t="n">
        <v>1</v>
      </c>
      <c r="N529" s="8" t="inlineStr">
        <is>
          <t>1x I-220 ยาว 22 ม.</t>
        </is>
      </c>
      <c r="O529" s="8">
        <f>F529*G529*H529</f>
        <v/>
      </c>
      <c r="P529" s="8">
        <f>2*(F529+G529)*H529</f>
        <v/>
      </c>
      <c r="Q529" s="8">
        <f>IF(L529&gt;0,(F529+2*0.1)*(G529+2*0.1)*L529,0)</f>
        <v/>
      </c>
      <c r="R529" s="8">
        <f>(F529+0.2)*(G529+0.2)*0.1</f>
        <v/>
      </c>
      <c r="S529" s="8">
        <f>(F529+0.2)*(G529+0.2)*0.05</f>
        <v/>
      </c>
      <c r="T529" s="8">
        <f>INDEX('2-ฐานราก เหล็กเสริม'!$S:$S,MATCH(B529,'2-ฐานราก เหล็กเสริม'!$A:$A,0))</f>
        <v/>
      </c>
      <c r="U529" s="8" t="inlineStr">
        <is>
          <t>M41</t>
        </is>
      </c>
      <c r="V529" s="10" t="inlineStr">
        <is>
          <t>แบบ S201 (ตำแหน่ง) / ระดับรอยืนยัน</t>
        </is>
      </c>
    </row>
    <row r="530">
      <c r="A530" s="8" t="inlineStr">
        <is>
          <t>F1A-110</t>
        </is>
      </c>
      <c r="B530" s="8" t="inlineStr">
        <is>
          <t>F1A</t>
        </is>
      </c>
      <c r="C530" s="8" t="inlineStr">
        <is>
          <t>11+1.49/C+1.51</t>
        </is>
      </c>
      <c r="D530" s="9" t="n">
        <v>61.489</v>
      </c>
      <c r="E530" s="9" t="n">
        <v>13.506</v>
      </c>
      <c r="F530" s="9" t="n">
        <v>0.6</v>
      </c>
      <c r="G530" s="9" t="n">
        <v>0.6</v>
      </c>
      <c r="H530" s="9" t="n">
        <v>0.3</v>
      </c>
      <c r="I530" s="9" t="n">
        <v>-0.15</v>
      </c>
      <c r="J530" s="9" t="n">
        <v>-0.45</v>
      </c>
      <c r="K530" s="9" t="n">
        <v>-0.6</v>
      </c>
      <c r="L530" s="9" t="n">
        <v>0.6</v>
      </c>
      <c r="M530" s="8" t="n">
        <v>1</v>
      </c>
      <c r="N530" s="8" t="inlineStr">
        <is>
          <t>1x I-220 ยาว 22 ม.</t>
        </is>
      </c>
      <c r="O530" s="8">
        <f>F530*G530*H530</f>
        <v/>
      </c>
      <c r="P530" s="8">
        <f>2*(F530+G530)*H530</f>
        <v/>
      </c>
      <c r="Q530" s="8">
        <f>IF(L530&gt;0,(F530+2*0.1)*(G530+2*0.1)*L530,0)</f>
        <v/>
      </c>
      <c r="R530" s="8">
        <f>(F530+0.2)*(G530+0.2)*0.1</f>
        <v/>
      </c>
      <c r="S530" s="8">
        <f>(F530+0.2)*(G530+0.2)*0.05</f>
        <v/>
      </c>
      <c r="T530" s="8">
        <f>INDEX('2-ฐานราก เหล็กเสริม'!$S:$S,MATCH(B530,'2-ฐานราก เหล็กเสริม'!$A:$A,0))</f>
        <v/>
      </c>
      <c r="U530" s="8" t="inlineStr">
        <is>
          <t>M41</t>
        </is>
      </c>
      <c r="V530" s="10" t="inlineStr">
        <is>
          <t>แบบ S201 (ตำแหน่ง) / ระดับรอยืนยัน</t>
        </is>
      </c>
    </row>
    <row r="531">
      <c r="A531" s="8" t="inlineStr">
        <is>
          <t>F1A-111</t>
        </is>
      </c>
      <c r="B531" s="8" t="inlineStr">
        <is>
          <t>F1A</t>
        </is>
      </c>
      <c r="C531" s="8" t="inlineStr">
        <is>
          <t>11+4.50/C+1.51</t>
        </is>
      </c>
      <c r="D531" s="9" t="n">
        <v>64.495</v>
      </c>
      <c r="E531" s="9" t="n">
        <v>13.506</v>
      </c>
      <c r="F531" s="9" t="n">
        <v>0.6</v>
      </c>
      <c r="G531" s="9" t="n">
        <v>0.6</v>
      </c>
      <c r="H531" s="9" t="n">
        <v>0.3</v>
      </c>
      <c r="I531" s="9" t="n">
        <v>-0.15</v>
      </c>
      <c r="J531" s="9" t="n">
        <v>-0.45</v>
      </c>
      <c r="K531" s="9" t="n">
        <v>-0.6</v>
      </c>
      <c r="L531" s="9" t="n">
        <v>0.6</v>
      </c>
      <c r="M531" s="8" t="n">
        <v>1</v>
      </c>
      <c r="N531" s="8" t="inlineStr">
        <is>
          <t>1x I-220 ยาว 22 ม.</t>
        </is>
      </c>
      <c r="O531" s="8">
        <f>F531*G531*H531</f>
        <v/>
      </c>
      <c r="P531" s="8">
        <f>2*(F531+G531)*H531</f>
        <v/>
      </c>
      <c r="Q531" s="8">
        <f>IF(L531&gt;0,(F531+2*0.1)*(G531+2*0.1)*L531,0)</f>
        <v/>
      </c>
      <c r="R531" s="8">
        <f>(F531+0.2)*(G531+0.2)*0.1</f>
        <v/>
      </c>
      <c r="S531" s="8">
        <f>(F531+0.2)*(G531+0.2)*0.05</f>
        <v/>
      </c>
      <c r="T531" s="8">
        <f>INDEX('2-ฐานราก เหล็กเสริม'!$S:$S,MATCH(B531,'2-ฐานราก เหล็กเสริม'!$A:$A,0))</f>
        <v/>
      </c>
      <c r="U531" s="8" t="inlineStr">
        <is>
          <t>M41</t>
        </is>
      </c>
      <c r="V531" s="10" t="inlineStr">
        <is>
          <t>แบบ S201 (ตำแหน่ง) / ระดับรอยืนยัน</t>
        </is>
      </c>
    </row>
    <row r="532">
      <c r="A532" s="8" t="inlineStr">
        <is>
          <t>F1A-112</t>
        </is>
      </c>
      <c r="B532" s="8" t="inlineStr">
        <is>
          <t>F1A</t>
        </is>
      </c>
      <c r="C532" s="8" t="inlineStr">
        <is>
          <t>11+7.49/C+1.51</t>
        </is>
      </c>
      <c r="D532" s="9" t="n">
        <v>67.49299999999999</v>
      </c>
      <c r="E532" s="9" t="n">
        <v>13.506</v>
      </c>
      <c r="F532" s="9" t="n">
        <v>0.6</v>
      </c>
      <c r="G532" s="9" t="n">
        <v>0.6</v>
      </c>
      <c r="H532" s="9" t="n">
        <v>0.3</v>
      </c>
      <c r="I532" s="9" t="n">
        <v>-0.15</v>
      </c>
      <c r="J532" s="9" t="n">
        <v>-0.45</v>
      </c>
      <c r="K532" s="9" t="n">
        <v>-0.6</v>
      </c>
      <c r="L532" s="9" t="n">
        <v>0.6</v>
      </c>
      <c r="M532" s="8" t="n">
        <v>1</v>
      </c>
      <c r="N532" s="8" t="inlineStr">
        <is>
          <t>1x I-220 ยาว 22 ม.</t>
        </is>
      </c>
      <c r="O532" s="8">
        <f>F532*G532*H532</f>
        <v/>
      </c>
      <c r="P532" s="8">
        <f>2*(F532+G532)*H532</f>
        <v/>
      </c>
      <c r="Q532" s="8">
        <f>IF(L532&gt;0,(F532+2*0.1)*(G532+2*0.1)*L532,0)</f>
        <v/>
      </c>
      <c r="R532" s="8">
        <f>(F532+0.2)*(G532+0.2)*0.1</f>
        <v/>
      </c>
      <c r="S532" s="8">
        <f>(F532+0.2)*(G532+0.2)*0.05</f>
        <v/>
      </c>
      <c r="T532" s="8">
        <f>INDEX('2-ฐานราก เหล็กเสริม'!$S:$S,MATCH(B532,'2-ฐานราก เหล็กเสริม'!$A:$A,0))</f>
        <v/>
      </c>
      <c r="U532" s="8" t="inlineStr">
        <is>
          <t>M41</t>
        </is>
      </c>
      <c r="V532" s="10" t="inlineStr">
        <is>
          <t>แบบ S201 (ตำแหน่ง) / ระดับรอยืนยัน</t>
        </is>
      </c>
    </row>
    <row r="533">
      <c r="A533" s="8" t="inlineStr">
        <is>
          <t>F1A-113</t>
        </is>
      </c>
      <c r="B533" s="8" t="inlineStr">
        <is>
          <t>F1A</t>
        </is>
      </c>
      <c r="C533" s="8" t="inlineStr">
        <is>
          <t>1-7.52/D-1.49</t>
        </is>
      </c>
      <c r="D533" s="9" t="n">
        <v>-7.516</v>
      </c>
      <c r="E533" s="9" t="n">
        <v>16.511</v>
      </c>
      <c r="F533" s="9" t="n">
        <v>0.6</v>
      </c>
      <c r="G533" s="9" t="n">
        <v>0.6</v>
      </c>
      <c r="H533" s="9" t="n">
        <v>0.3</v>
      </c>
      <c r="I533" s="9" t="n">
        <v>-0.15</v>
      </c>
      <c r="J533" s="9" t="n">
        <v>-0.45</v>
      </c>
      <c r="K533" s="9" t="n">
        <v>-0.6</v>
      </c>
      <c r="L533" s="9" t="n">
        <v>0.6</v>
      </c>
      <c r="M533" s="8" t="n">
        <v>1</v>
      </c>
      <c r="N533" s="8" t="inlineStr">
        <is>
          <t>1x I-220 ยาว 22 ม.</t>
        </is>
      </c>
      <c r="O533" s="8">
        <f>F533*G533*H533</f>
        <v/>
      </c>
      <c r="P533" s="8">
        <f>2*(F533+G533)*H533</f>
        <v/>
      </c>
      <c r="Q533" s="8">
        <f>IF(L533&gt;0,(F533+2*0.1)*(G533+2*0.1)*L533,0)</f>
        <v/>
      </c>
      <c r="R533" s="8">
        <f>(F533+0.2)*(G533+0.2)*0.1</f>
        <v/>
      </c>
      <c r="S533" s="8">
        <f>(F533+0.2)*(G533+0.2)*0.05</f>
        <v/>
      </c>
      <c r="T533" s="8">
        <f>INDEX('2-ฐานราก เหล็กเสริม'!$S:$S,MATCH(B533,'2-ฐานราก เหล็กเสริม'!$A:$A,0))</f>
        <v/>
      </c>
      <c r="U533" s="8" t="inlineStr">
        <is>
          <t>M41</t>
        </is>
      </c>
      <c r="V533" s="10" t="inlineStr">
        <is>
          <t>แบบ S201 (ตำแหน่ง) / ระดับรอยืนยัน</t>
        </is>
      </c>
    </row>
    <row r="534">
      <c r="A534" s="8" t="inlineStr">
        <is>
          <t>F1A-114</t>
        </is>
      </c>
      <c r="B534" s="8" t="inlineStr">
        <is>
          <t>F1A</t>
        </is>
      </c>
      <c r="C534" s="8" t="inlineStr">
        <is>
          <t>1-4.01/D-1.49</t>
        </is>
      </c>
      <c r="D534" s="9" t="n">
        <v>-4.015</v>
      </c>
      <c r="E534" s="9" t="n">
        <v>16.511</v>
      </c>
      <c r="F534" s="9" t="n">
        <v>0.6</v>
      </c>
      <c r="G534" s="9" t="n">
        <v>0.6</v>
      </c>
      <c r="H534" s="9" t="n">
        <v>0.3</v>
      </c>
      <c r="I534" s="9" t="n">
        <v>-0.15</v>
      </c>
      <c r="J534" s="9" t="n">
        <v>-0.45</v>
      </c>
      <c r="K534" s="9" t="n">
        <v>-0.6</v>
      </c>
      <c r="L534" s="9" t="n">
        <v>0.6</v>
      </c>
      <c r="M534" s="8" t="n">
        <v>1</v>
      </c>
      <c r="N534" s="8" t="inlineStr">
        <is>
          <t>1x I-220 ยาว 22 ม.</t>
        </is>
      </c>
      <c r="O534" s="8">
        <f>F534*G534*H534</f>
        <v/>
      </c>
      <c r="P534" s="8">
        <f>2*(F534+G534)*H534</f>
        <v/>
      </c>
      <c r="Q534" s="8">
        <f>IF(L534&gt;0,(F534+2*0.1)*(G534+2*0.1)*L534,0)</f>
        <v/>
      </c>
      <c r="R534" s="8">
        <f>(F534+0.2)*(G534+0.2)*0.1</f>
        <v/>
      </c>
      <c r="S534" s="8">
        <f>(F534+0.2)*(G534+0.2)*0.05</f>
        <v/>
      </c>
      <c r="T534" s="8">
        <f>INDEX('2-ฐานราก เหล็กเสริม'!$S:$S,MATCH(B534,'2-ฐานราก เหล็กเสริม'!$A:$A,0))</f>
        <v/>
      </c>
      <c r="U534" s="8" t="inlineStr">
        <is>
          <t>M41</t>
        </is>
      </c>
      <c r="V534" s="10" t="inlineStr">
        <is>
          <t>แบบ S201 (ตำแหน่ง) / ระดับรอยืนยัน</t>
        </is>
      </c>
    </row>
    <row r="535">
      <c r="A535" s="8" t="inlineStr">
        <is>
          <t>F1A-115</t>
        </is>
      </c>
      <c r="B535" s="8" t="inlineStr">
        <is>
          <t>F1A</t>
        </is>
      </c>
      <c r="C535" s="8" t="inlineStr">
        <is>
          <t>1-1.51/D-1.49</t>
        </is>
      </c>
      <c r="D535" s="9" t="n">
        <v>-1.512</v>
      </c>
      <c r="E535" s="9" t="n">
        <v>16.511</v>
      </c>
      <c r="F535" s="9" t="n">
        <v>0.6</v>
      </c>
      <c r="G535" s="9" t="n">
        <v>0.6</v>
      </c>
      <c r="H535" s="9" t="n">
        <v>0.3</v>
      </c>
      <c r="I535" s="9" t="n">
        <v>-0.15</v>
      </c>
      <c r="J535" s="9" t="n">
        <v>-0.45</v>
      </c>
      <c r="K535" s="9" t="n">
        <v>-0.6</v>
      </c>
      <c r="L535" s="9" t="n">
        <v>0.6</v>
      </c>
      <c r="M535" s="8" t="n">
        <v>1</v>
      </c>
      <c r="N535" s="8" t="inlineStr">
        <is>
          <t>1x I-220 ยาว 22 ม.</t>
        </is>
      </c>
      <c r="O535" s="8">
        <f>F535*G535*H535</f>
        <v/>
      </c>
      <c r="P535" s="8">
        <f>2*(F535+G535)*H535</f>
        <v/>
      </c>
      <c r="Q535" s="8">
        <f>IF(L535&gt;0,(F535+2*0.1)*(G535+2*0.1)*L535,0)</f>
        <v/>
      </c>
      <c r="R535" s="8">
        <f>(F535+0.2)*(G535+0.2)*0.1</f>
        <v/>
      </c>
      <c r="S535" s="8">
        <f>(F535+0.2)*(G535+0.2)*0.05</f>
        <v/>
      </c>
      <c r="T535" s="8">
        <f>INDEX('2-ฐานราก เหล็กเสริม'!$S:$S,MATCH(B535,'2-ฐานราก เหล็กเสริม'!$A:$A,0))</f>
        <v/>
      </c>
      <c r="U535" s="8" t="inlineStr">
        <is>
          <t>M41</t>
        </is>
      </c>
      <c r="V535" s="10" t="inlineStr">
        <is>
          <t>แบบ S201 (ตำแหน่ง) / ระดับรอยืนยัน</t>
        </is>
      </c>
    </row>
    <row r="536">
      <c r="A536" s="8" t="inlineStr">
        <is>
          <t>F1A-116</t>
        </is>
      </c>
      <c r="B536" s="8" t="inlineStr">
        <is>
          <t>F1A</t>
        </is>
      </c>
      <c r="C536" s="8" t="inlineStr">
        <is>
          <t>11+1.49/D-1.49</t>
        </is>
      </c>
      <c r="D536" s="9" t="n">
        <v>61.489</v>
      </c>
      <c r="E536" s="9" t="n">
        <v>16.511</v>
      </c>
      <c r="F536" s="9" t="n">
        <v>0.6</v>
      </c>
      <c r="G536" s="9" t="n">
        <v>0.6</v>
      </c>
      <c r="H536" s="9" t="n">
        <v>0.3</v>
      </c>
      <c r="I536" s="9" t="n">
        <v>-0.15</v>
      </c>
      <c r="J536" s="9" t="n">
        <v>-0.45</v>
      </c>
      <c r="K536" s="9" t="n">
        <v>-0.6</v>
      </c>
      <c r="L536" s="9" t="n">
        <v>0.6</v>
      </c>
      <c r="M536" s="8" t="n">
        <v>1</v>
      </c>
      <c r="N536" s="8" t="inlineStr">
        <is>
          <t>1x I-220 ยาว 22 ม.</t>
        </is>
      </c>
      <c r="O536" s="8">
        <f>F536*G536*H536</f>
        <v/>
      </c>
      <c r="P536" s="8">
        <f>2*(F536+G536)*H536</f>
        <v/>
      </c>
      <c r="Q536" s="8">
        <f>IF(L536&gt;0,(F536+2*0.1)*(G536+2*0.1)*L536,0)</f>
        <v/>
      </c>
      <c r="R536" s="8">
        <f>(F536+0.2)*(G536+0.2)*0.1</f>
        <v/>
      </c>
      <c r="S536" s="8">
        <f>(F536+0.2)*(G536+0.2)*0.05</f>
        <v/>
      </c>
      <c r="T536" s="8">
        <f>INDEX('2-ฐานราก เหล็กเสริม'!$S:$S,MATCH(B536,'2-ฐานราก เหล็กเสริม'!$A:$A,0))</f>
        <v/>
      </c>
      <c r="U536" s="8" t="inlineStr">
        <is>
          <t>M41</t>
        </is>
      </c>
      <c r="V536" s="10" t="inlineStr">
        <is>
          <t>แบบ S201 (ตำแหน่ง) / ระดับรอยืนยัน</t>
        </is>
      </c>
    </row>
    <row r="537">
      <c r="A537" s="8" t="inlineStr">
        <is>
          <t>F1A-117</t>
        </is>
      </c>
      <c r="B537" s="8" t="inlineStr">
        <is>
          <t>F1A</t>
        </is>
      </c>
      <c r="C537" s="8" t="inlineStr">
        <is>
          <t>11+4.50/D-1.49</t>
        </is>
      </c>
      <c r="D537" s="9" t="n">
        <v>64.495</v>
      </c>
      <c r="E537" s="9" t="n">
        <v>16.511</v>
      </c>
      <c r="F537" s="9" t="n">
        <v>0.6</v>
      </c>
      <c r="G537" s="9" t="n">
        <v>0.6</v>
      </c>
      <c r="H537" s="9" t="n">
        <v>0.3</v>
      </c>
      <c r="I537" s="9" t="n">
        <v>-0.15</v>
      </c>
      <c r="J537" s="9" t="n">
        <v>-0.45</v>
      </c>
      <c r="K537" s="9" t="n">
        <v>-0.6</v>
      </c>
      <c r="L537" s="9" t="n">
        <v>0.6</v>
      </c>
      <c r="M537" s="8" t="n">
        <v>1</v>
      </c>
      <c r="N537" s="8" t="inlineStr">
        <is>
          <t>1x I-220 ยาว 22 ม.</t>
        </is>
      </c>
      <c r="O537" s="8">
        <f>F537*G537*H537</f>
        <v/>
      </c>
      <c r="P537" s="8">
        <f>2*(F537+G537)*H537</f>
        <v/>
      </c>
      <c r="Q537" s="8">
        <f>IF(L537&gt;0,(F537+2*0.1)*(G537+2*0.1)*L537,0)</f>
        <v/>
      </c>
      <c r="R537" s="8">
        <f>(F537+0.2)*(G537+0.2)*0.1</f>
        <v/>
      </c>
      <c r="S537" s="8">
        <f>(F537+0.2)*(G537+0.2)*0.05</f>
        <v/>
      </c>
      <c r="T537" s="8">
        <f>INDEX('2-ฐานราก เหล็กเสริม'!$S:$S,MATCH(B537,'2-ฐานราก เหล็กเสริม'!$A:$A,0))</f>
        <v/>
      </c>
      <c r="U537" s="8" t="inlineStr">
        <is>
          <t>M41</t>
        </is>
      </c>
      <c r="V537" s="10" t="inlineStr">
        <is>
          <t>แบบ S201 (ตำแหน่ง) / ระดับรอยืนยัน</t>
        </is>
      </c>
    </row>
    <row r="538">
      <c r="A538" s="8" t="inlineStr">
        <is>
          <t>F1A-118</t>
        </is>
      </c>
      <c r="B538" s="8" t="inlineStr">
        <is>
          <t>F1A</t>
        </is>
      </c>
      <c r="C538" s="8" t="inlineStr">
        <is>
          <t>11+7.49/D-1.49</t>
        </is>
      </c>
      <c r="D538" s="9" t="n">
        <v>67.49299999999999</v>
      </c>
      <c r="E538" s="9" t="n">
        <v>16.511</v>
      </c>
      <c r="F538" s="9" t="n">
        <v>0.6</v>
      </c>
      <c r="G538" s="9" t="n">
        <v>0.6</v>
      </c>
      <c r="H538" s="9" t="n">
        <v>0.3</v>
      </c>
      <c r="I538" s="9" t="n">
        <v>-0.15</v>
      </c>
      <c r="J538" s="9" t="n">
        <v>-0.45</v>
      </c>
      <c r="K538" s="9" t="n">
        <v>-0.6</v>
      </c>
      <c r="L538" s="9" t="n">
        <v>0.6</v>
      </c>
      <c r="M538" s="8" t="n">
        <v>1</v>
      </c>
      <c r="N538" s="8" t="inlineStr">
        <is>
          <t>1x I-220 ยาว 22 ม.</t>
        </is>
      </c>
      <c r="O538" s="8">
        <f>F538*G538*H538</f>
        <v/>
      </c>
      <c r="P538" s="8">
        <f>2*(F538+G538)*H538</f>
        <v/>
      </c>
      <c r="Q538" s="8">
        <f>IF(L538&gt;0,(F538+2*0.1)*(G538+2*0.1)*L538,0)</f>
        <v/>
      </c>
      <c r="R538" s="8">
        <f>(F538+0.2)*(G538+0.2)*0.1</f>
        <v/>
      </c>
      <c r="S538" s="8">
        <f>(F538+0.2)*(G538+0.2)*0.05</f>
        <v/>
      </c>
      <c r="T538" s="8">
        <f>INDEX('2-ฐานราก เหล็กเสริม'!$S:$S,MATCH(B538,'2-ฐานราก เหล็กเสริม'!$A:$A,0))</f>
        <v/>
      </c>
      <c r="U538" s="8" t="inlineStr">
        <is>
          <t>M41</t>
        </is>
      </c>
      <c r="V538" s="10" t="inlineStr">
        <is>
          <t>แบบ S201 (ตำแหน่ง) / ระดับรอยืนยัน</t>
        </is>
      </c>
    </row>
    <row r="539">
      <c r="A539" s="8" t="inlineStr">
        <is>
          <t>F1A-119</t>
        </is>
      </c>
      <c r="B539" s="8" t="inlineStr">
        <is>
          <t>F1A</t>
        </is>
      </c>
      <c r="C539" s="8" t="inlineStr">
        <is>
          <t>1-4.01/D+1.51</t>
        </is>
      </c>
      <c r="D539" s="9" t="n">
        <v>-4.015</v>
      </c>
      <c r="E539" s="9" t="n">
        <v>19.51</v>
      </c>
      <c r="F539" s="9" t="n">
        <v>0.6</v>
      </c>
      <c r="G539" s="9" t="n">
        <v>0.6</v>
      </c>
      <c r="H539" s="9" t="n">
        <v>0.3</v>
      </c>
      <c r="I539" s="9" t="n">
        <v>-0.15</v>
      </c>
      <c r="J539" s="9" t="n">
        <v>-0.45</v>
      </c>
      <c r="K539" s="9" t="n">
        <v>-0.6</v>
      </c>
      <c r="L539" s="9" t="n">
        <v>0.6</v>
      </c>
      <c r="M539" s="8" t="n">
        <v>1</v>
      </c>
      <c r="N539" s="8" t="inlineStr">
        <is>
          <t>1x I-220 ยาว 22 ม.</t>
        </is>
      </c>
      <c r="O539" s="8">
        <f>F539*G539*H539</f>
        <v/>
      </c>
      <c r="P539" s="8">
        <f>2*(F539+G539)*H539</f>
        <v/>
      </c>
      <c r="Q539" s="8">
        <f>IF(L539&gt;0,(F539+2*0.1)*(G539+2*0.1)*L539,0)</f>
        <v/>
      </c>
      <c r="R539" s="8">
        <f>(F539+0.2)*(G539+0.2)*0.1</f>
        <v/>
      </c>
      <c r="S539" s="8">
        <f>(F539+0.2)*(G539+0.2)*0.05</f>
        <v/>
      </c>
      <c r="T539" s="8">
        <f>INDEX('2-ฐานราก เหล็กเสริม'!$S:$S,MATCH(B539,'2-ฐานราก เหล็กเสริม'!$A:$A,0))</f>
        <v/>
      </c>
      <c r="U539" s="8" t="inlineStr">
        <is>
          <t>M41</t>
        </is>
      </c>
      <c r="V539" s="10" t="inlineStr">
        <is>
          <t>แบบ S201 (ตำแหน่ง) / ระดับรอยืนยัน</t>
        </is>
      </c>
    </row>
    <row r="540">
      <c r="A540" s="8" t="inlineStr">
        <is>
          <t>F1A-120</t>
        </is>
      </c>
      <c r="B540" s="8" t="inlineStr">
        <is>
          <t>F1A</t>
        </is>
      </c>
      <c r="C540" s="8" t="inlineStr">
        <is>
          <t>1-1.51/D+1.51</t>
        </is>
      </c>
      <c r="D540" s="9" t="n">
        <v>-1.512</v>
      </c>
      <c r="E540" s="9" t="n">
        <v>19.51</v>
      </c>
      <c r="F540" s="9" t="n">
        <v>0.6</v>
      </c>
      <c r="G540" s="9" t="n">
        <v>0.6</v>
      </c>
      <c r="H540" s="9" t="n">
        <v>0.3</v>
      </c>
      <c r="I540" s="9" t="n">
        <v>-0.15</v>
      </c>
      <c r="J540" s="9" t="n">
        <v>-0.45</v>
      </c>
      <c r="K540" s="9" t="n">
        <v>-0.6</v>
      </c>
      <c r="L540" s="9" t="n">
        <v>0.6</v>
      </c>
      <c r="M540" s="8" t="n">
        <v>1</v>
      </c>
      <c r="N540" s="8" t="inlineStr">
        <is>
          <t>1x I-220 ยาว 22 ม.</t>
        </is>
      </c>
      <c r="O540" s="8">
        <f>F540*G540*H540</f>
        <v/>
      </c>
      <c r="P540" s="8">
        <f>2*(F540+G540)*H540</f>
        <v/>
      </c>
      <c r="Q540" s="8">
        <f>IF(L540&gt;0,(F540+2*0.1)*(G540+2*0.1)*L540,0)</f>
        <v/>
      </c>
      <c r="R540" s="8">
        <f>(F540+0.2)*(G540+0.2)*0.1</f>
        <v/>
      </c>
      <c r="S540" s="8">
        <f>(F540+0.2)*(G540+0.2)*0.05</f>
        <v/>
      </c>
      <c r="T540" s="8">
        <f>INDEX('2-ฐานราก เหล็กเสริม'!$S:$S,MATCH(B540,'2-ฐานราก เหล็กเสริม'!$A:$A,0))</f>
        <v/>
      </c>
      <c r="U540" s="8" t="inlineStr">
        <is>
          <t>M41</t>
        </is>
      </c>
      <c r="V540" s="10" t="inlineStr">
        <is>
          <t>แบบ S201 (ตำแหน่ง) / ระดับรอยืนยัน</t>
        </is>
      </c>
    </row>
    <row r="541">
      <c r="A541" s="8" t="inlineStr">
        <is>
          <t>F1A-121</t>
        </is>
      </c>
      <c r="B541" s="8" t="inlineStr">
        <is>
          <t>F1A</t>
        </is>
      </c>
      <c r="C541" s="8" t="inlineStr">
        <is>
          <t>11+1.49/D+1.51</t>
        </is>
      </c>
      <c r="D541" s="9" t="n">
        <v>61.489</v>
      </c>
      <c r="E541" s="9" t="n">
        <v>19.51</v>
      </c>
      <c r="F541" s="9" t="n">
        <v>0.6</v>
      </c>
      <c r="G541" s="9" t="n">
        <v>0.6</v>
      </c>
      <c r="H541" s="9" t="n">
        <v>0.3</v>
      </c>
      <c r="I541" s="9" t="n">
        <v>-0.15</v>
      </c>
      <c r="J541" s="9" t="n">
        <v>-0.45</v>
      </c>
      <c r="K541" s="9" t="n">
        <v>-0.6</v>
      </c>
      <c r="L541" s="9" t="n">
        <v>0.6</v>
      </c>
      <c r="M541" s="8" t="n">
        <v>1</v>
      </c>
      <c r="N541" s="8" t="inlineStr">
        <is>
          <t>1x I-220 ยาว 22 ม.</t>
        </is>
      </c>
      <c r="O541" s="8">
        <f>F541*G541*H541</f>
        <v/>
      </c>
      <c r="P541" s="8">
        <f>2*(F541+G541)*H541</f>
        <v/>
      </c>
      <c r="Q541" s="8">
        <f>IF(L541&gt;0,(F541+2*0.1)*(G541+2*0.1)*L541,0)</f>
        <v/>
      </c>
      <c r="R541" s="8">
        <f>(F541+0.2)*(G541+0.2)*0.1</f>
        <v/>
      </c>
      <c r="S541" s="8">
        <f>(F541+0.2)*(G541+0.2)*0.05</f>
        <v/>
      </c>
      <c r="T541" s="8">
        <f>INDEX('2-ฐานราก เหล็กเสริม'!$S:$S,MATCH(B541,'2-ฐานราก เหล็กเสริม'!$A:$A,0))</f>
        <v/>
      </c>
      <c r="U541" s="8" t="inlineStr">
        <is>
          <t>M41</t>
        </is>
      </c>
      <c r="V541" s="10" t="inlineStr">
        <is>
          <t>แบบ S201 (ตำแหน่ง) / ระดับรอยืนยัน</t>
        </is>
      </c>
    </row>
    <row r="542">
      <c r="A542" s="8" t="inlineStr">
        <is>
          <t>F1A-122</t>
        </is>
      </c>
      <c r="B542" s="8" t="inlineStr">
        <is>
          <t>F1A</t>
        </is>
      </c>
      <c r="C542" s="8" t="inlineStr">
        <is>
          <t>11+4.50/D+1.51</t>
        </is>
      </c>
      <c r="D542" s="9" t="n">
        <v>64.495</v>
      </c>
      <c r="E542" s="9" t="n">
        <v>19.51</v>
      </c>
      <c r="F542" s="9" t="n">
        <v>0.6</v>
      </c>
      <c r="G542" s="9" t="n">
        <v>0.6</v>
      </c>
      <c r="H542" s="9" t="n">
        <v>0.3</v>
      </c>
      <c r="I542" s="9" t="n">
        <v>-0.15</v>
      </c>
      <c r="J542" s="9" t="n">
        <v>-0.45</v>
      </c>
      <c r="K542" s="9" t="n">
        <v>-0.6</v>
      </c>
      <c r="L542" s="9" t="n">
        <v>0.6</v>
      </c>
      <c r="M542" s="8" t="n">
        <v>1</v>
      </c>
      <c r="N542" s="8" t="inlineStr">
        <is>
          <t>1x I-220 ยาว 22 ม.</t>
        </is>
      </c>
      <c r="O542" s="8">
        <f>F542*G542*H542</f>
        <v/>
      </c>
      <c r="P542" s="8">
        <f>2*(F542+G542)*H542</f>
        <v/>
      </c>
      <c r="Q542" s="8">
        <f>IF(L542&gt;0,(F542+2*0.1)*(G542+2*0.1)*L542,0)</f>
        <v/>
      </c>
      <c r="R542" s="8">
        <f>(F542+0.2)*(G542+0.2)*0.1</f>
        <v/>
      </c>
      <c r="S542" s="8">
        <f>(F542+0.2)*(G542+0.2)*0.05</f>
        <v/>
      </c>
      <c r="T542" s="8">
        <f>INDEX('2-ฐานราก เหล็กเสริม'!$S:$S,MATCH(B542,'2-ฐานราก เหล็กเสริม'!$A:$A,0))</f>
        <v/>
      </c>
      <c r="U542" s="8" t="inlineStr">
        <is>
          <t>M41</t>
        </is>
      </c>
      <c r="V542" s="10" t="inlineStr">
        <is>
          <t>แบบ S201 (ตำแหน่ง) / ระดับรอยืนยัน</t>
        </is>
      </c>
    </row>
    <row r="543">
      <c r="A543" s="8" t="inlineStr">
        <is>
          <t>F1A-123</t>
        </is>
      </c>
      <c r="B543" s="8" t="inlineStr">
        <is>
          <t>F1A</t>
        </is>
      </c>
      <c r="C543" s="8" t="inlineStr">
        <is>
          <t>11+7.79/D+1.51</t>
        </is>
      </c>
      <c r="D543" s="9" t="n">
        <v>67.791</v>
      </c>
      <c r="E543" s="9" t="n">
        <v>19.51</v>
      </c>
      <c r="F543" s="9" t="n">
        <v>0.6</v>
      </c>
      <c r="G543" s="9" t="n">
        <v>0.6</v>
      </c>
      <c r="H543" s="9" t="n">
        <v>0.3</v>
      </c>
      <c r="I543" s="9" t="n">
        <v>-0.15</v>
      </c>
      <c r="J543" s="9" t="n">
        <v>-0.45</v>
      </c>
      <c r="K543" s="9" t="n">
        <v>-0.6</v>
      </c>
      <c r="L543" s="9" t="n">
        <v>0.6</v>
      </c>
      <c r="M543" s="8" t="n">
        <v>1</v>
      </c>
      <c r="N543" s="8" t="inlineStr">
        <is>
          <t>1x I-220 ยาว 22 ม.</t>
        </is>
      </c>
      <c r="O543" s="8">
        <f>F543*G543*H543</f>
        <v/>
      </c>
      <c r="P543" s="8">
        <f>2*(F543+G543)*H543</f>
        <v/>
      </c>
      <c r="Q543" s="8">
        <f>IF(L543&gt;0,(F543+2*0.1)*(G543+2*0.1)*L543,0)</f>
        <v/>
      </c>
      <c r="R543" s="8">
        <f>(F543+0.2)*(G543+0.2)*0.1</f>
        <v/>
      </c>
      <c r="S543" s="8">
        <f>(F543+0.2)*(G543+0.2)*0.05</f>
        <v/>
      </c>
      <c r="T543" s="8">
        <f>INDEX('2-ฐานราก เหล็กเสริม'!$S:$S,MATCH(B543,'2-ฐานราก เหล็กเสริม'!$A:$A,0))</f>
        <v/>
      </c>
      <c r="U543" s="8" t="inlineStr">
        <is>
          <t>M41</t>
        </is>
      </c>
      <c r="V543" s="10" t="inlineStr">
        <is>
          <t>แบบ S201 (ตำแหน่ง) / ระดับรอยืนยัน</t>
        </is>
      </c>
    </row>
    <row r="544">
      <c r="A544" s="8" t="inlineStr">
        <is>
          <t>F1A-124</t>
        </is>
      </c>
      <c r="B544" s="8" t="inlineStr">
        <is>
          <t>F1A</t>
        </is>
      </c>
      <c r="C544" s="8" t="inlineStr">
        <is>
          <t>1-4.01/E-1.49</t>
        </is>
      </c>
      <c r="D544" s="9" t="n">
        <v>-4.015</v>
      </c>
      <c r="E544" s="9" t="n">
        <v>22.509</v>
      </c>
      <c r="F544" s="9" t="n">
        <v>0.6</v>
      </c>
      <c r="G544" s="9" t="n">
        <v>0.6</v>
      </c>
      <c r="H544" s="9" t="n">
        <v>0.3</v>
      </c>
      <c r="I544" s="9" t="n">
        <v>-0.15</v>
      </c>
      <c r="J544" s="9" t="n">
        <v>-0.45</v>
      </c>
      <c r="K544" s="9" t="n">
        <v>-0.6</v>
      </c>
      <c r="L544" s="9" t="n">
        <v>0.6</v>
      </c>
      <c r="M544" s="8" t="n">
        <v>1</v>
      </c>
      <c r="N544" s="8" t="inlineStr">
        <is>
          <t>1x I-220 ยาว 22 ม.</t>
        </is>
      </c>
      <c r="O544" s="8">
        <f>F544*G544*H544</f>
        <v/>
      </c>
      <c r="P544" s="8">
        <f>2*(F544+G544)*H544</f>
        <v/>
      </c>
      <c r="Q544" s="8">
        <f>IF(L544&gt;0,(F544+2*0.1)*(G544+2*0.1)*L544,0)</f>
        <v/>
      </c>
      <c r="R544" s="8">
        <f>(F544+0.2)*(G544+0.2)*0.1</f>
        <v/>
      </c>
      <c r="S544" s="8">
        <f>(F544+0.2)*(G544+0.2)*0.05</f>
        <v/>
      </c>
      <c r="T544" s="8">
        <f>INDEX('2-ฐานราก เหล็กเสริม'!$S:$S,MATCH(B544,'2-ฐานราก เหล็กเสริม'!$A:$A,0))</f>
        <v/>
      </c>
      <c r="U544" s="8" t="inlineStr">
        <is>
          <t>M41</t>
        </is>
      </c>
      <c r="V544" s="10" t="inlineStr">
        <is>
          <t>แบบ S201 (ตำแหน่ง) / ระดับรอยืนยัน</t>
        </is>
      </c>
    </row>
    <row r="545">
      <c r="A545" s="8" t="inlineStr">
        <is>
          <t>F1A-125</t>
        </is>
      </c>
      <c r="B545" s="8" t="inlineStr">
        <is>
          <t>F1A</t>
        </is>
      </c>
      <c r="C545" s="8" t="inlineStr">
        <is>
          <t>1-1.51/E-1.49</t>
        </is>
      </c>
      <c r="D545" s="9" t="n">
        <v>-1.512</v>
      </c>
      <c r="E545" s="9" t="n">
        <v>22.509</v>
      </c>
      <c r="F545" s="9" t="n">
        <v>0.6</v>
      </c>
      <c r="G545" s="9" t="n">
        <v>0.6</v>
      </c>
      <c r="H545" s="9" t="n">
        <v>0.3</v>
      </c>
      <c r="I545" s="9" t="n">
        <v>-0.15</v>
      </c>
      <c r="J545" s="9" t="n">
        <v>-0.45</v>
      </c>
      <c r="K545" s="9" t="n">
        <v>-0.6</v>
      </c>
      <c r="L545" s="9" t="n">
        <v>0.6</v>
      </c>
      <c r="M545" s="8" t="n">
        <v>1</v>
      </c>
      <c r="N545" s="8" t="inlineStr">
        <is>
          <t>1x I-220 ยาว 22 ม.</t>
        </is>
      </c>
      <c r="O545" s="8">
        <f>F545*G545*H545</f>
        <v/>
      </c>
      <c r="P545" s="8">
        <f>2*(F545+G545)*H545</f>
        <v/>
      </c>
      <c r="Q545" s="8">
        <f>IF(L545&gt;0,(F545+2*0.1)*(G545+2*0.1)*L545,0)</f>
        <v/>
      </c>
      <c r="R545" s="8">
        <f>(F545+0.2)*(G545+0.2)*0.1</f>
        <v/>
      </c>
      <c r="S545" s="8">
        <f>(F545+0.2)*(G545+0.2)*0.05</f>
        <v/>
      </c>
      <c r="T545" s="8">
        <f>INDEX('2-ฐานราก เหล็กเสริม'!$S:$S,MATCH(B545,'2-ฐานราก เหล็กเสริม'!$A:$A,0))</f>
        <v/>
      </c>
      <c r="U545" s="8" t="inlineStr">
        <is>
          <t>M41</t>
        </is>
      </c>
      <c r="V545" s="10" t="inlineStr">
        <is>
          <t>แบบ S201 (ตำแหน่ง) / ระดับรอยืนยัน</t>
        </is>
      </c>
    </row>
    <row r="546">
      <c r="A546" s="8" t="inlineStr">
        <is>
          <t>F1A-126</t>
        </is>
      </c>
      <c r="B546" s="8" t="inlineStr">
        <is>
          <t>F1A</t>
        </is>
      </c>
      <c r="C546" s="8" t="inlineStr">
        <is>
          <t>11+1.49/E-1.49</t>
        </is>
      </c>
      <c r="D546" s="9" t="n">
        <v>61.489</v>
      </c>
      <c r="E546" s="9" t="n">
        <v>22.509</v>
      </c>
      <c r="F546" s="9" t="n">
        <v>0.6</v>
      </c>
      <c r="G546" s="9" t="n">
        <v>0.6</v>
      </c>
      <c r="H546" s="9" t="n">
        <v>0.3</v>
      </c>
      <c r="I546" s="9" t="n">
        <v>-0.15</v>
      </c>
      <c r="J546" s="9" t="n">
        <v>-0.45</v>
      </c>
      <c r="K546" s="9" t="n">
        <v>-0.6</v>
      </c>
      <c r="L546" s="9" t="n">
        <v>0.6</v>
      </c>
      <c r="M546" s="8" t="n">
        <v>1</v>
      </c>
      <c r="N546" s="8" t="inlineStr">
        <is>
          <t>1x I-220 ยาว 22 ม.</t>
        </is>
      </c>
      <c r="O546" s="8">
        <f>F546*G546*H546</f>
        <v/>
      </c>
      <c r="P546" s="8">
        <f>2*(F546+G546)*H546</f>
        <v/>
      </c>
      <c r="Q546" s="8">
        <f>IF(L546&gt;0,(F546+2*0.1)*(G546+2*0.1)*L546,0)</f>
        <v/>
      </c>
      <c r="R546" s="8">
        <f>(F546+0.2)*(G546+0.2)*0.1</f>
        <v/>
      </c>
      <c r="S546" s="8">
        <f>(F546+0.2)*(G546+0.2)*0.05</f>
        <v/>
      </c>
      <c r="T546" s="8">
        <f>INDEX('2-ฐานราก เหล็กเสริม'!$S:$S,MATCH(B546,'2-ฐานราก เหล็กเสริม'!$A:$A,0))</f>
        <v/>
      </c>
      <c r="U546" s="8" t="inlineStr">
        <is>
          <t>M41</t>
        </is>
      </c>
      <c r="V546" s="10" t="inlineStr">
        <is>
          <t>แบบ S201 (ตำแหน่ง) / ระดับรอยืนยัน</t>
        </is>
      </c>
    </row>
    <row r="547">
      <c r="A547" s="8" t="inlineStr">
        <is>
          <t>F1A-127</t>
        </is>
      </c>
      <c r="B547" s="8" t="inlineStr">
        <is>
          <t>F1A</t>
        </is>
      </c>
      <c r="C547" s="8" t="inlineStr">
        <is>
          <t>11+4.50/E-1.49</t>
        </is>
      </c>
      <c r="D547" s="9" t="n">
        <v>64.495</v>
      </c>
      <c r="E547" s="9" t="n">
        <v>22.509</v>
      </c>
      <c r="F547" s="9" t="n">
        <v>0.6</v>
      </c>
      <c r="G547" s="9" t="n">
        <v>0.6</v>
      </c>
      <c r="H547" s="9" t="n">
        <v>0.3</v>
      </c>
      <c r="I547" s="9" t="n">
        <v>-0.15</v>
      </c>
      <c r="J547" s="9" t="n">
        <v>-0.45</v>
      </c>
      <c r="K547" s="9" t="n">
        <v>-0.6</v>
      </c>
      <c r="L547" s="9" t="n">
        <v>0.6</v>
      </c>
      <c r="M547" s="8" t="n">
        <v>1</v>
      </c>
      <c r="N547" s="8" t="inlineStr">
        <is>
          <t>1x I-220 ยาว 22 ม.</t>
        </is>
      </c>
      <c r="O547" s="8">
        <f>F547*G547*H547</f>
        <v/>
      </c>
      <c r="P547" s="8">
        <f>2*(F547+G547)*H547</f>
        <v/>
      </c>
      <c r="Q547" s="8">
        <f>IF(L547&gt;0,(F547+2*0.1)*(G547+2*0.1)*L547,0)</f>
        <v/>
      </c>
      <c r="R547" s="8">
        <f>(F547+0.2)*(G547+0.2)*0.1</f>
        <v/>
      </c>
      <c r="S547" s="8">
        <f>(F547+0.2)*(G547+0.2)*0.05</f>
        <v/>
      </c>
      <c r="T547" s="8">
        <f>INDEX('2-ฐานราก เหล็กเสริม'!$S:$S,MATCH(B547,'2-ฐานราก เหล็กเสริม'!$A:$A,0))</f>
        <v/>
      </c>
      <c r="U547" s="8" t="inlineStr">
        <is>
          <t>M41</t>
        </is>
      </c>
      <c r="V547" s="10" t="inlineStr">
        <is>
          <t>แบบ S201 (ตำแหน่ง) / ระดับรอยืนยัน</t>
        </is>
      </c>
    </row>
    <row r="548">
      <c r="A548" s="8" t="inlineStr">
        <is>
          <t>F1A-128</t>
        </is>
      </c>
      <c r="B548" s="8" t="inlineStr">
        <is>
          <t>F1A</t>
        </is>
      </c>
      <c r="C548" s="8" t="inlineStr">
        <is>
          <t>11+7.79/E-1.49</t>
        </is>
      </c>
      <c r="D548" s="9" t="n">
        <v>67.791</v>
      </c>
      <c r="E548" s="9" t="n">
        <v>22.509</v>
      </c>
      <c r="F548" s="9" t="n">
        <v>0.6</v>
      </c>
      <c r="G548" s="9" t="n">
        <v>0.6</v>
      </c>
      <c r="H548" s="9" t="n">
        <v>0.3</v>
      </c>
      <c r="I548" s="9" t="n">
        <v>-0.15</v>
      </c>
      <c r="J548" s="9" t="n">
        <v>-0.45</v>
      </c>
      <c r="K548" s="9" t="n">
        <v>-0.6</v>
      </c>
      <c r="L548" s="9" t="n">
        <v>0.6</v>
      </c>
      <c r="M548" s="8" t="n">
        <v>1</v>
      </c>
      <c r="N548" s="8" t="inlineStr">
        <is>
          <t>1x I-220 ยาว 22 ม.</t>
        </is>
      </c>
      <c r="O548" s="8">
        <f>F548*G548*H548</f>
        <v/>
      </c>
      <c r="P548" s="8">
        <f>2*(F548+G548)*H548</f>
        <v/>
      </c>
      <c r="Q548" s="8">
        <f>IF(L548&gt;0,(F548+2*0.1)*(G548+2*0.1)*L548,0)</f>
        <v/>
      </c>
      <c r="R548" s="8">
        <f>(F548+0.2)*(G548+0.2)*0.1</f>
        <v/>
      </c>
      <c r="S548" s="8">
        <f>(F548+0.2)*(G548+0.2)*0.05</f>
        <v/>
      </c>
      <c r="T548" s="8">
        <f>INDEX('2-ฐานราก เหล็กเสริม'!$S:$S,MATCH(B548,'2-ฐานราก เหล็กเสริม'!$A:$A,0))</f>
        <v/>
      </c>
      <c r="U548" s="8" t="inlineStr">
        <is>
          <t>M41</t>
        </is>
      </c>
      <c r="V548" s="10" t="inlineStr">
        <is>
          <t>แบบ S201 (ตำแหน่ง) / ระดับรอยืนยัน</t>
        </is>
      </c>
    </row>
    <row r="549">
      <c r="A549" s="8" t="inlineStr">
        <is>
          <t>F1A-129</t>
        </is>
      </c>
      <c r="B549" s="8" t="inlineStr">
        <is>
          <t>F1A</t>
        </is>
      </c>
      <c r="C549" s="8" t="inlineStr">
        <is>
          <t>1-4.01/E+1.51</t>
        </is>
      </c>
      <c r="D549" s="9" t="n">
        <v>-4.015</v>
      </c>
      <c r="E549" s="9" t="n">
        <v>25.514</v>
      </c>
      <c r="F549" s="9" t="n">
        <v>0.6</v>
      </c>
      <c r="G549" s="9" t="n">
        <v>0.6</v>
      </c>
      <c r="H549" s="9" t="n">
        <v>0.3</v>
      </c>
      <c r="I549" s="9" t="n">
        <v>-0.15</v>
      </c>
      <c r="J549" s="9" t="n">
        <v>-0.45</v>
      </c>
      <c r="K549" s="9" t="n">
        <v>-0.6</v>
      </c>
      <c r="L549" s="9" t="n">
        <v>0.6</v>
      </c>
      <c r="M549" s="8" t="n">
        <v>1</v>
      </c>
      <c r="N549" s="8" t="inlineStr">
        <is>
          <t>1x I-220 ยาว 22 ม.</t>
        </is>
      </c>
      <c r="O549" s="8">
        <f>F549*G549*H549</f>
        <v/>
      </c>
      <c r="P549" s="8">
        <f>2*(F549+G549)*H549</f>
        <v/>
      </c>
      <c r="Q549" s="8">
        <f>IF(L549&gt;0,(F549+2*0.1)*(G549+2*0.1)*L549,0)</f>
        <v/>
      </c>
      <c r="R549" s="8">
        <f>(F549+0.2)*(G549+0.2)*0.1</f>
        <v/>
      </c>
      <c r="S549" s="8">
        <f>(F549+0.2)*(G549+0.2)*0.05</f>
        <v/>
      </c>
      <c r="T549" s="8">
        <f>INDEX('2-ฐานราก เหล็กเสริม'!$S:$S,MATCH(B549,'2-ฐานราก เหล็กเสริม'!$A:$A,0))</f>
        <v/>
      </c>
      <c r="U549" s="8" t="inlineStr">
        <is>
          <t>M41</t>
        </is>
      </c>
      <c r="V549" s="10" t="inlineStr">
        <is>
          <t>แบบ S201 (ตำแหน่ง) / ระดับรอยืนยัน</t>
        </is>
      </c>
    </row>
    <row r="550">
      <c r="A550" s="8" t="inlineStr">
        <is>
          <t>F1A-130</t>
        </is>
      </c>
      <c r="B550" s="8" t="inlineStr">
        <is>
          <t>F1A</t>
        </is>
      </c>
      <c r="C550" s="8" t="inlineStr">
        <is>
          <t>1-1.51/E+1.51</t>
        </is>
      </c>
      <c r="D550" s="9" t="n">
        <v>-1.512</v>
      </c>
      <c r="E550" s="9" t="n">
        <v>25.514</v>
      </c>
      <c r="F550" s="9" t="n">
        <v>0.6</v>
      </c>
      <c r="G550" s="9" t="n">
        <v>0.6</v>
      </c>
      <c r="H550" s="9" t="n">
        <v>0.3</v>
      </c>
      <c r="I550" s="9" t="n">
        <v>-0.15</v>
      </c>
      <c r="J550" s="9" t="n">
        <v>-0.45</v>
      </c>
      <c r="K550" s="9" t="n">
        <v>-0.6</v>
      </c>
      <c r="L550" s="9" t="n">
        <v>0.6</v>
      </c>
      <c r="M550" s="8" t="n">
        <v>1</v>
      </c>
      <c r="N550" s="8" t="inlineStr">
        <is>
          <t>1x I-220 ยาว 22 ม.</t>
        </is>
      </c>
      <c r="O550" s="8">
        <f>F550*G550*H550</f>
        <v/>
      </c>
      <c r="P550" s="8">
        <f>2*(F550+G550)*H550</f>
        <v/>
      </c>
      <c r="Q550" s="8">
        <f>IF(L550&gt;0,(F550+2*0.1)*(G550+2*0.1)*L550,0)</f>
        <v/>
      </c>
      <c r="R550" s="8">
        <f>(F550+0.2)*(G550+0.2)*0.1</f>
        <v/>
      </c>
      <c r="S550" s="8">
        <f>(F550+0.2)*(G550+0.2)*0.05</f>
        <v/>
      </c>
      <c r="T550" s="8">
        <f>INDEX('2-ฐานราก เหล็กเสริม'!$S:$S,MATCH(B550,'2-ฐานราก เหล็กเสริม'!$A:$A,0))</f>
        <v/>
      </c>
      <c r="U550" s="8" t="inlineStr">
        <is>
          <t>M41</t>
        </is>
      </c>
      <c r="V550" s="10" t="inlineStr">
        <is>
          <t>แบบ S201 (ตำแหน่ง) / ระดับรอยืนยัน</t>
        </is>
      </c>
    </row>
    <row r="551">
      <c r="A551" s="8" t="inlineStr">
        <is>
          <t>F1A-131</t>
        </is>
      </c>
      <c r="B551" s="8" t="inlineStr">
        <is>
          <t>F1A</t>
        </is>
      </c>
      <c r="C551" s="8" t="inlineStr">
        <is>
          <t>11+1.49/E+1.51</t>
        </is>
      </c>
      <c r="D551" s="9" t="n">
        <v>61.489</v>
      </c>
      <c r="E551" s="9" t="n">
        <v>25.514</v>
      </c>
      <c r="F551" s="9" t="n">
        <v>0.6</v>
      </c>
      <c r="G551" s="9" t="n">
        <v>0.6</v>
      </c>
      <c r="H551" s="9" t="n">
        <v>0.3</v>
      </c>
      <c r="I551" s="9" t="n">
        <v>-0.15</v>
      </c>
      <c r="J551" s="9" t="n">
        <v>-0.45</v>
      </c>
      <c r="K551" s="9" t="n">
        <v>-0.6</v>
      </c>
      <c r="L551" s="9" t="n">
        <v>0.6</v>
      </c>
      <c r="M551" s="8" t="n">
        <v>1</v>
      </c>
      <c r="N551" s="8" t="inlineStr">
        <is>
          <t>1x I-220 ยาว 22 ม.</t>
        </is>
      </c>
      <c r="O551" s="8">
        <f>F551*G551*H551</f>
        <v/>
      </c>
      <c r="P551" s="8">
        <f>2*(F551+G551)*H551</f>
        <v/>
      </c>
      <c r="Q551" s="8">
        <f>IF(L551&gt;0,(F551+2*0.1)*(G551+2*0.1)*L551,0)</f>
        <v/>
      </c>
      <c r="R551" s="8">
        <f>(F551+0.2)*(G551+0.2)*0.1</f>
        <v/>
      </c>
      <c r="S551" s="8">
        <f>(F551+0.2)*(G551+0.2)*0.05</f>
        <v/>
      </c>
      <c r="T551" s="8">
        <f>INDEX('2-ฐานราก เหล็กเสริม'!$S:$S,MATCH(B551,'2-ฐานราก เหล็กเสริม'!$A:$A,0))</f>
        <v/>
      </c>
      <c r="U551" s="8" t="inlineStr">
        <is>
          <t>M41</t>
        </is>
      </c>
      <c r="V551" s="10" t="inlineStr">
        <is>
          <t>แบบ S201 (ตำแหน่ง) / ระดับรอยืนยัน</t>
        </is>
      </c>
    </row>
    <row r="552">
      <c r="A552" s="8" t="inlineStr">
        <is>
          <t>F1A-132</t>
        </is>
      </c>
      <c r="B552" s="8" t="inlineStr">
        <is>
          <t>F1A</t>
        </is>
      </c>
      <c r="C552" s="8" t="inlineStr">
        <is>
          <t>11+4.50/E+1.51</t>
        </is>
      </c>
      <c r="D552" s="9" t="n">
        <v>64.495</v>
      </c>
      <c r="E552" s="9" t="n">
        <v>25.514</v>
      </c>
      <c r="F552" s="9" t="n">
        <v>0.6</v>
      </c>
      <c r="G552" s="9" t="n">
        <v>0.6</v>
      </c>
      <c r="H552" s="9" t="n">
        <v>0.3</v>
      </c>
      <c r="I552" s="9" t="n">
        <v>-0.15</v>
      </c>
      <c r="J552" s="9" t="n">
        <v>-0.45</v>
      </c>
      <c r="K552" s="9" t="n">
        <v>-0.6</v>
      </c>
      <c r="L552" s="9" t="n">
        <v>0.6</v>
      </c>
      <c r="M552" s="8" t="n">
        <v>1</v>
      </c>
      <c r="N552" s="8" t="inlineStr">
        <is>
          <t>1x I-220 ยาว 22 ม.</t>
        </is>
      </c>
      <c r="O552" s="8">
        <f>F552*G552*H552</f>
        <v/>
      </c>
      <c r="P552" s="8">
        <f>2*(F552+G552)*H552</f>
        <v/>
      </c>
      <c r="Q552" s="8">
        <f>IF(L552&gt;0,(F552+2*0.1)*(G552+2*0.1)*L552,0)</f>
        <v/>
      </c>
      <c r="R552" s="8">
        <f>(F552+0.2)*(G552+0.2)*0.1</f>
        <v/>
      </c>
      <c r="S552" s="8">
        <f>(F552+0.2)*(G552+0.2)*0.05</f>
        <v/>
      </c>
      <c r="T552" s="8">
        <f>INDEX('2-ฐานราก เหล็กเสริม'!$S:$S,MATCH(B552,'2-ฐานราก เหล็กเสริม'!$A:$A,0))</f>
        <v/>
      </c>
      <c r="U552" s="8" t="inlineStr">
        <is>
          <t>M41</t>
        </is>
      </c>
      <c r="V552" s="10" t="inlineStr">
        <is>
          <t>แบบ S201 (ตำแหน่ง) / ระดับรอยืนยัน</t>
        </is>
      </c>
    </row>
    <row r="553">
      <c r="A553" s="8" t="inlineStr">
        <is>
          <t>F1A-133</t>
        </is>
      </c>
      <c r="B553" s="8" t="inlineStr">
        <is>
          <t>F1A</t>
        </is>
      </c>
      <c r="C553" s="8" t="inlineStr">
        <is>
          <t>1-4.51/F-1.49</t>
        </is>
      </c>
      <c r="D553" s="9" t="n">
        <v>-4.511</v>
      </c>
      <c r="E553" s="9" t="n">
        <v>28.513</v>
      </c>
      <c r="F553" s="9" t="n">
        <v>0.6</v>
      </c>
      <c r="G553" s="9" t="n">
        <v>0.6</v>
      </c>
      <c r="H553" s="9" t="n">
        <v>0.3</v>
      </c>
      <c r="I553" s="9" t="n">
        <v>-0.15</v>
      </c>
      <c r="J553" s="9" t="n">
        <v>-0.45</v>
      </c>
      <c r="K553" s="9" t="n">
        <v>-0.6</v>
      </c>
      <c r="L553" s="9" t="n">
        <v>0.6</v>
      </c>
      <c r="M553" s="8" t="n">
        <v>1</v>
      </c>
      <c r="N553" s="8" t="inlineStr">
        <is>
          <t>1x I-220 ยาว 22 ม.</t>
        </is>
      </c>
      <c r="O553" s="8">
        <f>F553*G553*H553</f>
        <v/>
      </c>
      <c r="P553" s="8">
        <f>2*(F553+G553)*H553</f>
        <v/>
      </c>
      <c r="Q553" s="8">
        <f>IF(L553&gt;0,(F553+2*0.1)*(G553+2*0.1)*L553,0)</f>
        <v/>
      </c>
      <c r="R553" s="8">
        <f>(F553+0.2)*(G553+0.2)*0.1</f>
        <v/>
      </c>
      <c r="S553" s="8">
        <f>(F553+0.2)*(G553+0.2)*0.05</f>
        <v/>
      </c>
      <c r="T553" s="8">
        <f>INDEX('2-ฐานราก เหล็กเสริม'!$S:$S,MATCH(B553,'2-ฐานราก เหล็กเสริม'!$A:$A,0))</f>
        <v/>
      </c>
      <c r="U553" s="8" t="inlineStr">
        <is>
          <t>M41</t>
        </is>
      </c>
      <c r="V553" s="10" t="inlineStr">
        <is>
          <t>แบบ S201 (ตำแหน่ง) / ระดับรอยืนยัน</t>
        </is>
      </c>
    </row>
    <row r="554">
      <c r="A554" s="8" t="inlineStr">
        <is>
          <t>F1A-134</t>
        </is>
      </c>
      <c r="B554" s="8" t="inlineStr">
        <is>
          <t>F1A</t>
        </is>
      </c>
      <c r="C554" s="8" t="inlineStr">
        <is>
          <t>1-1.51/F-1.49</t>
        </is>
      </c>
      <c r="D554" s="9" t="n">
        <v>-1.512</v>
      </c>
      <c r="E554" s="9" t="n">
        <v>28.513</v>
      </c>
      <c r="F554" s="9" t="n">
        <v>0.6</v>
      </c>
      <c r="G554" s="9" t="n">
        <v>0.6</v>
      </c>
      <c r="H554" s="9" t="n">
        <v>0.3</v>
      </c>
      <c r="I554" s="9" t="n">
        <v>-0.15</v>
      </c>
      <c r="J554" s="9" t="n">
        <v>-0.45</v>
      </c>
      <c r="K554" s="9" t="n">
        <v>-0.6</v>
      </c>
      <c r="L554" s="9" t="n">
        <v>0.6</v>
      </c>
      <c r="M554" s="8" t="n">
        <v>1</v>
      </c>
      <c r="N554" s="8" t="inlineStr">
        <is>
          <t>1x I-220 ยาว 22 ม.</t>
        </is>
      </c>
      <c r="O554" s="8">
        <f>F554*G554*H554</f>
        <v/>
      </c>
      <c r="P554" s="8">
        <f>2*(F554+G554)*H554</f>
        <v/>
      </c>
      <c r="Q554" s="8">
        <f>IF(L554&gt;0,(F554+2*0.1)*(G554+2*0.1)*L554,0)</f>
        <v/>
      </c>
      <c r="R554" s="8">
        <f>(F554+0.2)*(G554+0.2)*0.1</f>
        <v/>
      </c>
      <c r="S554" s="8">
        <f>(F554+0.2)*(G554+0.2)*0.05</f>
        <v/>
      </c>
      <c r="T554" s="8">
        <f>INDEX('2-ฐานราก เหล็กเสริม'!$S:$S,MATCH(B554,'2-ฐานราก เหล็กเสริม'!$A:$A,0))</f>
        <v/>
      </c>
      <c r="U554" s="8" t="inlineStr">
        <is>
          <t>M41</t>
        </is>
      </c>
      <c r="V554" s="10" t="inlineStr">
        <is>
          <t>แบบ S201 (ตำแหน่ง) / ระดับรอยืนยัน</t>
        </is>
      </c>
    </row>
    <row r="555">
      <c r="A555" s="8" t="inlineStr">
        <is>
          <t>F1A-135</t>
        </is>
      </c>
      <c r="B555" s="8" t="inlineStr">
        <is>
          <t>F1A</t>
        </is>
      </c>
      <c r="C555" s="8" t="inlineStr">
        <is>
          <t>11+1.49/F-1.49</t>
        </is>
      </c>
      <c r="D555" s="9" t="n">
        <v>61.489</v>
      </c>
      <c r="E555" s="9" t="n">
        <v>28.513</v>
      </c>
      <c r="F555" s="9" t="n">
        <v>0.6</v>
      </c>
      <c r="G555" s="9" t="n">
        <v>0.6</v>
      </c>
      <c r="H555" s="9" t="n">
        <v>0.3</v>
      </c>
      <c r="I555" s="9" t="n">
        <v>-0.15</v>
      </c>
      <c r="J555" s="9" t="n">
        <v>-0.45</v>
      </c>
      <c r="K555" s="9" t="n">
        <v>-0.6</v>
      </c>
      <c r="L555" s="9" t="n">
        <v>0.6</v>
      </c>
      <c r="M555" s="8" t="n">
        <v>1</v>
      </c>
      <c r="N555" s="8" t="inlineStr">
        <is>
          <t>1x I-220 ยาว 22 ม.</t>
        </is>
      </c>
      <c r="O555" s="8">
        <f>F555*G555*H555</f>
        <v/>
      </c>
      <c r="P555" s="8">
        <f>2*(F555+G555)*H555</f>
        <v/>
      </c>
      <c r="Q555" s="8">
        <f>IF(L555&gt;0,(F555+2*0.1)*(G555+2*0.1)*L555,0)</f>
        <v/>
      </c>
      <c r="R555" s="8">
        <f>(F555+0.2)*(G555+0.2)*0.1</f>
        <v/>
      </c>
      <c r="S555" s="8">
        <f>(F555+0.2)*(G555+0.2)*0.05</f>
        <v/>
      </c>
      <c r="T555" s="8">
        <f>INDEX('2-ฐานราก เหล็กเสริม'!$S:$S,MATCH(B555,'2-ฐานราก เหล็กเสริม'!$A:$A,0))</f>
        <v/>
      </c>
      <c r="U555" s="8" t="inlineStr">
        <is>
          <t>M41</t>
        </is>
      </c>
      <c r="V555" s="10" t="inlineStr">
        <is>
          <t>แบบ S201 (ตำแหน่ง) / ระดับรอยืนยัน</t>
        </is>
      </c>
    </row>
    <row r="556">
      <c r="A556" s="8" t="inlineStr">
        <is>
          <t>F1A-136</t>
        </is>
      </c>
      <c r="B556" s="8" t="inlineStr">
        <is>
          <t>F1A</t>
        </is>
      </c>
      <c r="C556" s="8" t="inlineStr">
        <is>
          <t>11+5.00/F-1.49</t>
        </is>
      </c>
      <c r="D556" s="9" t="n">
        <v>64.998</v>
      </c>
      <c r="E556" s="9" t="n">
        <v>28.513</v>
      </c>
      <c r="F556" s="9" t="n">
        <v>0.6</v>
      </c>
      <c r="G556" s="9" t="n">
        <v>0.6</v>
      </c>
      <c r="H556" s="9" t="n">
        <v>0.3</v>
      </c>
      <c r="I556" s="9" t="n">
        <v>-0.15</v>
      </c>
      <c r="J556" s="9" t="n">
        <v>-0.45</v>
      </c>
      <c r="K556" s="9" t="n">
        <v>-0.6</v>
      </c>
      <c r="L556" s="9" t="n">
        <v>0.6</v>
      </c>
      <c r="M556" s="8" t="n">
        <v>1</v>
      </c>
      <c r="N556" s="8" t="inlineStr">
        <is>
          <t>1x I-220 ยาว 22 ม.</t>
        </is>
      </c>
      <c r="O556" s="8">
        <f>F556*G556*H556</f>
        <v/>
      </c>
      <c r="P556" s="8">
        <f>2*(F556+G556)*H556</f>
        <v/>
      </c>
      <c r="Q556" s="8">
        <f>IF(L556&gt;0,(F556+2*0.1)*(G556+2*0.1)*L556,0)</f>
        <v/>
      </c>
      <c r="R556" s="8">
        <f>(F556+0.2)*(G556+0.2)*0.1</f>
        <v/>
      </c>
      <c r="S556" s="8">
        <f>(F556+0.2)*(G556+0.2)*0.05</f>
        <v/>
      </c>
      <c r="T556" s="8">
        <f>INDEX('2-ฐานราก เหล็กเสริม'!$S:$S,MATCH(B556,'2-ฐานราก เหล็กเสริม'!$A:$A,0))</f>
        <v/>
      </c>
      <c r="U556" s="8" t="inlineStr">
        <is>
          <t>M41</t>
        </is>
      </c>
      <c r="V556" s="10" t="inlineStr">
        <is>
          <t>แบบ S201 (ตำแหน่ง) / ระดับรอยืนยัน</t>
        </is>
      </c>
    </row>
    <row r="557">
      <c r="A557" s="8" t="inlineStr">
        <is>
          <t>F1A-137</t>
        </is>
      </c>
      <c r="B557" s="8" t="inlineStr">
        <is>
          <t>F1A</t>
        </is>
      </c>
      <c r="C557" s="8" t="inlineStr">
        <is>
          <t>1-4.51/F+1.51</t>
        </is>
      </c>
      <c r="D557" s="9" t="n">
        <v>-4.511</v>
      </c>
      <c r="E557" s="9" t="n">
        <v>31.512</v>
      </c>
      <c r="F557" s="9" t="n">
        <v>0.6</v>
      </c>
      <c r="G557" s="9" t="n">
        <v>0.6</v>
      </c>
      <c r="H557" s="9" t="n">
        <v>0.3</v>
      </c>
      <c r="I557" s="9" t="n">
        <v>-0.15</v>
      </c>
      <c r="J557" s="9" t="n">
        <v>-0.45</v>
      </c>
      <c r="K557" s="9" t="n">
        <v>-0.6</v>
      </c>
      <c r="L557" s="9" t="n">
        <v>0.6</v>
      </c>
      <c r="M557" s="8" t="n">
        <v>1</v>
      </c>
      <c r="N557" s="8" t="inlineStr">
        <is>
          <t>1x I-220 ยาว 22 ม.</t>
        </is>
      </c>
      <c r="O557" s="8">
        <f>F557*G557*H557</f>
        <v/>
      </c>
      <c r="P557" s="8">
        <f>2*(F557+G557)*H557</f>
        <v/>
      </c>
      <c r="Q557" s="8">
        <f>IF(L557&gt;0,(F557+2*0.1)*(G557+2*0.1)*L557,0)</f>
        <v/>
      </c>
      <c r="R557" s="8">
        <f>(F557+0.2)*(G557+0.2)*0.1</f>
        <v/>
      </c>
      <c r="S557" s="8">
        <f>(F557+0.2)*(G557+0.2)*0.05</f>
        <v/>
      </c>
      <c r="T557" s="8">
        <f>INDEX('2-ฐานราก เหล็กเสริม'!$S:$S,MATCH(B557,'2-ฐานราก เหล็กเสริม'!$A:$A,0))</f>
        <v/>
      </c>
      <c r="U557" s="8" t="inlineStr">
        <is>
          <t>M41</t>
        </is>
      </c>
      <c r="V557" s="10" t="inlineStr">
        <is>
          <t>แบบ S201 (ตำแหน่ง) / ระดับรอยืนยัน</t>
        </is>
      </c>
    </row>
    <row r="558">
      <c r="A558" s="8" t="inlineStr">
        <is>
          <t>F1A-138</t>
        </is>
      </c>
      <c r="B558" s="8" t="inlineStr">
        <is>
          <t>F1A</t>
        </is>
      </c>
      <c r="C558" s="8" t="inlineStr">
        <is>
          <t>1-1.51/F+1.51</t>
        </is>
      </c>
      <c r="D558" s="9" t="n">
        <v>-1.512</v>
      </c>
      <c r="E558" s="9" t="n">
        <v>31.512</v>
      </c>
      <c r="F558" s="9" t="n">
        <v>0.6</v>
      </c>
      <c r="G558" s="9" t="n">
        <v>0.6</v>
      </c>
      <c r="H558" s="9" t="n">
        <v>0.3</v>
      </c>
      <c r="I558" s="9" t="n">
        <v>-0.15</v>
      </c>
      <c r="J558" s="9" t="n">
        <v>-0.45</v>
      </c>
      <c r="K558" s="9" t="n">
        <v>-0.6</v>
      </c>
      <c r="L558" s="9" t="n">
        <v>0.6</v>
      </c>
      <c r="M558" s="8" t="n">
        <v>1</v>
      </c>
      <c r="N558" s="8" t="inlineStr">
        <is>
          <t>1x I-220 ยาว 22 ม.</t>
        </is>
      </c>
      <c r="O558" s="8">
        <f>F558*G558*H558</f>
        <v/>
      </c>
      <c r="P558" s="8">
        <f>2*(F558+G558)*H558</f>
        <v/>
      </c>
      <c r="Q558" s="8">
        <f>IF(L558&gt;0,(F558+2*0.1)*(G558+2*0.1)*L558,0)</f>
        <v/>
      </c>
      <c r="R558" s="8">
        <f>(F558+0.2)*(G558+0.2)*0.1</f>
        <v/>
      </c>
      <c r="S558" s="8">
        <f>(F558+0.2)*(G558+0.2)*0.05</f>
        <v/>
      </c>
      <c r="T558" s="8">
        <f>INDEX('2-ฐานราก เหล็กเสริม'!$S:$S,MATCH(B558,'2-ฐานราก เหล็กเสริม'!$A:$A,0))</f>
        <v/>
      </c>
      <c r="U558" s="8" t="inlineStr">
        <is>
          <t>M41</t>
        </is>
      </c>
      <c r="V558" s="10" t="inlineStr">
        <is>
          <t>แบบ S201 (ตำแหน่ง) / ระดับรอยืนยัน</t>
        </is>
      </c>
    </row>
    <row r="559">
      <c r="A559" s="8" t="inlineStr">
        <is>
          <t>F1A-139</t>
        </is>
      </c>
      <c r="B559" s="8" t="inlineStr">
        <is>
          <t>F1A</t>
        </is>
      </c>
      <c r="C559" s="8" t="inlineStr">
        <is>
          <t>11+1.49/F+1.51</t>
        </is>
      </c>
      <c r="D559" s="9" t="n">
        <v>61.489</v>
      </c>
      <c r="E559" s="9" t="n">
        <v>31.512</v>
      </c>
      <c r="F559" s="9" t="n">
        <v>0.6</v>
      </c>
      <c r="G559" s="9" t="n">
        <v>0.6</v>
      </c>
      <c r="H559" s="9" t="n">
        <v>0.3</v>
      </c>
      <c r="I559" s="9" t="n">
        <v>-0.15</v>
      </c>
      <c r="J559" s="9" t="n">
        <v>-0.45</v>
      </c>
      <c r="K559" s="9" t="n">
        <v>-0.6</v>
      </c>
      <c r="L559" s="9" t="n">
        <v>0.6</v>
      </c>
      <c r="M559" s="8" t="n">
        <v>1</v>
      </c>
      <c r="N559" s="8" t="inlineStr">
        <is>
          <t>1x I-220 ยาว 22 ม.</t>
        </is>
      </c>
      <c r="O559" s="8">
        <f>F559*G559*H559</f>
        <v/>
      </c>
      <c r="P559" s="8">
        <f>2*(F559+G559)*H559</f>
        <v/>
      </c>
      <c r="Q559" s="8">
        <f>IF(L559&gt;0,(F559+2*0.1)*(G559+2*0.1)*L559,0)</f>
        <v/>
      </c>
      <c r="R559" s="8">
        <f>(F559+0.2)*(G559+0.2)*0.1</f>
        <v/>
      </c>
      <c r="S559" s="8">
        <f>(F559+0.2)*(G559+0.2)*0.05</f>
        <v/>
      </c>
      <c r="T559" s="8">
        <f>INDEX('2-ฐานราก เหล็กเสริม'!$S:$S,MATCH(B559,'2-ฐานราก เหล็กเสริม'!$A:$A,0))</f>
        <v/>
      </c>
      <c r="U559" s="8" t="inlineStr">
        <is>
          <t>M41</t>
        </is>
      </c>
      <c r="V559" s="10" t="inlineStr">
        <is>
          <t>แบบ S201 (ตำแหน่ง) / ระดับรอยืนยัน</t>
        </is>
      </c>
    </row>
    <row r="560">
      <c r="A560" s="8" t="inlineStr">
        <is>
          <t>F1A-140</t>
        </is>
      </c>
      <c r="B560" s="8" t="inlineStr">
        <is>
          <t>F1A</t>
        </is>
      </c>
      <c r="C560" s="8" t="inlineStr">
        <is>
          <t>11+5.00/F+1.51</t>
        </is>
      </c>
      <c r="D560" s="9" t="n">
        <v>64.998</v>
      </c>
      <c r="E560" s="9" t="n">
        <v>31.512</v>
      </c>
      <c r="F560" s="9" t="n">
        <v>0.6</v>
      </c>
      <c r="G560" s="9" t="n">
        <v>0.6</v>
      </c>
      <c r="H560" s="9" t="n">
        <v>0.3</v>
      </c>
      <c r="I560" s="9" t="n">
        <v>-0.15</v>
      </c>
      <c r="J560" s="9" t="n">
        <v>-0.45</v>
      </c>
      <c r="K560" s="9" t="n">
        <v>-0.6</v>
      </c>
      <c r="L560" s="9" t="n">
        <v>0.6</v>
      </c>
      <c r="M560" s="8" t="n">
        <v>1</v>
      </c>
      <c r="N560" s="8" t="inlineStr">
        <is>
          <t>1x I-220 ยาว 22 ม.</t>
        </is>
      </c>
      <c r="O560" s="8">
        <f>F560*G560*H560</f>
        <v/>
      </c>
      <c r="P560" s="8">
        <f>2*(F560+G560)*H560</f>
        <v/>
      </c>
      <c r="Q560" s="8">
        <f>IF(L560&gt;0,(F560+2*0.1)*(G560+2*0.1)*L560,0)</f>
        <v/>
      </c>
      <c r="R560" s="8">
        <f>(F560+0.2)*(G560+0.2)*0.1</f>
        <v/>
      </c>
      <c r="S560" s="8">
        <f>(F560+0.2)*(G560+0.2)*0.05</f>
        <v/>
      </c>
      <c r="T560" s="8">
        <f>INDEX('2-ฐานราก เหล็กเสริม'!$S:$S,MATCH(B560,'2-ฐานราก เหล็กเสริม'!$A:$A,0))</f>
        <v/>
      </c>
      <c r="U560" s="8" t="inlineStr">
        <is>
          <t>M41</t>
        </is>
      </c>
      <c r="V560" s="10" t="inlineStr">
        <is>
          <t>แบบ S201 (ตำแหน่ง) / ระดับรอยืนยัน</t>
        </is>
      </c>
    </row>
    <row r="561">
      <c r="A561" s="8" t="inlineStr">
        <is>
          <t>F1A-141</t>
        </is>
      </c>
      <c r="B561" s="8" t="inlineStr">
        <is>
          <t>F1A</t>
        </is>
      </c>
      <c r="C561" s="8" t="inlineStr">
        <is>
          <t>1-4.51/G-1.49</t>
        </is>
      </c>
      <c r="D561" s="9" t="n">
        <v>-4.511</v>
      </c>
      <c r="E561" s="9" t="n">
        <v>34.511</v>
      </c>
      <c r="F561" s="9" t="n">
        <v>0.6</v>
      </c>
      <c r="G561" s="9" t="n">
        <v>0.6</v>
      </c>
      <c r="H561" s="9" t="n">
        <v>0.3</v>
      </c>
      <c r="I561" s="9" t="n">
        <v>-0.15</v>
      </c>
      <c r="J561" s="9" t="n">
        <v>-0.45</v>
      </c>
      <c r="K561" s="9" t="n">
        <v>-0.6</v>
      </c>
      <c r="L561" s="9" t="n">
        <v>0.6</v>
      </c>
      <c r="M561" s="8" t="n">
        <v>1</v>
      </c>
      <c r="N561" s="8" t="inlineStr">
        <is>
          <t>1x I-220 ยาว 22 ม.</t>
        </is>
      </c>
      <c r="O561" s="8">
        <f>F561*G561*H561</f>
        <v/>
      </c>
      <c r="P561" s="8">
        <f>2*(F561+G561)*H561</f>
        <v/>
      </c>
      <c r="Q561" s="8">
        <f>IF(L561&gt;0,(F561+2*0.1)*(G561+2*0.1)*L561,0)</f>
        <v/>
      </c>
      <c r="R561" s="8">
        <f>(F561+0.2)*(G561+0.2)*0.1</f>
        <v/>
      </c>
      <c r="S561" s="8">
        <f>(F561+0.2)*(G561+0.2)*0.05</f>
        <v/>
      </c>
      <c r="T561" s="8">
        <f>INDEX('2-ฐานราก เหล็กเสริม'!$S:$S,MATCH(B561,'2-ฐานราก เหล็กเสริม'!$A:$A,0))</f>
        <v/>
      </c>
      <c r="U561" s="8" t="inlineStr">
        <is>
          <t>M41</t>
        </is>
      </c>
      <c r="V561" s="10" t="inlineStr">
        <is>
          <t>แบบ S201 (ตำแหน่ง) / ระดับรอยืนยัน</t>
        </is>
      </c>
    </row>
    <row r="562">
      <c r="A562" s="8" t="inlineStr">
        <is>
          <t>F1A-142</t>
        </is>
      </c>
      <c r="B562" s="8" t="inlineStr">
        <is>
          <t>F1A</t>
        </is>
      </c>
      <c r="C562" s="8" t="inlineStr">
        <is>
          <t>1-1.51/G-1.49</t>
        </is>
      </c>
      <c r="D562" s="9" t="n">
        <v>-1.512</v>
      </c>
      <c r="E562" s="9" t="n">
        <v>34.511</v>
      </c>
      <c r="F562" s="9" t="n">
        <v>0.6</v>
      </c>
      <c r="G562" s="9" t="n">
        <v>0.6</v>
      </c>
      <c r="H562" s="9" t="n">
        <v>0.3</v>
      </c>
      <c r="I562" s="9" t="n">
        <v>-0.15</v>
      </c>
      <c r="J562" s="9" t="n">
        <v>-0.45</v>
      </c>
      <c r="K562" s="9" t="n">
        <v>-0.6</v>
      </c>
      <c r="L562" s="9" t="n">
        <v>0.6</v>
      </c>
      <c r="M562" s="8" t="n">
        <v>1</v>
      </c>
      <c r="N562" s="8" t="inlineStr">
        <is>
          <t>1x I-220 ยาว 22 ม.</t>
        </is>
      </c>
      <c r="O562" s="8">
        <f>F562*G562*H562</f>
        <v/>
      </c>
      <c r="P562" s="8">
        <f>2*(F562+G562)*H562</f>
        <v/>
      </c>
      <c r="Q562" s="8">
        <f>IF(L562&gt;0,(F562+2*0.1)*(G562+2*0.1)*L562,0)</f>
        <v/>
      </c>
      <c r="R562" s="8">
        <f>(F562+0.2)*(G562+0.2)*0.1</f>
        <v/>
      </c>
      <c r="S562" s="8">
        <f>(F562+0.2)*(G562+0.2)*0.05</f>
        <v/>
      </c>
      <c r="T562" s="8">
        <f>INDEX('2-ฐานราก เหล็กเสริม'!$S:$S,MATCH(B562,'2-ฐานราก เหล็กเสริม'!$A:$A,0))</f>
        <v/>
      </c>
      <c r="U562" s="8" t="inlineStr">
        <is>
          <t>M41</t>
        </is>
      </c>
      <c r="V562" s="10" t="inlineStr">
        <is>
          <t>แบบ S201 (ตำแหน่ง) / ระดับรอยืนยัน</t>
        </is>
      </c>
    </row>
    <row r="563">
      <c r="A563" s="8" t="inlineStr">
        <is>
          <t>F1A-143</t>
        </is>
      </c>
      <c r="B563" s="8" t="inlineStr">
        <is>
          <t>F1A</t>
        </is>
      </c>
      <c r="C563" s="8" t="inlineStr">
        <is>
          <t>11+1.49/G-1.49</t>
        </is>
      </c>
      <c r="D563" s="9" t="n">
        <v>61.489</v>
      </c>
      <c r="E563" s="9" t="n">
        <v>34.511</v>
      </c>
      <c r="F563" s="9" t="n">
        <v>0.6</v>
      </c>
      <c r="G563" s="9" t="n">
        <v>0.6</v>
      </c>
      <c r="H563" s="9" t="n">
        <v>0.3</v>
      </c>
      <c r="I563" s="9" t="n">
        <v>-0.15</v>
      </c>
      <c r="J563" s="9" t="n">
        <v>-0.45</v>
      </c>
      <c r="K563" s="9" t="n">
        <v>-0.6</v>
      </c>
      <c r="L563" s="9" t="n">
        <v>0.6</v>
      </c>
      <c r="M563" s="8" t="n">
        <v>1</v>
      </c>
      <c r="N563" s="8" t="inlineStr">
        <is>
          <t>1x I-220 ยาว 22 ม.</t>
        </is>
      </c>
      <c r="O563" s="8">
        <f>F563*G563*H563</f>
        <v/>
      </c>
      <c r="P563" s="8">
        <f>2*(F563+G563)*H563</f>
        <v/>
      </c>
      <c r="Q563" s="8">
        <f>IF(L563&gt;0,(F563+2*0.1)*(G563+2*0.1)*L563,0)</f>
        <v/>
      </c>
      <c r="R563" s="8">
        <f>(F563+0.2)*(G563+0.2)*0.1</f>
        <v/>
      </c>
      <c r="S563" s="8">
        <f>(F563+0.2)*(G563+0.2)*0.05</f>
        <v/>
      </c>
      <c r="T563" s="8">
        <f>INDEX('2-ฐานราก เหล็กเสริม'!$S:$S,MATCH(B563,'2-ฐานราก เหล็กเสริม'!$A:$A,0))</f>
        <v/>
      </c>
      <c r="U563" s="8" t="inlineStr">
        <is>
          <t>M41</t>
        </is>
      </c>
      <c r="V563" s="10" t="inlineStr">
        <is>
          <t>แบบ S201 (ตำแหน่ง) / ระดับรอยืนยัน</t>
        </is>
      </c>
    </row>
    <row r="564">
      <c r="A564" s="8" t="inlineStr">
        <is>
          <t>F1A-144</t>
        </is>
      </c>
      <c r="B564" s="8" t="inlineStr">
        <is>
          <t>F1A</t>
        </is>
      </c>
      <c r="C564" s="8" t="inlineStr">
        <is>
          <t>11+5.00/G-1.49</t>
        </is>
      </c>
      <c r="D564" s="9" t="n">
        <v>64.998</v>
      </c>
      <c r="E564" s="9" t="n">
        <v>34.511</v>
      </c>
      <c r="F564" s="9" t="n">
        <v>0.6</v>
      </c>
      <c r="G564" s="9" t="n">
        <v>0.6</v>
      </c>
      <c r="H564" s="9" t="n">
        <v>0.3</v>
      </c>
      <c r="I564" s="9" t="n">
        <v>-0.15</v>
      </c>
      <c r="J564" s="9" t="n">
        <v>-0.45</v>
      </c>
      <c r="K564" s="9" t="n">
        <v>-0.6</v>
      </c>
      <c r="L564" s="9" t="n">
        <v>0.6</v>
      </c>
      <c r="M564" s="8" t="n">
        <v>1</v>
      </c>
      <c r="N564" s="8" t="inlineStr">
        <is>
          <t>1x I-220 ยาว 22 ม.</t>
        </is>
      </c>
      <c r="O564" s="8">
        <f>F564*G564*H564</f>
        <v/>
      </c>
      <c r="P564" s="8">
        <f>2*(F564+G564)*H564</f>
        <v/>
      </c>
      <c r="Q564" s="8">
        <f>IF(L564&gt;0,(F564+2*0.1)*(G564+2*0.1)*L564,0)</f>
        <v/>
      </c>
      <c r="R564" s="8">
        <f>(F564+0.2)*(G564+0.2)*0.1</f>
        <v/>
      </c>
      <c r="S564" s="8">
        <f>(F564+0.2)*(G564+0.2)*0.05</f>
        <v/>
      </c>
      <c r="T564" s="8">
        <f>INDEX('2-ฐานราก เหล็กเสริม'!$S:$S,MATCH(B564,'2-ฐานราก เหล็กเสริม'!$A:$A,0))</f>
        <v/>
      </c>
      <c r="U564" s="8" t="inlineStr">
        <is>
          <t>M41</t>
        </is>
      </c>
      <c r="V564" s="10" t="inlineStr">
        <is>
          <t>แบบ S201 (ตำแหน่ง) / ระดับรอยืนยัน</t>
        </is>
      </c>
    </row>
    <row r="565">
      <c r="A565" s="8" t="inlineStr">
        <is>
          <t>F1A-145</t>
        </is>
      </c>
      <c r="B565" s="8" t="inlineStr">
        <is>
          <t>F1A</t>
        </is>
      </c>
      <c r="C565" s="8" t="inlineStr">
        <is>
          <t>1-4.51/G+1.51</t>
        </is>
      </c>
      <c r="D565" s="9" t="n">
        <v>-4.511</v>
      </c>
      <c r="E565" s="9" t="n">
        <v>37.51</v>
      </c>
      <c r="F565" s="9" t="n">
        <v>0.6</v>
      </c>
      <c r="G565" s="9" t="n">
        <v>0.6</v>
      </c>
      <c r="H565" s="9" t="n">
        <v>0.3</v>
      </c>
      <c r="I565" s="9" t="n">
        <v>-0.15</v>
      </c>
      <c r="J565" s="9" t="n">
        <v>-0.45</v>
      </c>
      <c r="K565" s="9" t="n">
        <v>-0.6</v>
      </c>
      <c r="L565" s="9" t="n">
        <v>0.6</v>
      </c>
      <c r="M565" s="8" t="n">
        <v>1</v>
      </c>
      <c r="N565" s="8" t="inlineStr">
        <is>
          <t>1x I-220 ยาว 22 ม.</t>
        </is>
      </c>
      <c r="O565" s="8">
        <f>F565*G565*H565</f>
        <v/>
      </c>
      <c r="P565" s="8">
        <f>2*(F565+G565)*H565</f>
        <v/>
      </c>
      <c r="Q565" s="8">
        <f>IF(L565&gt;0,(F565+2*0.1)*(G565+2*0.1)*L565,0)</f>
        <v/>
      </c>
      <c r="R565" s="8">
        <f>(F565+0.2)*(G565+0.2)*0.1</f>
        <v/>
      </c>
      <c r="S565" s="8">
        <f>(F565+0.2)*(G565+0.2)*0.05</f>
        <v/>
      </c>
      <c r="T565" s="8">
        <f>INDEX('2-ฐานราก เหล็กเสริม'!$S:$S,MATCH(B565,'2-ฐานราก เหล็กเสริม'!$A:$A,0))</f>
        <v/>
      </c>
      <c r="U565" s="8" t="inlineStr">
        <is>
          <t>M41</t>
        </is>
      </c>
      <c r="V565" s="10" t="inlineStr">
        <is>
          <t>แบบ S201 (ตำแหน่ง) / ระดับรอยืนยัน</t>
        </is>
      </c>
    </row>
    <row r="566">
      <c r="A566" s="8" t="inlineStr">
        <is>
          <t>F1A-146</t>
        </is>
      </c>
      <c r="B566" s="8" t="inlineStr">
        <is>
          <t>F1A</t>
        </is>
      </c>
      <c r="C566" s="8" t="inlineStr">
        <is>
          <t>1-1.51/G+1.51</t>
        </is>
      </c>
      <c r="D566" s="9" t="n">
        <v>-1.512</v>
      </c>
      <c r="E566" s="9" t="n">
        <v>37.51</v>
      </c>
      <c r="F566" s="9" t="n">
        <v>0.6</v>
      </c>
      <c r="G566" s="9" t="n">
        <v>0.6</v>
      </c>
      <c r="H566" s="9" t="n">
        <v>0.3</v>
      </c>
      <c r="I566" s="9" t="n">
        <v>-0.15</v>
      </c>
      <c r="J566" s="9" t="n">
        <v>-0.45</v>
      </c>
      <c r="K566" s="9" t="n">
        <v>-0.6</v>
      </c>
      <c r="L566" s="9" t="n">
        <v>0.6</v>
      </c>
      <c r="M566" s="8" t="n">
        <v>1</v>
      </c>
      <c r="N566" s="8" t="inlineStr">
        <is>
          <t>1x I-220 ยาว 22 ม.</t>
        </is>
      </c>
      <c r="O566" s="8">
        <f>F566*G566*H566</f>
        <v/>
      </c>
      <c r="P566" s="8">
        <f>2*(F566+G566)*H566</f>
        <v/>
      </c>
      <c r="Q566" s="8">
        <f>IF(L566&gt;0,(F566+2*0.1)*(G566+2*0.1)*L566,0)</f>
        <v/>
      </c>
      <c r="R566" s="8">
        <f>(F566+0.2)*(G566+0.2)*0.1</f>
        <v/>
      </c>
      <c r="S566" s="8">
        <f>(F566+0.2)*(G566+0.2)*0.05</f>
        <v/>
      </c>
      <c r="T566" s="8">
        <f>INDEX('2-ฐานราก เหล็กเสริม'!$S:$S,MATCH(B566,'2-ฐานราก เหล็กเสริม'!$A:$A,0))</f>
        <v/>
      </c>
      <c r="U566" s="8" t="inlineStr">
        <is>
          <t>M41</t>
        </is>
      </c>
      <c r="V566" s="10" t="inlineStr">
        <is>
          <t>แบบ S201 (ตำแหน่ง) / ระดับรอยืนยัน</t>
        </is>
      </c>
    </row>
    <row r="567">
      <c r="A567" s="8" t="inlineStr">
        <is>
          <t>F1A-147</t>
        </is>
      </c>
      <c r="B567" s="8" t="inlineStr">
        <is>
          <t>F1A</t>
        </is>
      </c>
      <c r="C567" s="8" t="inlineStr">
        <is>
          <t>11+1.49/G+1.51</t>
        </is>
      </c>
      <c r="D567" s="9" t="n">
        <v>61.489</v>
      </c>
      <c r="E567" s="9" t="n">
        <v>37.51</v>
      </c>
      <c r="F567" s="9" t="n">
        <v>0.6</v>
      </c>
      <c r="G567" s="9" t="n">
        <v>0.6</v>
      </c>
      <c r="H567" s="9" t="n">
        <v>0.3</v>
      </c>
      <c r="I567" s="9" t="n">
        <v>-0.15</v>
      </c>
      <c r="J567" s="9" t="n">
        <v>-0.45</v>
      </c>
      <c r="K567" s="9" t="n">
        <v>-0.6</v>
      </c>
      <c r="L567" s="9" t="n">
        <v>0.6</v>
      </c>
      <c r="M567" s="8" t="n">
        <v>1</v>
      </c>
      <c r="N567" s="8" t="inlineStr">
        <is>
          <t>1x I-220 ยาว 22 ม.</t>
        </is>
      </c>
      <c r="O567" s="8">
        <f>F567*G567*H567</f>
        <v/>
      </c>
      <c r="P567" s="8">
        <f>2*(F567+G567)*H567</f>
        <v/>
      </c>
      <c r="Q567" s="8">
        <f>IF(L567&gt;0,(F567+2*0.1)*(G567+2*0.1)*L567,0)</f>
        <v/>
      </c>
      <c r="R567" s="8">
        <f>(F567+0.2)*(G567+0.2)*0.1</f>
        <v/>
      </c>
      <c r="S567" s="8">
        <f>(F567+0.2)*(G567+0.2)*0.05</f>
        <v/>
      </c>
      <c r="T567" s="8">
        <f>INDEX('2-ฐานราก เหล็กเสริม'!$S:$S,MATCH(B567,'2-ฐานราก เหล็กเสริม'!$A:$A,0))</f>
        <v/>
      </c>
      <c r="U567" s="8" t="inlineStr">
        <is>
          <t>M41</t>
        </is>
      </c>
      <c r="V567" s="10" t="inlineStr">
        <is>
          <t>แบบ S201 (ตำแหน่ง) / ระดับรอยืนยัน</t>
        </is>
      </c>
    </row>
    <row r="568">
      <c r="A568" s="8" t="inlineStr">
        <is>
          <t>F1A-148</t>
        </is>
      </c>
      <c r="B568" s="8" t="inlineStr">
        <is>
          <t>F1A</t>
        </is>
      </c>
      <c r="C568" s="8" t="inlineStr">
        <is>
          <t>11+5.00/G+1.51</t>
        </is>
      </c>
      <c r="D568" s="9" t="n">
        <v>64.998</v>
      </c>
      <c r="E568" s="9" t="n">
        <v>37.51</v>
      </c>
      <c r="F568" s="9" t="n">
        <v>0.6</v>
      </c>
      <c r="G568" s="9" t="n">
        <v>0.6</v>
      </c>
      <c r="H568" s="9" t="n">
        <v>0.3</v>
      </c>
      <c r="I568" s="9" t="n">
        <v>-0.15</v>
      </c>
      <c r="J568" s="9" t="n">
        <v>-0.45</v>
      </c>
      <c r="K568" s="9" t="n">
        <v>-0.6</v>
      </c>
      <c r="L568" s="9" t="n">
        <v>0.6</v>
      </c>
      <c r="M568" s="8" t="n">
        <v>1</v>
      </c>
      <c r="N568" s="8" t="inlineStr">
        <is>
          <t>1x I-220 ยาว 22 ม.</t>
        </is>
      </c>
      <c r="O568" s="8">
        <f>F568*G568*H568</f>
        <v/>
      </c>
      <c r="P568" s="8">
        <f>2*(F568+G568)*H568</f>
        <v/>
      </c>
      <c r="Q568" s="8">
        <f>IF(L568&gt;0,(F568+2*0.1)*(G568+2*0.1)*L568,0)</f>
        <v/>
      </c>
      <c r="R568" s="8">
        <f>(F568+0.2)*(G568+0.2)*0.1</f>
        <v/>
      </c>
      <c r="S568" s="8">
        <f>(F568+0.2)*(G568+0.2)*0.05</f>
        <v/>
      </c>
      <c r="T568" s="8">
        <f>INDEX('2-ฐานราก เหล็กเสริม'!$S:$S,MATCH(B568,'2-ฐานราก เหล็กเสริม'!$A:$A,0))</f>
        <v/>
      </c>
      <c r="U568" s="8" t="inlineStr">
        <is>
          <t>M41</t>
        </is>
      </c>
      <c r="V568" s="10" t="inlineStr">
        <is>
          <t>แบบ S201 (ตำแหน่ง) / ระดับรอยืนยัน</t>
        </is>
      </c>
    </row>
    <row r="569">
      <c r="A569" s="8" t="inlineStr">
        <is>
          <t>F1A-149</t>
        </is>
      </c>
      <c r="B569" s="8" t="inlineStr">
        <is>
          <t>F1A</t>
        </is>
      </c>
      <c r="C569" s="8" t="inlineStr">
        <is>
          <t>1-4.51/H-1.48</t>
        </is>
      </c>
      <c r="D569" s="9" t="n">
        <v>-4.511</v>
      </c>
      <c r="E569" s="9" t="n">
        <v>40.515</v>
      </c>
      <c r="F569" s="9" t="n">
        <v>0.6</v>
      </c>
      <c r="G569" s="9" t="n">
        <v>0.6</v>
      </c>
      <c r="H569" s="9" t="n">
        <v>0.3</v>
      </c>
      <c r="I569" s="9" t="n">
        <v>-0.15</v>
      </c>
      <c r="J569" s="9" t="n">
        <v>-0.45</v>
      </c>
      <c r="K569" s="9" t="n">
        <v>-0.6</v>
      </c>
      <c r="L569" s="9" t="n">
        <v>0.6</v>
      </c>
      <c r="M569" s="8" t="n">
        <v>1</v>
      </c>
      <c r="N569" s="8" t="inlineStr">
        <is>
          <t>1x I-220 ยาว 22 ม.</t>
        </is>
      </c>
      <c r="O569" s="8">
        <f>F569*G569*H569</f>
        <v/>
      </c>
      <c r="P569" s="8">
        <f>2*(F569+G569)*H569</f>
        <v/>
      </c>
      <c r="Q569" s="8">
        <f>IF(L569&gt;0,(F569+2*0.1)*(G569+2*0.1)*L569,0)</f>
        <v/>
      </c>
      <c r="R569" s="8">
        <f>(F569+0.2)*(G569+0.2)*0.1</f>
        <v/>
      </c>
      <c r="S569" s="8">
        <f>(F569+0.2)*(G569+0.2)*0.05</f>
        <v/>
      </c>
      <c r="T569" s="8">
        <f>INDEX('2-ฐานราก เหล็กเสริม'!$S:$S,MATCH(B569,'2-ฐานราก เหล็กเสริม'!$A:$A,0))</f>
        <v/>
      </c>
      <c r="U569" s="8" t="inlineStr">
        <is>
          <t>M41</t>
        </is>
      </c>
      <c r="V569" s="10" t="inlineStr">
        <is>
          <t>แบบ S201 (ตำแหน่ง) / ระดับรอยืนยัน</t>
        </is>
      </c>
    </row>
    <row r="570">
      <c r="A570" s="8" t="inlineStr">
        <is>
          <t>F1A-150</t>
        </is>
      </c>
      <c r="B570" s="8" t="inlineStr">
        <is>
          <t>F1A</t>
        </is>
      </c>
      <c r="C570" s="8" t="inlineStr">
        <is>
          <t>1-1.51/H-1.48</t>
        </is>
      </c>
      <c r="D570" s="9" t="n">
        <v>-1.512</v>
      </c>
      <c r="E570" s="9" t="n">
        <v>40.515</v>
      </c>
      <c r="F570" s="9" t="n">
        <v>0.6</v>
      </c>
      <c r="G570" s="9" t="n">
        <v>0.6</v>
      </c>
      <c r="H570" s="9" t="n">
        <v>0.3</v>
      </c>
      <c r="I570" s="9" t="n">
        <v>-0.15</v>
      </c>
      <c r="J570" s="9" t="n">
        <v>-0.45</v>
      </c>
      <c r="K570" s="9" t="n">
        <v>-0.6</v>
      </c>
      <c r="L570" s="9" t="n">
        <v>0.6</v>
      </c>
      <c r="M570" s="8" t="n">
        <v>1</v>
      </c>
      <c r="N570" s="8" t="inlineStr">
        <is>
          <t>1x I-220 ยาว 22 ม.</t>
        </is>
      </c>
      <c r="O570" s="8">
        <f>F570*G570*H570</f>
        <v/>
      </c>
      <c r="P570" s="8">
        <f>2*(F570+G570)*H570</f>
        <v/>
      </c>
      <c r="Q570" s="8">
        <f>IF(L570&gt;0,(F570+2*0.1)*(G570+2*0.1)*L570,0)</f>
        <v/>
      </c>
      <c r="R570" s="8">
        <f>(F570+0.2)*(G570+0.2)*0.1</f>
        <v/>
      </c>
      <c r="S570" s="8">
        <f>(F570+0.2)*(G570+0.2)*0.05</f>
        <v/>
      </c>
      <c r="T570" s="8">
        <f>INDEX('2-ฐานราก เหล็กเสริม'!$S:$S,MATCH(B570,'2-ฐานราก เหล็กเสริม'!$A:$A,0))</f>
        <v/>
      </c>
      <c r="U570" s="8" t="inlineStr">
        <is>
          <t>M41</t>
        </is>
      </c>
      <c r="V570" s="10" t="inlineStr">
        <is>
          <t>แบบ S201 (ตำแหน่ง) / ระดับรอยืนยัน</t>
        </is>
      </c>
    </row>
    <row r="571">
      <c r="A571" s="8" t="inlineStr">
        <is>
          <t>F1A-151</t>
        </is>
      </c>
      <c r="B571" s="8" t="inlineStr">
        <is>
          <t>F1A</t>
        </is>
      </c>
      <c r="C571" s="8" t="inlineStr">
        <is>
          <t>11+1.49/H-1.48</t>
        </is>
      </c>
      <c r="D571" s="9" t="n">
        <v>61.489</v>
      </c>
      <c r="E571" s="9" t="n">
        <v>40.515</v>
      </c>
      <c r="F571" s="9" t="n">
        <v>0.6</v>
      </c>
      <c r="G571" s="9" t="n">
        <v>0.6</v>
      </c>
      <c r="H571" s="9" t="n">
        <v>0.3</v>
      </c>
      <c r="I571" s="9" t="n">
        <v>-0.15</v>
      </c>
      <c r="J571" s="9" t="n">
        <v>-0.45</v>
      </c>
      <c r="K571" s="9" t="n">
        <v>-0.6</v>
      </c>
      <c r="L571" s="9" t="n">
        <v>0.6</v>
      </c>
      <c r="M571" s="8" t="n">
        <v>1</v>
      </c>
      <c r="N571" s="8" t="inlineStr">
        <is>
          <t>1x I-220 ยาว 22 ม.</t>
        </is>
      </c>
      <c r="O571" s="8">
        <f>F571*G571*H571</f>
        <v/>
      </c>
      <c r="P571" s="8">
        <f>2*(F571+G571)*H571</f>
        <v/>
      </c>
      <c r="Q571" s="8">
        <f>IF(L571&gt;0,(F571+2*0.1)*(G571+2*0.1)*L571,0)</f>
        <v/>
      </c>
      <c r="R571" s="8">
        <f>(F571+0.2)*(G571+0.2)*0.1</f>
        <v/>
      </c>
      <c r="S571" s="8">
        <f>(F571+0.2)*(G571+0.2)*0.05</f>
        <v/>
      </c>
      <c r="T571" s="8">
        <f>INDEX('2-ฐานราก เหล็กเสริม'!$S:$S,MATCH(B571,'2-ฐานราก เหล็กเสริม'!$A:$A,0))</f>
        <v/>
      </c>
      <c r="U571" s="8" t="inlineStr">
        <is>
          <t>M41</t>
        </is>
      </c>
      <c r="V571" s="10" t="inlineStr">
        <is>
          <t>แบบ S201 (ตำแหน่ง) / ระดับรอยืนยัน</t>
        </is>
      </c>
    </row>
    <row r="572">
      <c r="A572" s="8" t="inlineStr">
        <is>
          <t>F1A-152</t>
        </is>
      </c>
      <c r="B572" s="8" t="inlineStr">
        <is>
          <t>F1A</t>
        </is>
      </c>
      <c r="C572" s="8" t="inlineStr">
        <is>
          <t>11+5.00/H-1.48</t>
        </is>
      </c>
      <c r="D572" s="9" t="n">
        <v>64.998</v>
      </c>
      <c r="E572" s="9" t="n">
        <v>40.515</v>
      </c>
      <c r="F572" s="9" t="n">
        <v>0.6</v>
      </c>
      <c r="G572" s="9" t="n">
        <v>0.6</v>
      </c>
      <c r="H572" s="9" t="n">
        <v>0.3</v>
      </c>
      <c r="I572" s="9" t="n">
        <v>-0.15</v>
      </c>
      <c r="J572" s="9" t="n">
        <v>-0.45</v>
      </c>
      <c r="K572" s="9" t="n">
        <v>-0.6</v>
      </c>
      <c r="L572" s="9" t="n">
        <v>0.6</v>
      </c>
      <c r="M572" s="8" t="n">
        <v>1</v>
      </c>
      <c r="N572" s="8" t="inlineStr">
        <is>
          <t>1x I-220 ยาว 22 ม.</t>
        </is>
      </c>
      <c r="O572" s="8">
        <f>F572*G572*H572</f>
        <v/>
      </c>
      <c r="P572" s="8">
        <f>2*(F572+G572)*H572</f>
        <v/>
      </c>
      <c r="Q572" s="8">
        <f>IF(L572&gt;0,(F572+2*0.1)*(G572+2*0.1)*L572,0)</f>
        <v/>
      </c>
      <c r="R572" s="8">
        <f>(F572+0.2)*(G572+0.2)*0.1</f>
        <v/>
      </c>
      <c r="S572" s="8">
        <f>(F572+0.2)*(G572+0.2)*0.05</f>
        <v/>
      </c>
      <c r="T572" s="8">
        <f>INDEX('2-ฐานราก เหล็กเสริม'!$S:$S,MATCH(B572,'2-ฐานราก เหล็กเสริม'!$A:$A,0))</f>
        <v/>
      </c>
      <c r="U572" s="8" t="inlineStr">
        <is>
          <t>M41</t>
        </is>
      </c>
      <c r="V572" s="10" t="inlineStr">
        <is>
          <t>แบบ S201 (ตำแหน่ง) / ระดับรอยืนยัน</t>
        </is>
      </c>
    </row>
    <row r="573">
      <c r="A573" s="8" t="inlineStr">
        <is>
          <t>F1A-153</t>
        </is>
      </c>
      <c r="B573" s="8" t="inlineStr">
        <is>
          <t>F1A</t>
        </is>
      </c>
      <c r="C573" s="8" t="inlineStr">
        <is>
          <t>1-4.51/H+1.51</t>
        </is>
      </c>
      <c r="D573" s="9" t="n">
        <v>-4.511</v>
      </c>
      <c r="E573" s="9" t="n">
        <v>43.514</v>
      </c>
      <c r="F573" s="9" t="n">
        <v>0.6</v>
      </c>
      <c r="G573" s="9" t="n">
        <v>0.6</v>
      </c>
      <c r="H573" s="9" t="n">
        <v>0.3</v>
      </c>
      <c r="I573" s="9" t="n">
        <v>-0.15</v>
      </c>
      <c r="J573" s="9" t="n">
        <v>-0.45</v>
      </c>
      <c r="K573" s="9" t="n">
        <v>-0.6</v>
      </c>
      <c r="L573" s="9" t="n">
        <v>0.6</v>
      </c>
      <c r="M573" s="8" t="n">
        <v>1</v>
      </c>
      <c r="N573" s="8" t="inlineStr">
        <is>
          <t>1x I-220 ยาว 22 ม.</t>
        </is>
      </c>
      <c r="O573" s="8">
        <f>F573*G573*H573</f>
        <v/>
      </c>
      <c r="P573" s="8">
        <f>2*(F573+G573)*H573</f>
        <v/>
      </c>
      <c r="Q573" s="8">
        <f>IF(L573&gt;0,(F573+2*0.1)*(G573+2*0.1)*L573,0)</f>
        <v/>
      </c>
      <c r="R573" s="8">
        <f>(F573+0.2)*(G573+0.2)*0.1</f>
        <v/>
      </c>
      <c r="S573" s="8">
        <f>(F573+0.2)*(G573+0.2)*0.05</f>
        <v/>
      </c>
      <c r="T573" s="8">
        <f>INDEX('2-ฐานราก เหล็กเสริม'!$S:$S,MATCH(B573,'2-ฐานราก เหล็กเสริม'!$A:$A,0))</f>
        <v/>
      </c>
      <c r="U573" s="8" t="inlineStr">
        <is>
          <t>M41</t>
        </is>
      </c>
      <c r="V573" s="10" t="inlineStr">
        <is>
          <t>แบบ S201 (ตำแหน่ง) / ระดับรอยืนยัน</t>
        </is>
      </c>
    </row>
    <row r="574">
      <c r="A574" s="8" t="inlineStr">
        <is>
          <t>F1A-154</t>
        </is>
      </c>
      <c r="B574" s="8" t="inlineStr">
        <is>
          <t>F1A</t>
        </is>
      </c>
      <c r="C574" s="8" t="inlineStr">
        <is>
          <t>1-1.51/H+1.51</t>
        </is>
      </c>
      <c r="D574" s="9" t="n">
        <v>-1.512</v>
      </c>
      <c r="E574" s="9" t="n">
        <v>43.514</v>
      </c>
      <c r="F574" s="9" t="n">
        <v>0.6</v>
      </c>
      <c r="G574" s="9" t="n">
        <v>0.6</v>
      </c>
      <c r="H574" s="9" t="n">
        <v>0.3</v>
      </c>
      <c r="I574" s="9" t="n">
        <v>-0.15</v>
      </c>
      <c r="J574" s="9" t="n">
        <v>-0.45</v>
      </c>
      <c r="K574" s="9" t="n">
        <v>-0.6</v>
      </c>
      <c r="L574" s="9" t="n">
        <v>0.6</v>
      </c>
      <c r="M574" s="8" t="n">
        <v>1</v>
      </c>
      <c r="N574" s="8" t="inlineStr">
        <is>
          <t>1x I-220 ยาว 22 ม.</t>
        </is>
      </c>
      <c r="O574" s="8">
        <f>F574*G574*H574</f>
        <v/>
      </c>
      <c r="P574" s="8">
        <f>2*(F574+G574)*H574</f>
        <v/>
      </c>
      <c r="Q574" s="8">
        <f>IF(L574&gt;0,(F574+2*0.1)*(G574+2*0.1)*L574,0)</f>
        <v/>
      </c>
      <c r="R574" s="8">
        <f>(F574+0.2)*(G574+0.2)*0.1</f>
        <v/>
      </c>
      <c r="S574" s="8">
        <f>(F574+0.2)*(G574+0.2)*0.05</f>
        <v/>
      </c>
      <c r="T574" s="8">
        <f>INDEX('2-ฐานราก เหล็กเสริม'!$S:$S,MATCH(B574,'2-ฐานราก เหล็กเสริม'!$A:$A,0))</f>
        <v/>
      </c>
      <c r="U574" s="8" t="inlineStr">
        <is>
          <t>M41</t>
        </is>
      </c>
      <c r="V574" s="10" t="inlineStr">
        <is>
          <t>แบบ S201 (ตำแหน่ง) / ระดับรอยืนยัน</t>
        </is>
      </c>
    </row>
    <row r="575">
      <c r="A575" s="8" t="inlineStr">
        <is>
          <t>F1A-155</t>
        </is>
      </c>
      <c r="B575" s="8" t="inlineStr">
        <is>
          <t>F1A</t>
        </is>
      </c>
      <c r="C575" s="8" t="inlineStr">
        <is>
          <t>11+1.49/H+1.51</t>
        </is>
      </c>
      <c r="D575" s="9" t="n">
        <v>61.489</v>
      </c>
      <c r="E575" s="9" t="n">
        <v>43.514</v>
      </c>
      <c r="F575" s="9" t="n">
        <v>0.6</v>
      </c>
      <c r="G575" s="9" t="n">
        <v>0.6</v>
      </c>
      <c r="H575" s="9" t="n">
        <v>0.3</v>
      </c>
      <c r="I575" s="9" t="n">
        <v>-0.15</v>
      </c>
      <c r="J575" s="9" t="n">
        <v>-0.45</v>
      </c>
      <c r="K575" s="9" t="n">
        <v>-0.6</v>
      </c>
      <c r="L575" s="9" t="n">
        <v>0.6</v>
      </c>
      <c r="M575" s="8" t="n">
        <v>1</v>
      </c>
      <c r="N575" s="8" t="inlineStr">
        <is>
          <t>1x I-220 ยาว 22 ม.</t>
        </is>
      </c>
      <c r="O575" s="8">
        <f>F575*G575*H575</f>
        <v/>
      </c>
      <c r="P575" s="8">
        <f>2*(F575+G575)*H575</f>
        <v/>
      </c>
      <c r="Q575" s="8">
        <f>IF(L575&gt;0,(F575+2*0.1)*(G575+2*0.1)*L575,0)</f>
        <v/>
      </c>
      <c r="R575" s="8">
        <f>(F575+0.2)*(G575+0.2)*0.1</f>
        <v/>
      </c>
      <c r="S575" s="8">
        <f>(F575+0.2)*(G575+0.2)*0.05</f>
        <v/>
      </c>
      <c r="T575" s="8">
        <f>INDEX('2-ฐานราก เหล็กเสริม'!$S:$S,MATCH(B575,'2-ฐานราก เหล็กเสริม'!$A:$A,0))</f>
        <v/>
      </c>
      <c r="U575" s="8" t="inlineStr">
        <is>
          <t>M41</t>
        </is>
      </c>
      <c r="V575" s="10" t="inlineStr">
        <is>
          <t>แบบ S201 (ตำแหน่ง) / ระดับรอยืนยัน</t>
        </is>
      </c>
    </row>
    <row r="576">
      <c r="A576" s="8" t="inlineStr">
        <is>
          <t>F1A-156</t>
        </is>
      </c>
      <c r="B576" s="8" t="inlineStr">
        <is>
          <t>F1A</t>
        </is>
      </c>
      <c r="C576" s="8" t="inlineStr">
        <is>
          <t>11+4.50/H+1.51</t>
        </is>
      </c>
      <c r="D576" s="9" t="n">
        <v>64.495</v>
      </c>
      <c r="E576" s="9" t="n">
        <v>43.514</v>
      </c>
      <c r="F576" s="9" t="n">
        <v>0.6</v>
      </c>
      <c r="G576" s="9" t="n">
        <v>0.6</v>
      </c>
      <c r="H576" s="9" t="n">
        <v>0.3</v>
      </c>
      <c r="I576" s="9" t="n">
        <v>-0.15</v>
      </c>
      <c r="J576" s="9" t="n">
        <v>-0.45</v>
      </c>
      <c r="K576" s="9" t="n">
        <v>-0.6</v>
      </c>
      <c r="L576" s="9" t="n">
        <v>0.6</v>
      </c>
      <c r="M576" s="8" t="n">
        <v>1</v>
      </c>
      <c r="N576" s="8" t="inlineStr">
        <is>
          <t>1x I-220 ยาว 22 ม.</t>
        </is>
      </c>
      <c r="O576" s="8">
        <f>F576*G576*H576</f>
        <v/>
      </c>
      <c r="P576" s="8">
        <f>2*(F576+G576)*H576</f>
        <v/>
      </c>
      <c r="Q576" s="8">
        <f>IF(L576&gt;0,(F576+2*0.1)*(G576+2*0.1)*L576,0)</f>
        <v/>
      </c>
      <c r="R576" s="8">
        <f>(F576+0.2)*(G576+0.2)*0.1</f>
        <v/>
      </c>
      <c r="S576" s="8">
        <f>(F576+0.2)*(G576+0.2)*0.05</f>
        <v/>
      </c>
      <c r="T576" s="8">
        <f>INDEX('2-ฐานราก เหล็กเสริม'!$S:$S,MATCH(B576,'2-ฐานราก เหล็กเสริม'!$A:$A,0))</f>
        <v/>
      </c>
      <c r="U576" s="8" t="inlineStr">
        <is>
          <t>M41</t>
        </is>
      </c>
      <c r="V576" s="10" t="inlineStr">
        <is>
          <t>แบบ S201 (ตำแหน่ง) / ระดับรอยืนยัน</t>
        </is>
      </c>
    </row>
    <row r="577">
      <c r="A577" s="8" t="inlineStr">
        <is>
          <t>F1A-157</t>
        </is>
      </c>
      <c r="B577" s="8" t="inlineStr">
        <is>
          <t>F1A</t>
        </is>
      </c>
      <c r="C577" s="8" t="inlineStr">
        <is>
          <t>11+7.49/H+1.51</t>
        </is>
      </c>
      <c r="D577" s="9" t="n">
        <v>67.49299999999999</v>
      </c>
      <c r="E577" s="9" t="n">
        <v>43.514</v>
      </c>
      <c r="F577" s="9" t="n">
        <v>0.6</v>
      </c>
      <c r="G577" s="9" t="n">
        <v>0.6</v>
      </c>
      <c r="H577" s="9" t="n">
        <v>0.3</v>
      </c>
      <c r="I577" s="9" t="n">
        <v>-0.15</v>
      </c>
      <c r="J577" s="9" t="n">
        <v>-0.45</v>
      </c>
      <c r="K577" s="9" t="n">
        <v>-0.6</v>
      </c>
      <c r="L577" s="9" t="n">
        <v>0.6</v>
      </c>
      <c r="M577" s="8" t="n">
        <v>1</v>
      </c>
      <c r="N577" s="8" t="inlineStr">
        <is>
          <t>1x I-220 ยาว 22 ม.</t>
        </is>
      </c>
      <c r="O577" s="8">
        <f>F577*G577*H577</f>
        <v/>
      </c>
      <c r="P577" s="8">
        <f>2*(F577+G577)*H577</f>
        <v/>
      </c>
      <c r="Q577" s="8">
        <f>IF(L577&gt;0,(F577+2*0.1)*(G577+2*0.1)*L577,0)</f>
        <v/>
      </c>
      <c r="R577" s="8">
        <f>(F577+0.2)*(G577+0.2)*0.1</f>
        <v/>
      </c>
      <c r="S577" s="8">
        <f>(F577+0.2)*(G577+0.2)*0.05</f>
        <v/>
      </c>
      <c r="T577" s="8">
        <f>INDEX('2-ฐานราก เหล็กเสริม'!$S:$S,MATCH(B577,'2-ฐานราก เหล็กเสริม'!$A:$A,0))</f>
        <v/>
      </c>
      <c r="U577" s="8" t="inlineStr">
        <is>
          <t>M41</t>
        </is>
      </c>
      <c r="V577" s="10" t="inlineStr">
        <is>
          <t>แบบ S201 (ตำแหน่ง) / ระดับรอยืนยัน</t>
        </is>
      </c>
    </row>
    <row r="578">
      <c r="A578" s="8" t="inlineStr">
        <is>
          <t>F1A-158</t>
        </is>
      </c>
      <c r="B578" s="8" t="inlineStr">
        <is>
          <t>F1A</t>
        </is>
      </c>
      <c r="C578" s="8" t="inlineStr">
        <is>
          <t>1-4.51/I-1.49</t>
        </is>
      </c>
      <c r="D578" s="9" t="n">
        <v>-4.511</v>
      </c>
      <c r="E578" s="9" t="n">
        <v>46.513</v>
      </c>
      <c r="F578" s="9" t="n">
        <v>0.6</v>
      </c>
      <c r="G578" s="9" t="n">
        <v>0.6</v>
      </c>
      <c r="H578" s="9" t="n">
        <v>0.3</v>
      </c>
      <c r="I578" s="9" t="n">
        <v>-0.15</v>
      </c>
      <c r="J578" s="9" t="n">
        <v>-0.45</v>
      </c>
      <c r="K578" s="9" t="n">
        <v>-0.6</v>
      </c>
      <c r="L578" s="9" t="n">
        <v>0.6</v>
      </c>
      <c r="M578" s="8" t="n">
        <v>1</v>
      </c>
      <c r="N578" s="8" t="inlineStr">
        <is>
          <t>1x I-220 ยาว 22 ม.</t>
        </is>
      </c>
      <c r="O578" s="8">
        <f>F578*G578*H578</f>
        <v/>
      </c>
      <c r="P578" s="8">
        <f>2*(F578+G578)*H578</f>
        <v/>
      </c>
      <c r="Q578" s="8">
        <f>IF(L578&gt;0,(F578+2*0.1)*(G578+2*0.1)*L578,0)</f>
        <v/>
      </c>
      <c r="R578" s="8">
        <f>(F578+0.2)*(G578+0.2)*0.1</f>
        <v/>
      </c>
      <c r="S578" s="8">
        <f>(F578+0.2)*(G578+0.2)*0.05</f>
        <v/>
      </c>
      <c r="T578" s="8">
        <f>INDEX('2-ฐานราก เหล็กเสริม'!$S:$S,MATCH(B578,'2-ฐานราก เหล็กเสริม'!$A:$A,0))</f>
        <v/>
      </c>
      <c r="U578" s="8" t="inlineStr">
        <is>
          <t>M41</t>
        </is>
      </c>
      <c r="V578" s="10" t="inlineStr">
        <is>
          <t>แบบ S201 (ตำแหน่ง) / ระดับรอยืนยัน</t>
        </is>
      </c>
    </row>
    <row r="579">
      <c r="A579" s="8" t="inlineStr">
        <is>
          <t>F1A-159</t>
        </is>
      </c>
      <c r="B579" s="8" t="inlineStr">
        <is>
          <t>F1A</t>
        </is>
      </c>
      <c r="C579" s="8" t="inlineStr">
        <is>
          <t>1-1.51/I-1.49</t>
        </is>
      </c>
      <c r="D579" s="9" t="n">
        <v>-1.512</v>
      </c>
      <c r="E579" s="9" t="n">
        <v>46.513</v>
      </c>
      <c r="F579" s="9" t="n">
        <v>0.6</v>
      </c>
      <c r="G579" s="9" t="n">
        <v>0.6</v>
      </c>
      <c r="H579" s="9" t="n">
        <v>0.3</v>
      </c>
      <c r="I579" s="9" t="n">
        <v>-0.15</v>
      </c>
      <c r="J579" s="9" t="n">
        <v>-0.45</v>
      </c>
      <c r="K579" s="9" t="n">
        <v>-0.6</v>
      </c>
      <c r="L579" s="9" t="n">
        <v>0.6</v>
      </c>
      <c r="M579" s="8" t="n">
        <v>1</v>
      </c>
      <c r="N579" s="8" t="inlineStr">
        <is>
          <t>1x I-220 ยาว 22 ม.</t>
        </is>
      </c>
      <c r="O579" s="8">
        <f>F579*G579*H579</f>
        <v/>
      </c>
      <c r="P579" s="8">
        <f>2*(F579+G579)*H579</f>
        <v/>
      </c>
      <c r="Q579" s="8">
        <f>IF(L579&gt;0,(F579+2*0.1)*(G579+2*0.1)*L579,0)</f>
        <v/>
      </c>
      <c r="R579" s="8">
        <f>(F579+0.2)*(G579+0.2)*0.1</f>
        <v/>
      </c>
      <c r="S579" s="8">
        <f>(F579+0.2)*(G579+0.2)*0.05</f>
        <v/>
      </c>
      <c r="T579" s="8">
        <f>INDEX('2-ฐานราก เหล็กเสริม'!$S:$S,MATCH(B579,'2-ฐานราก เหล็กเสริม'!$A:$A,0))</f>
        <v/>
      </c>
      <c r="U579" s="8" t="inlineStr">
        <is>
          <t>M41</t>
        </is>
      </c>
      <c r="V579" s="10" t="inlineStr">
        <is>
          <t>แบบ S201 (ตำแหน่ง) / ระดับรอยืนยัน</t>
        </is>
      </c>
    </row>
    <row r="580">
      <c r="A580" s="8" t="inlineStr">
        <is>
          <t>F1A-160</t>
        </is>
      </c>
      <c r="B580" s="8" t="inlineStr">
        <is>
          <t>F1A</t>
        </is>
      </c>
      <c r="C580" s="8" t="inlineStr">
        <is>
          <t>11+1.49/I-1.49</t>
        </is>
      </c>
      <c r="D580" s="9" t="n">
        <v>61.489</v>
      </c>
      <c r="E580" s="9" t="n">
        <v>46.513</v>
      </c>
      <c r="F580" s="9" t="n">
        <v>0.6</v>
      </c>
      <c r="G580" s="9" t="n">
        <v>0.6</v>
      </c>
      <c r="H580" s="9" t="n">
        <v>0.3</v>
      </c>
      <c r="I580" s="9" t="n">
        <v>-0.15</v>
      </c>
      <c r="J580" s="9" t="n">
        <v>-0.45</v>
      </c>
      <c r="K580" s="9" t="n">
        <v>-0.6</v>
      </c>
      <c r="L580" s="9" t="n">
        <v>0.6</v>
      </c>
      <c r="M580" s="8" t="n">
        <v>1</v>
      </c>
      <c r="N580" s="8" t="inlineStr">
        <is>
          <t>1x I-220 ยาว 22 ม.</t>
        </is>
      </c>
      <c r="O580" s="8">
        <f>F580*G580*H580</f>
        <v/>
      </c>
      <c r="P580" s="8">
        <f>2*(F580+G580)*H580</f>
        <v/>
      </c>
      <c r="Q580" s="8">
        <f>IF(L580&gt;0,(F580+2*0.1)*(G580+2*0.1)*L580,0)</f>
        <v/>
      </c>
      <c r="R580" s="8">
        <f>(F580+0.2)*(G580+0.2)*0.1</f>
        <v/>
      </c>
      <c r="S580" s="8">
        <f>(F580+0.2)*(G580+0.2)*0.05</f>
        <v/>
      </c>
      <c r="T580" s="8">
        <f>INDEX('2-ฐานราก เหล็กเสริม'!$S:$S,MATCH(B580,'2-ฐานราก เหล็กเสริม'!$A:$A,0))</f>
        <v/>
      </c>
      <c r="U580" s="8" t="inlineStr">
        <is>
          <t>M41</t>
        </is>
      </c>
      <c r="V580" s="10" t="inlineStr">
        <is>
          <t>แบบ S201 (ตำแหน่ง) / ระดับรอยืนยัน</t>
        </is>
      </c>
    </row>
    <row r="581">
      <c r="A581" s="8" t="inlineStr">
        <is>
          <t>F1A-161</t>
        </is>
      </c>
      <c r="B581" s="8" t="inlineStr">
        <is>
          <t>F1A</t>
        </is>
      </c>
      <c r="C581" s="8" t="inlineStr">
        <is>
          <t>11+4.50/I-1.49</t>
        </is>
      </c>
      <c r="D581" s="9" t="n">
        <v>64.495</v>
      </c>
      <c r="E581" s="9" t="n">
        <v>46.513</v>
      </c>
      <c r="F581" s="9" t="n">
        <v>0.6</v>
      </c>
      <c r="G581" s="9" t="n">
        <v>0.6</v>
      </c>
      <c r="H581" s="9" t="n">
        <v>0.3</v>
      </c>
      <c r="I581" s="9" t="n">
        <v>-0.15</v>
      </c>
      <c r="J581" s="9" t="n">
        <v>-0.45</v>
      </c>
      <c r="K581" s="9" t="n">
        <v>-0.6</v>
      </c>
      <c r="L581" s="9" t="n">
        <v>0.6</v>
      </c>
      <c r="M581" s="8" t="n">
        <v>1</v>
      </c>
      <c r="N581" s="8" t="inlineStr">
        <is>
          <t>1x I-220 ยาว 22 ม.</t>
        </is>
      </c>
      <c r="O581" s="8">
        <f>F581*G581*H581</f>
        <v/>
      </c>
      <c r="P581" s="8">
        <f>2*(F581+G581)*H581</f>
        <v/>
      </c>
      <c r="Q581" s="8">
        <f>IF(L581&gt;0,(F581+2*0.1)*(G581+2*0.1)*L581,0)</f>
        <v/>
      </c>
      <c r="R581" s="8">
        <f>(F581+0.2)*(G581+0.2)*0.1</f>
        <v/>
      </c>
      <c r="S581" s="8">
        <f>(F581+0.2)*(G581+0.2)*0.05</f>
        <v/>
      </c>
      <c r="T581" s="8">
        <f>INDEX('2-ฐานราก เหล็กเสริม'!$S:$S,MATCH(B581,'2-ฐานราก เหล็กเสริม'!$A:$A,0))</f>
        <v/>
      </c>
      <c r="U581" s="8" t="inlineStr">
        <is>
          <t>M41</t>
        </is>
      </c>
      <c r="V581" s="10" t="inlineStr">
        <is>
          <t>แบบ S201 (ตำแหน่ง) / ระดับรอยืนยัน</t>
        </is>
      </c>
    </row>
    <row r="582">
      <c r="A582" s="8" t="inlineStr">
        <is>
          <t>F1A-162</t>
        </is>
      </c>
      <c r="B582" s="8" t="inlineStr">
        <is>
          <t>F1A</t>
        </is>
      </c>
      <c r="C582" s="8" t="inlineStr">
        <is>
          <t>11+7.49/I-1.49</t>
        </is>
      </c>
      <c r="D582" s="9" t="n">
        <v>67.49299999999999</v>
      </c>
      <c r="E582" s="9" t="n">
        <v>46.513</v>
      </c>
      <c r="F582" s="9" t="n">
        <v>0.6</v>
      </c>
      <c r="G582" s="9" t="n">
        <v>0.6</v>
      </c>
      <c r="H582" s="9" t="n">
        <v>0.3</v>
      </c>
      <c r="I582" s="9" t="n">
        <v>-0.15</v>
      </c>
      <c r="J582" s="9" t="n">
        <v>-0.45</v>
      </c>
      <c r="K582" s="9" t="n">
        <v>-0.6</v>
      </c>
      <c r="L582" s="9" t="n">
        <v>0.6</v>
      </c>
      <c r="M582" s="8" t="n">
        <v>1</v>
      </c>
      <c r="N582" s="8" t="inlineStr">
        <is>
          <t>1x I-220 ยาว 22 ม.</t>
        </is>
      </c>
      <c r="O582" s="8">
        <f>F582*G582*H582</f>
        <v/>
      </c>
      <c r="P582" s="8">
        <f>2*(F582+G582)*H582</f>
        <v/>
      </c>
      <c r="Q582" s="8">
        <f>IF(L582&gt;0,(F582+2*0.1)*(G582+2*0.1)*L582,0)</f>
        <v/>
      </c>
      <c r="R582" s="8">
        <f>(F582+0.2)*(G582+0.2)*0.1</f>
        <v/>
      </c>
      <c r="S582" s="8">
        <f>(F582+0.2)*(G582+0.2)*0.05</f>
        <v/>
      </c>
      <c r="T582" s="8">
        <f>INDEX('2-ฐานราก เหล็กเสริม'!$S:$S,MATCH(B582,'2-ฐานราก เหล็กเสริม'!$A:$A,0))</f>
        <v/>
      </c>
      <c r="U582" s="8" t="inlineStr">
        <is>
          <t>M41</t>
        </is>
      </c>
      <c r="V582" s="10" t="inlineStr">
        <is>
          <t>แบบ S201 (ตำแหน่ง) / ระดับรอยืนยัน</t>
        </is>
      </c>
    </row>
    <row r="583">
      <c r="A583" s="8" t="inlineStr">
        <is>
          <t>F1A-163</t>
        </is>
      </c>
      <c r="B583" s="8" t="inlineStr">
        <is>
          <t>F1A</t>
        </is>
      </c>
      <c r="C583" s="8" t="inlineStr">
        <is>
          <t>1-4.51/I+1.52</t>
        </is>
      </c>
      <c r="D583" s="9" t="n">
        <v>-4.511</v>
      </c>
      <c r="E583" s="9" t="n">
        <v>49.518</v>
      </c>
      <c r="F583" s="9" t="n">
        <v>0.6</v>
      </c>
      <c r="G583" s="9" t="n">
        <v>0.6</v>
      </c>
      <c r="H583" s="9" t="n">
        <v>0.3</v>
      </c>
      <c r="I583" s="9" t="n">
        <v>-0.15</v>
      </c>
      <c r="J583" s="9" t="n">
        <v>-0.45</v>
      </c>
      <c r="K583" s="9" t="n">
        <v>-0.6</v>
      </c>
      <c r="L583" s="9" t="n">
        <v>0.6</v>
      </c>
      <c r="M583" s="8" t="n">
        <v>1</v>
      </c>
      <c r="N583" s="8" t="inlineStr">
        <is>
          <t>1x I-220 ยาว 22 ม.</t>
        </is>
      </c>
      <c r="O583" s="8">
        <f>F583*G583*H583</f>
        <v/>
      </c>
      <c r="P583" s="8">
        <f>2*(F583+G583)*H583</f>
        <v/>
      </c>
      <c r="Q583" s="8">
        <f>IF(L583&gt;0,(F583+2*0.1)*(G583+2*0.1)*L583,0)</f>
        <v/>
      </c>
      <c r="R583" s="8">
        <f>(F583+0.2)*(G583+0.2)*0.1</f>
        <v/>
      </c>
      <c r="S583" s="8">
        <f>(F583+0.2)*(G583+0.2)*0.05</f>
        <v/>
      </c>
      <c r="T583" s="8">
        <f>INDEX('2-ฐานราก เหล็กเสริม'!$S:$S,MATCH(B583,'2-ฐานราก เหล็กเสริม'!$A:$A,0))</f>
        <v/>
      </c>
      <c r="U583" s="8" t="inlineStr">
        <is>
          <t>M41</t>
        </is>
      </c>
      <c r="V583" s="10" t="inlineStr">
        <is>
          <t>แบบ S201 (ตำแหน่ง) / ระดับรอยืนยัน</t>
        </is>
      </c>
    </row>
    <row r="584">
      <c r="A584" s="8" t="inlineStr">
        <is>
          <t>F1A-164</t>
        </is>
      </c>
      <c r="B584" s="8" t="inlineStr">
        <is>
          <t>F1A</t>
        </is>
      </c>
      <c r="C584" s="8" t="inlineStr">
        <is>
          <t>1-1.51/I+1.52</t>
        </is>
      </c>
      <c r="D584" s="9" t="n">
        <v>-1.512</v>
      </c>
      <c r="E584" s="9" t="n">
        <v>49.518</v>
      </c>
      <c r="F584" s="9" t="n">
        <v>0.6</v>
      </c>
      <c r="G584" s="9" t="n">
        <v>0.6</v>
      </c>
      <c r="H584" s="9" t="n">
        <v>0.3</v>
      </c>
      <c r="I584" s="9" t="n">
        <v>-0.15</v>
      </c>
      <c r="J584" s="9" t="n">
        <v>-0.45</v>
      </c>
      <c r="K584" s="9" t="n">
        <v>-0.6</v>
      </c>
      <c r="L584" s="9" t="n">
        <v>0.6</v>
      </c>
      <c r="M584" s="8" t="n">
        <v>1</v>
      </c>
      <c r="N584" s="8" t="inlineStr">
        <is>
          <t>1x I-220 ยาว 22 ม.</t>
        </is>
      </c>
      <c r="O584" s="8">
        <f>F584*G584*H584</f>
        <v/>
      </c>
      <c r="P584" s="8">
        <f>2*(F584+G584)*H584</f>
        <v/>
      </c>
      <c r="Q584" s="8">
        <f>IF(L584&gt;0,(F584+2*0.1)*(G584+2*0.1)*L584,0)</f>
        <v/>
      </c>
      <c r="R584" s="8">
        <f>(F584+0.2)*(G584+0.2)*0.1</f>
        <v/>
      </c>
      <c r="S584" s="8">
        <f>(F584+0.2)*(G584+0.2)*0.05</f>
        <v/>
      </c>
      <c r="T584" s="8">
        <f>INDEX('2-ฐานราก เหล็กเสริม'!$S:$S,MATCH(B584,'2-ฐานราก เหล็กเสริม'!$A:$A,0))</f>
        <v/>
      </c>
      <c r="U584" s="8" t="inlineStr">
        <is>
          <t>M41</t>
        </is>
      </c>
      <c r="V584" s="10" t="inlineStr">
        <is>
          <t>แบบ S201 (ตำแหน่ง) / ระดับรอยืนยัน</t>
        </is>
      </c>
    </row>
    <row r="585">
      <c r="A585" s="8" t="inlineStr">
        <is>
          <t>F1A-165</t>
        </is>
      </c>
      <c r="B585" s="8" t="inlineStr">
        <is>
          <t>F1A</t>
        </is>
      </c>
      <c r="C585" s="8" t="inlineStr">
        <is>
          <t>11+1.49/I+1.52</t>
        </is>
      </c>
      <c r="D585" s="9" t="n">
        <v>61.489</v>
      </c>
      <c r="E585" s="9" t="n">
        <v>49.518</v>
      </c>
      <c r="F585" s="9" t="n">
        <v>0.6</v>
      </c>
      <c r="G585" s="9" t="n">
        <v>0.6</v>
      </c>
      <c r="H585" s="9" t="n">
        <v>0.3</v>
      </c>
      <c r="I585" s="9" t="n">
        <v>-0.15</v>
      </c>
      <c r="J585" s="9" t="n">
        <v>-0.45</v>
      </c>
      <c r="K585" s="9" t="n">
        <v>-0.6</v>
      </c>
      <c r="L585" s="9" t="n">
        <v>0.6</v>
      </c>
      <c r="M585" s="8" t="n">
        <v>1</v>
      </c>
      <c r="N585" s="8" t="inlineStr">
        <is>
          <t>1x I-220 ยาว 22 ม.</t>
        </is>
      </c>
      <c r="O585" s="8">
        <f>F585*G585*H585</f>
        <v/>
      </c>
      <c r="P585" s="8">
        <f>2*(F585+G585)*H585</f>
        <v/>
      </c>
      <c r="Q585" s="8">
        <f>IF(L585&gt;0,(F585+2*0.1)*(G585+2*0.1)*L585,0)</f>
        <v/>
      </c>
      <c r="R585" s="8">
        <f>(F585+0.2)*(G585+0.2)*0.1</f>
        <v/>
      </c>
      <c r="S585" s="8">
        <f>(F585+0.2)*(G585+0.2)*0.05</f>
        <v/>
      </c>
      <c r="T585" s="8">
        <f>INDEX('2-ฐานราก เหล็กเสริม'!$S:$S,MATCH(B585,'2-ฐานราก เหล็กเสริม'!$A:$A,0))</f>
        <v/>
      </c>
      <c r="U585" s="8" t="inlineStr">
        <is>
          <t>M41</t>
        </is>
      </c>
      <c r="V585" s="10" t="inlineStr">
        <is>
          <t>แบบ S201 (ตำแหน่ง) / ระดับรอยืนยัน</t>
        </is>
      </c>
    </row>
    <row r="586">
      <c r="A586" s="8" t="inlineStr">
        <is>
          <t>F1A-166</t>
        </is>
      </c>
      <c r="B586" s="8" t="inlineStr">
        <is>
          <t>F1A</t>
        </is>
      </c>
      <c r="C586" s="8" t="inlineStr">
        <is>
          <t>11+4.50/I+1.52</t>
        </is>
      </c>
      <c r="D586" s="9" t="n">
        <v>64.495</v>
      </c>
      <c r="E586" s="9" t="n">
        <v>49.518</v>
      </c>
      <c r="F586" s="9" t="n">
        <v>0.6</v>
      </c>
      <c r="G586" s="9" t="n">
        <v>0.6</v>
      </c>
      <c r="H586" s="9" t="n">
        <v>0.3</v>
      </c>
      <c r="I586" s="9" t="n">
        <v>-0.15</v>
      </c>
      <c r="J586" s="9" t="n">
        <v>-0.45</v>
      </c>
      <c r="K586" s="9" t="n">
        <v>-0.6</v>
      </c>
      <c r="L586" s="9" t="n">
        <v>0.6</v>
      </c>
      <c r="M586" s="8" t="n">
        <v>1</v>
      </c>
      <c r="N586" s="8" t="inlineStr">
        <is>
          <t>1x I-220 ยาว 22 ม.</t>
        </is>
      </c>
      <c r="O586" s="8">
        <f>F586*G586*H586</f>
        <v/>
      </c>
      <c r="P586" s="8">
        <f>2*(F586+G586)*H586</f>
        <v/>
      </c>
      <c r="Q586" s="8">
        <f>IF(L586&gt;0,(F586+2*0.1)*(G586+2*0.1)*L586,0)</f>
        <v/>
      </c>
      <c r="R586" s="8">
        <f>(F586+0.2)*(G586+0.2)*0.1</f>
        <v/>
      </c>
      <c r="S586" s="8">
        <f>(F586+0.2)*(G586+0.2)*0.05</f>
        <v/>
      </c>
      <c r="T586" s="8">
        <f>INDEX('2-ฐานราก เหล็กเสริม'!$S:$S,MATCH(B586,'2-ฐานราก เหล็กเสริม'!$A:$A,0))</f>
        <v/>
      </c>
      <c r="U586" s="8" t="inlineStr">
        <is>
          <t>M41</t>
        </is>
      </c>
      <c r="V586" s="10" t="inlineStr">
        <is>
          <t>แบบ S201 (ตำแหน่ง) / ระดับรอยืนยัน</t>
        </is>
      </c>
    </row>
    <row r="587">
      <c r="A587" s="8" t="inlineStr">
        <is>
          <t>F1A-167</t>
        </is>
      </c>
      <c r="B587" s="8" t="inlineStr">
        <is>
          <t>F1A</t>
        </is>
      </c>
      <c r="C587" s="8" t="inlineStr">
        <is>
          <t>11+7.49/I+1.52</t>
        </is>
      </c>
      <c r="D587" s="9" t="n">
        <v>67.49299999999999</v>
      </c>
      <c r="E587" s="9" t="n">
        <v>49.518</v>
      </c>
      <c r="F587" s="9" t="n">
        <v>0.6</v>
      </c>
      <c r="G587" s="9" t="n">
        <v>0.6</v>
      </c>
      <c r="H587" s="9" t="n">
        <v>0.3</v>
      </c>
      <c r="I587" s="9" t="n">
        <v>-0.15</v>
      </c>
      <c r="J587" s="9" t="n">
        <v>-0.45</v>
      </c>
      <c r="K587" s="9" t="n">
        <v>-0.6</v>
      </c>
      <c r="L587" s="9" t="n">
        <v>0.6</v>
      </c>
      <c r="M587" s="8" t="n">
        <v>1</v>
      </c>
      <c r="N587" s="8" t="inlineStr">
        <is>
          <t>1x I-220 ยาว 22 ม.</t>
        </is>
      </c>
      <c r="O587" s="8">
        <f>F587*G587*H587</f>
        <v/>
      </c>
      <c r="P587" s="8">
        <f>2*(F587+G587)*H587</f>
        <v/>
      </c>
      <c r="Q587" s="8">
        <f>IF(L587&gt;0,(F587+2*0.1)*(G587+2*0.1)*L587,0)</f>
        <v/>
      </c>
      <c r="R587" s="8">
        <f>(F587+0.2)*(G587+0.2)*0.1</f>
        <v/>
      </c>
      <c r="S587" s="8">
        <f>(F587+0.2)*(G587+0.2)*0.05</f>
        <v/>
      </c>
      <c r="T587" s="8">
        <f>INDEX('2-ฐานราก เหล็กเสริม'!$S:$S,MATCH(B587,'2-ฐานราก เหล็กเสริม'!$A:$A,0))</f>
        <v/>
      </c>
      <c r="U587" s="8" t="inlineStr">
        <is>
          <t>M41</t>
        </is>
      </c>
      <c r="V587" s="10" t="inlineStr">
        <is>
          <t>แบบ S201 (ตำแหน่ง) / ระดับรอยืนยัน</t>
        </is>
      </c>
    </row>
    <row r="588">
      <c r="A588" s="8" t="inlineStr">
        <is>
          <t>F1A-168</t>
        </is>
      </c>
      <c r="B588" s="8" t="inlineStr">
        <is>
          <t>F1A</t>
        </is>
      </c>
      <c r="C588" s="8" t="inlineStr">
        <is>
          <t>1-4.51/J-1.49</t>
        </is>
      </c>
      <c r="D588" s="9" t="n">
        <v>-4.511</v>
      </c>
      <c r="E588" s="9" t="n">
        <v>52.51</v>
      </c>
      <c r="F588" s="9" t="n">
        <v>0.6</v>
      </c>
      <c r="G588" s="9" t="n">
        <v>0.6</v>
      </c>
      <c r="H588" s="9" t="n">
        <v>0.3</v>
      </c>
      <c r="I588" s="9" t="n">
        <v>-0.15</v>
      </c>
      <c r="J588" s="9" t="n">
        <v>-0.45</v>
      </c>
      <c r="K588" s="9" t="n">
        <v>-0.6</v>
      </c>
      <c r="L588" s="9" t="n">
        <v>0.6</v>
      </c>
      <c r="M588" s="8" t="n">
        <v>1</v>
      </c>
      <c r="N588" s="8" t="inlineStr">
        <is>
          <t>1x I-220 ยาว 22 ม.</t>
        </is>
      </c>
      <c r="O588" s="8">
        <f>F588*G588*H588</f>
        <v/>
      </c>
      <c r="P588" s="8">
        <f>2*(F588+G588)*H588</f>
        <v/>
      </c>
      <c r="Q588" s="8">
        <f>IF(L588&gt;0,(F588+2*0.1)*(G588+2*0.1)*L588,0)</f>
        <v/>
      </c>
      <c r="R588" s="8">
        <f>(F588+0.2)*(G588+0.2)*0.1</f>
        <v/>
      </c>
      <c r="S588" s="8">
        <f>(F588+0.2)*(G588+0.2)*0.05</f>
        <v/>
      </c>
      <c r="T588" s="8">
        <f>INDEX('2-ฐานราก เหล็กเสริม'!$S:$S,MATCH(B588,'2-ฐานราก เหล็กเสริม'!$A:$A,0))</f>
        <v/>
      </c>
      <c r="U588" s="8" t="inlineStr">
        <is>
          <t>M41</t>
        </is>
      </c>
      <c r="V588" s="10" t="inlineStr">
        <is>
          <t>แบบ S201 (ตำแหน่ง) / ระดับรอยืนยัน</t>
        </is>
      </c>
    </row>
    <row r="589">
      <c r="A589" s="8" t="inlineStr">
        <is>
          <t>F1A-169</t>
        </is>
      </c>
      <c r="B589" s="8" t="inlineStr">
        <is>
          <t>F1A</t>
        </is>
      </c>
      <c r="C589" s="8" t="inlineStr">
        <is>
          <t>1-1.51/J-1.49</t>
        </is>
      </c>
      <c r="D589" s="9" t="n">
        <v>-1.512</v>
      </c>
      <c r="E589" s="9" t="n">
        <v>52.51</v>
      </c>
      <c r="F589" s="9" t="n">
        <v>0.6</v>
      </c>
      <c r="G589" s="9" t="n">
        <v>0.6</v>
      </c>
      <c r="H589" s="9" t="n">
        <v>0.3</v>
      </c>
      <c r="I589" s="9" t="n">
        <v>-0.15</v>
      </c>
      <c r="J589" s="9" t="n">
        <v>-0.45</v>
      </c>
      <c r="K589" s="9" t="n">
        <v>-0.6</v>
      </c>
      <c r="L589" s="9" t="n">
        <v>0.6</v>
      </c>
      <c r="M589" s="8" t="n">
        <v>1</v>
      </c>
      <c r="N589" s="8" t="inlineStr">
        <is>
          <t>1x I-220 ยาว 22 ม.</t>
        </is>
      </c>
      <c r="O589" s="8">
        <f>F589*G589*H589</f>
        <v/>
      </c>
      <c r="P589" s="8">
        <f>2*(F589+G589)*H589</f>
        <v/>
      </c>
      <c r="Q589" s="8">
        <f>IF(L589&gt;0,(F589+2*0.1)*(G589+2*0.1)*L589,0)</f>
        <v/>
      </c>
      <c r="R589" s="8">
        <f>(F589+0.2)*(G589+0.2)*0.1</f>
        <v/>
      </c>
      <c r="S589" s="8">
        <f>(F589+0.2)*(G589+0.2)*0.05</f>
        <v/>
      </c>
      <c r="T589" s="8">
        <f>INDEX('2-ฐานราก เหล็กเสริม'!$S:$S,MATCH(B589,'2-ฐานราก เหล็กเสริม'!$A:$A,0))</f>
        <v/>
      </c>
      <c r="U589" s="8" t="inlineStr">
        <is>
          <t>M41</t>
        </is>
      </c>
      <c r="V589" s="10" t="inlineStr">
        <is>
          <t>แบบ S201 (ตำแหน่ง) / ระดับรอยืนยัน</t>
        </is>
      </c>
    </row>
    <row r="590">
      <c r="A590" s="8" t="inlineStr">
        <is>
          <t>F1A-170</t>
        </is>
      </c>
      <c r="B590" s="8" t="inlineStr">
        <is>
          <t>F1A</t>
        </is>
      </c>
      <c r="C590" s="8" t="inlineStr">
        <is>
          <t>11+1.49/J-1.49</t>
        </is>
      </c>
      <c r="D590" s="9" t="n">
        <v>61.489</v>
      </c>
      <c r="E590" s="9" t="n">
        <v>52.51</v>
      </c>
      <c r="F590" s="9" t="n">
        <v>0.6</v>
      </c>
      <c r="G590" s="9" t="n">
        <v>0.6</v>
      </c>
      <c r="H590" s="9" t="n">
        <v>0.3</v>
      </c>
      <c r="I590" s="9" t="n">
        <v>-0.15</v>
      </c>
      <c r="J590" s="9" t="n">
        <v>-0.45</v>
      </c>
      <c r="K590" s="9" t="n">
        <v>-0.6</v>
      </c>
      <c r="L590" s="9" t="n">
        <v>0.6</v>
      </c>
      <c r="M590" s="8" t="n">
        <v>1</v>
      </c>
      <c r="N590" s="8" t="inlineStr">
        <is>
          <t>1x I-220 ยาว 22 ม.</t>
        </is>
      </c>
      <c r="O590" s="8">
        <f>F590*G590*H590</f>
        <v/>
      </c>
      <c r="P590" s="8">
        <f>2*(F590+G590)*H590</f>
        <v/>
      </c>
      <c r="Q590" s="8">
        <f>IF(L590&gt;0,(F590+2*0.1)*(G590+2*0.1)*L590,0)</f>
        <v/>
      </c>
      <c r="R590" s="8">
        <f>(F590+0.2)*(G590+0.2)*0.1</f>
        <v/>
      </c>
      <c r="S590" s="8">
        <f>(F590+0.2)*(G590+0.2)*0.05</f>
        <v/>
      </c>
      <c r="T590" s="8">
        <f>INDEX('2-ฐานราก เหล็กเสริม'!$S:$S,MATCH(B590,'2-ฐานราก เหล็กเสริม'!$A:$A,0))</f>
        <v/>
      </c>
      <c r="U590" s="8" t="inlineStr">
        <is>
          <t>M41</t>
        </is>
      </c>
      <c r="V590" s="10" t="inlineStr">
        <is>
          <t>แบบ S201 (ตำแหน่ง) / ระดับรอยืนยัน</t>
        </is>
      </c>
    </row>
    <row r="591">
      <c r="A591" s="8" t="inlineStr">
        <is>
          <t>F1A-171</t>
        </is>
      </c>
      <c r="B591" s="8" t="inlineStr">
        <is>
          <t>F1A</t>
        </is>
      </c>
      <c r="C591" s="8" t="inlineStr">
        <is>
          <t>11+4.50/J-1.49</t>
        </is>
      </c>
      <c r="D591" s="9" t="n">
        <v>64.495</v>
      </c>
      <c r="E591" s="9" t="n">
        <v>52.51</v>
      </c>
      <c r="F591" s="9" t="n">
        <v>0.6</v>
      </c>
      <c r="G591" s="9" t="n">
        <v>0.6</v>
      </c>
      <c r="H591" s="9" t="n">
        <v>0.3</v>
      </c>
      <c r="I591" s="9" t="n">
        <v>-0.15</v>
      </c>
      <c r="J591" s="9" t="n">
        <v>-0.45</v>
      </c>
      <c r="K591" s="9" t="n">
        <v>-0.6</v>
      </c>
      <c r="L591" s="9" t="n">
        <v>0.6</v>
      </c>
      <c r="M591" s="8" t="n">
        <v>1</v>
      </c>
      <c r="N591" s="8" t="inlineStr">
        <is>
          <t>1x I-220 ยาว 22 ม.</t>
        </is>
      </c>
      <c r="O591" s="8">
        <f>F591*G591*H591</f>
        <v/>
      </c>
      <c r="P591" s="8">
        <f>2*(F591+G591)*H591</f>
        <v/>
      </c>
      <c r="Q591" s="8">
        <f>IF(L591&gt;0,(F591+2*0.1)*(G591+2*0.1)*L591,0)</f>
        <v/>
      </c>
      <c r="R591" s="8">
        <f>(F591+0.2)*(G591+0.2)*0.1</f>
        <v/>
      </c>
      <c r="S591" s="8">
        <f>(F591+0.2)*(G591+0.2)*0.05</f>
        <v/>
      </c>
      <c r="T591" s="8">
        <f>INDEX('2-ฐานราก เหล็กเสริม'!$S:$S,MATCH(B591,'2-ฐานราก เหล็กเสริม'!$A:$A,0))</f>
        <v/>
      </c>
      <c r="U591" s="8" t="inlineStr">
        <is>
          <t>M41</t>
        </is>
      </c>
      <c r="V591" s="10" t="inlineStr">
        <is>
          <t>แบบ S201 (ตำแหน่ง) / ระดับรอยืนยัน</t>
        </is>
      </c>
    </row>
    <row r="592">
      <c r="A592" s="8" t="inlineStr">
        <is>
          <t>F1A-172</t>
        </is>
      </c>
      <c r="B592" s="8" t="inlineStr">
        <is>
          <t>F1A</t>
        </is>
      </c>
      <c r="C592" s="8" t="inlineStr">
        <is>
          <t>11+7.49/J-1.49</t>
        </is>
      </c>
      <c r="D592" s="9" t="n">
        <v>67.49299999999999</v>
      </c>
      <c r="E592" s="9" t="n">
        <v>52.51</v>
      </c>
      <c r="F592" s="9" t="n">
        <v>0.6</v>
      </c>
      <c r="G592" s="9" t="n">
        <v>0.6</v>
      </c>
      <c r="H592" s="9" t="n">
        <v>0.3</v>
      </c>
      <c r="I592" s="9" t="n">
        <v>-0.15</v>
      </c>
      <c r="J592" s="9" t="n">
        <v>-0.45</v>
      </c>
      <c r="K592" s="9" t="n">
        <v>-0.6</v>
      </c>
      <c r="L592" s="9" t="n">
        <v>0.6</v>
      </c>
      <c r="M592" s="8" t="n">
        <v>1</v>
      </c>
      <c r="N592" s="8" t="inlineStr">
        <is>
          <t>1x I-220 ยาว 22 ม.</t>
        </is>
      </c>
      <c r="O592" s="8">
        <f>F592*G592*H592</f>
        <v/>
      </c>
      <c r="P592" s="8">
        <f>2*(F592+G592)*H592</f>
        <v/>
      </c>
      <c r="Q592" s="8">
        <f>IF(L592&gt;0,(F592+2*0.1)*(G592+2*0.1)*L592,0)</f>
        <v/>
      </c>
      <c r="R592" s="8">
        <f>(F592+0.2)*(G592+0.2)*0.1</f>
        <v/>
      </c>
      <c r="S592" s="8">
        <f>(F592+0.2)*(G592+0.2)*0.05</f>
        <v/>
      </c>
      <c r="T592" s="8">
        <f>INDEX('2-ฐานราก เหล็กเสริม'!$S:$S,MATCH(B592,'2-ฐานราก เหล็กเสริม'!$A:$A,0))</f>
        <v/>
      </c>
      <c r="U592" s="8" t="inlineStr">
        <is>
          <t>M41</t>
        </is>
      </c>
      <c r="V592" s="10" t="inlineStr">
        <is>
          <t>แบบ S201 (ตำแหน่ง) / ระดับรอยืนยัน</t>
        </is>
      </c>
    </row>
    <row r="593">
      <c r="A593" s="8" t="inlineStr">
        <is>
          <t>F1A-173</t>
        </is>
      </c>
      <c r="B593" s="8" t="inlineStr">
        <is>
          <t>F1A</t>
        </is>
      </c>
      <c r="C593" s="8" t="inlineStr">
        <is>
          <t>11+10.49/J-1.49</t>
        </is>
      </c>
      <c r="D593" s="9" t="n">
        <v>70.492</v>
      </c>
      <c r="E593" s="9" t="n">
        <v>52.51</v>
      </c>
      <c r="F593" s="9" t="n">
        <v>0.6</v>
      </c>
      <c r="G593" s="9" t="n">
        <v>0.6</v>
      </c>
      <c r="H593" s="9" t="n">
        <v>0.3</v>
      </c>
      <c r="I593" s="9" t="n">
        <v>-0.15</v>
      </c>
      <c r="J593" s="9" t="n">
        <v>-0.45</v>
      </c>
      <c r="K593" s="9" t="n">
        <v>-0.6</v>
      </c>
      <c r="L593" s="9" t="n">
        <v>0.6</v>
      </c>
      <c r="M593" s="8" t="n">
        <v>1</v>
      </c>
      <c r="N593" s="8" t="inlineStr">
        <is>
          <t>1x I-220 ยาว 22 ม.</t>
        </is>
      </c>
      <c r="O593" s="8">
        <f>F593*G593*H593</f>
        <v/>
      </c>
      <c r="P593" s="8">
        <f>2*(F593+G593)*H593</f>
        <v/>
      </c>
      <c r="Q593" s="8">
        <f>IF(L593&gt;0,(F593+2*0.1)*(G593+2*0.1)*L593,0)</f>
        <v/>
      </c>
      <c r="R593" s="8">
        <f>(F593+0.2)*(G593+0.2)*0.1</f>
        <v/>
      </c>
      <c r="S593" s="8">
        <f>(F593+0.2)*(G593+0.2)*0.05</f>
        <v/>
      </c>
      <c r="T593" s="8">
        <f>INDEX('2-ฐานราก เหล็กเสริม'!$S:$S,MATCH(B593,'2-ฐานราก เหล็กเสริม'!$A:$A,0))</f>
        <v/>
      </c>
      <c r="U593" s="8" t="inlineStr">
        <is>
          <t>M41</t>
        </is>
      </c>
      <c r="V593" s="10" t="inlineStr">
        <is>
          <t>แบบ S201 (ตำแหน่ง) / ระดับรอยืนยัน</t>
        </is>
      </c>
    </row>
    <row r="594">
      <c r="A594" s="8" t="inlineStr">
        <is>
          <t>F1A-174</t>
        </is>
      </c>
      <c r="B594" s="8" t="inlineStr">
        <is>
          <t>F1A</t>
        </is>
      </c>
      <c r="C594" s="8" t="inlineStr">
        <is>
          <t>1-4.51/J+1.52</t>
        </is>
      </c>
      <c r="D594" s="9" t="n">
        <v>-4.511</v>
      </c>
      <c r="E594" s="9" t="n">
        <v>55.516</v>
      </c>
      <c r="F594" s="9" t="n">
        <v>0.6</v>
      </c>
      <c r="G594" s="9" t="n">
        <v>0.6</v>
      </c>
      <c r="H594" s="9" t="n">
        <v>0.3</v>
      </c>
      <c r="I594" s="9" t="n">
        <v>-0.15</v>
      </c>
      <c r="J594" s="9" t="n">
        <v>-0.45</v>
      </c>
      <c r="K594" s="9" t="n">
        <v>-0.6</v>
      </c>
      <c r="L594" s="9" t="n">
        <v>0.6</v>
      </c>
      <c r="M594" s="8" t="n">
        <v>1</v>
      </c>
      <c r="N594" s="8" t="inlineStr">
        <is>
          <t>1x I-220 ยาว 22 ม.</t>
        </is>
      </c>
      <c r="O594" s="8">
        <f>F594*G594*H594</f>
        <v/>
      </c>
      <c r="P594" s="8">
        <f>2*(F594+G594)*H594</f>
        <v/>
      </c>
      <c r="Q594" s="8">
        <f>IF(L594&gt;0,(F594+2*0.1)*(G594+2*0.1)*L594,0)</f>
        <v/>
      </c>
      <c r="R594" s="8">
        <f>(F594+0.2)*(G594+0.2)*0.1</f>
        <v/>
      </c>
      <c r="S594" s="8">
        <f>(F594+0.2)*(G594+0.2)*0.05</f>
        <v/>
      </c>
      <c r="T594" s="8">
        <f>INDEX('2-ฐานราก เหล็กเสริม'!$S:$S,MATCH(B594,'2-ฐานราก เหล็กเสริม'!$A:$A,0))</f>
        <v/>
      </c>
      <c r="U594" s="8" t="inlineStr">
        <is>
          <t>M41</t>
        </is>
      </c>
      <c r="V594" s="10" t="inlineStr">
        <is>
          <t>แบบ S201 (ตำแหน่ง) / ระดับรอยืนยัน</t>
        </is>
      </c>
    </row>
    <row r="595">
      <c r="A595" s="8" t="inlineStr">
        <is>
          <t>F1A-175</t>
        </is>
      </c>
      <c r="B595" s="8" t="inlineStr">
        <is>
          <t>F1A</t>
        </is>
      </c>
      <c r="C595" s="8" t="inlineStr">
        <is>
          <t>1-1.51/J+1.52</t>
        </is>
      </c>
      <c r="D595" s="9" t="n">
        <v>-1.512</v>
      </c>
      <c r="E595" s="9" t="n">
        <v>55.516</v>
      </c>
      <c r="F595" s="9" t="n">
        <v>0.6</v>
      </c>
      <c r="G595" s="9" t="n">
        <v>0.6</v>
      </c>
      <c r="H595" s="9" t="n">
        <v>0.3</v>
      </c>
      <c r="I595" s="9" t="n">
        <v>-0.15</v>
      </c>
      <c r="J595" s="9" t="n">
        <v>-0.45</v>
      </c>
      <c r="K595" s="9" t="n">
        <v>-0.6</v>
      </c>
      <c r="L595" s="9" t="n">
        <v>0.6</v>
      </c>
      <c r="M595" s="8" t="n">
        <v>1</v>
      </c>
      <c r="N595" s="8" t="inlineStr">
        <is>
          <t>1x I-220 ยาว 22 ม.</t>
        </is>
      </c>
      <c r="O595" s="8">
        <f>F595*G595*H595</f>
        <v/>
      </c>
      <c r="P595" s="8">
        <f>2*(F595+G595)*H595</f>
        <v/>
      </c>
      <c r="Q595" s="8">
        <f>IF(L595&gt;0,(F595+2*0.1)*(G595+2*0.1)*L595,0)</f>
        <v/>
      </c>
      <c r="R595" s="8">
        <f>(F595+0.2)*(G595+0.2)*0.1</f>
        <v/>
      </c>
      <c r="S595" s="8">
        <f>(F595+0.2)*(G595+0.2)*0.05</f>
        <v/>
      </c>
      <c r="T595" s="8">
        <f>INDEX('2-ฐานราก เหล็กเสริม'!$S:$S,MATCH(B595,'2-ฐานราก เหล็กเสริม'!$A:$A,0))</f>
        <v/>
      </c>
      <c r="U595" s="8" t="inlineStr">
        <is>
          <t>M41</t>
        </is>
      </c>
      <c r="V595" s="10" t="inlineStr">
        <is>
          <t>แบบ S201 (ตำแหน่ง) / ระดับรอยืนยัน</t>
        </is>
      </c>
    </row>
    <row r="596">
      <c r="A596" s="8" t="inlineStr">
        <is>
          <t>F1A-176</t>
        </is>
      </c>
      <c r="B596" s="8" t="inlineStr">
        <is>
          <t>F1A</t>
        </is>
      </c>
      <c r="C596" s="8" t="inlineStr">
        <is>
          <t>1+1.49/J+1.52</t>
        </is>
      </c>
      <c r="D596" s="9" t="n">
        <v>1.487</v>
      </c>
      <c r="E596" s="9" t="n">
        <v>55.516</v>
      </c>
      <c r="F596" s="9" t="n">
        <v>0.6</v>
      </c>
      <c r="G596" s="9" t="n">
        <v>0.6</v>
      </c>
      <c r="H596" s="9" t="n">
        <v>0.3</v>
      </c>
      <c r="I596" s="9" t="n">
        <v>-0.15</v>
      </c>
      <c r="J596" s="9" t="n">
        <v>-0.45</v>
      </c>
      <c r="K596" s="9" t="n">
        <v>-0.6</v>
      </c>
      <c r="L596" s="9" t="n">
        <v>0.6</v>
      </c>
      <c r="M596" s="8" t="n">
        <v>1</v>
      </c>
      <c r="N596" s="8" t="inlineStr">
        <is>
          <t>1x I-220 ยาว 22 ม.</t>
        </is>
      </c>
      <c r="O596" s="8">
        <f>F596*G596*H596</f>
        <v/>
      </c>
      <c r="P596" s="8">
        <f>2*(F596+G596)*H596</f>
        <v/>
      </c>
      <c r="Q596" s="8">
        <f>IF(L596&gt;0,(F596+2*0.1)*(G596+2*0.1)*L596,0)</f>
        <v/>
      </c>
      <c r="R596" s="8">
        <f>(F596+0.2)*(G596+0.2)*0.1</f>
        <v/>
      </c>
      <c r="S596" s="8">
        <f>(F596+0.2)*(G596+0.2)*0.05</f>
        <v/>
      </c>
      <c r="T596" s="8">
        <f>INDEX('2-ฐานราก เหล็กเสริม'!$S:$S,MATCH(B596,'2-ฐานราก เหล็กเสริม'!$A:$A,0))</f>
        <v/>
      </c>
      <c r="U596" s="8" t="inlineStr">
        <is>
          <t>M41</t>
        </is>
      </c>
      <c r="V596" s="10" t="inlineStr">
        <is>
          <t>แบบ S201 (ตำแหน่ง) / ระดับรอยืนยัน</t>
        </is>
      </c>
    </row>
    <row r="597">
      <c r="A597" s="8" t="inlineStr">
        <is>
          <t>F1A-177</t>
        </is>
      </c>
      <c r="B597" s="8" t="inlineStr">
        <is>
          <t>F1A</t>
        </is>
      </c>
      <c r="C597" s="8" t="inlineStr">
        <is>
          <t>2-1.51/J+1.52</t>
        </is>
      </c>
      <c r="D597" s="9" t="n">
        <v>4.492</v>
      </c>
      <c r="E597" s="9" t="n">
        <v>55.516</v>
      </c>
      <c r="F597" s="9" t="n">
        <v>0.6</v>
      </c>
      <c r="G597" s="9" t="n">
        <v>0.6</v>
      </c>
      <c r="H597" s="9" t="n">
        <v>0.3</v>
      </c>
      <c r="I597" s="9" t="n">
        <v>-0.15</v>
      </c>
      <c r="J597" s="9" t="n">
        <v>-0.45</v>
      </c>
      <c r="K597" s="9" t="n">
        <v>-0.6</v>
      </c>
      <c r="L597" s="9" t="n">
        <v>0.6</v>
      </c>
      <c r="M597" s="8" t="n">
        <v>1</v>
      </c>
      <c r="N597" s="8" t="inlineStr">
        <is>
          <t>1x I-220 ยาว 22 ม.</t>
        </is>
      </c>
      <c r="O597" s="8">
        <f>F597*G597*H597</f>
        <v/>
      </c>
      <c r="P597" s="8">
        <f>2*(F597+G597)*H597</f>
        <v/>
      </c>
      <c r="Q597" s="8">
        <f>IF(L597&gt;0,(F597+2*0.1)*(G597+2*0.1)*L597,0)</f>
        <v/>
      </c>
      <c r="R597" s="8">
        <f>(F597+0.2)*(G597+0.2)*0.1</f>
        <v/>
      </c>
      <c r="S597" s="8">
        <f>(F597+0.2)*(G597+0.2)*0.05</f>
        <v/>
      </c>
      <c r="T597" s="8">
        <f>INDEX('2-ฐานราก เหล็กเสริม'!$S:$S,MATCH(B597,'2-ฐานราก เหล็กเสริม'!$A:$A,0))</f>
        <v/>
      </c>
      <c r="U597" s="8" t="inlineStr">
        <is>
          <t>M41</t>
        </is>
      </c>
      <c r="V597" s="10" t="inlineStr">
        <is>
          <t>แบบ S201 (ตำแหน่ง) / ระดับรอยืนยัน</t>
        </is>
      </c>
    </row>
    <row r="598">
      <c r="A598" s="8" t="inlineStr">
        <is>
          <t>F1A-178</t>
        </is>
      </c>
      <c r="B598" s="8" t="inlineStr">
        <is>
          <t>F1A</t>
        </is>
      </c>
      <c r="C598" s="8" t="inlineStr">
        <is>
          <t>2+1.48/J+1.52</t>
        </is>
      </c>
      <c r="D598" s="9" t="n">
        <v>7.484</v>
      </c>
      <c r="E598" s="9" t="n">
        <v>55.516</v>
      </c>
      <c r="F598" s="9" t="n">
        <v>0.6</v>
      </c>
      <c r="G598" s="9" t="n">
        <v>0.6</v>
      </c>
      <c r="H598" s="9" t="n">
        <v>0.3</v>
      </c>
      <c r="I598" s="9" t="n">
        <v>-0.15</v>
      </c>
      <c r="J598" s="9" t="n">
        <v>-0.45</v>
      </c>
      <c r="K598" s="9" t="n">
        <v>-0.6</v>
      </c>
      <c r="L598" s="9" t="n">
        <v>0.6</v>
      </c>
      <c r="M598" s="8" t="n">
        <v>1</v>
      </c>
      <c r="N598" s="8" t="inlineStr">
        <is>
          <t>1x I-220 ยาว 22 ม.</t>
        </is>
      </c>
      <c r="O598" s="8">
        <f>F598*G598*H598</f>
        <v/>
      </c>
      <c r="P598" s="8">
        <f>2*(F598+G598)*H598</f>
        <v/>
      </c>
      <c r="Q598" s="8">
        <f>IF(L598&gt;0,(F598+2*0.1)*(G598+2*0.1)*L598,0)</f>
        <v/>
      </c>
      <c r="R598" s="8">
        <f>(F598+0.2)*(G598+0.2)*0.1</f>
        <v/>
      </c>
      <c r="S598" s="8">
        <f>(F598+0.2)*(G598+0.2)*0.05</f>
        <v/>
      </c>
      <c r="T598" s="8">
        <f>INDEX('2-ฐานราก เหล็กเสริม'!$S:$S,MATCH(B598,'2-ฐานราก เหล็กเสริม'!$A:$A,0))</f>
        <v/>
      </c>
      <c r="U598" s="8" t="inlineStr">
        <is>
          <t>M41</t>
        </is>
      </c>
      <c r="V598" s="10" t="inlineStr">
        <is>
          <t>แบบ S201 (ตำแหน่ง) / ระดับรอยืนยัน</t>
        </is>
      </c>
    </row>
    <row r="599">
      <c r="A599" s="8" t="inlineStr">
        <is>
          <t>F1A-179</t>
        </is>
      </c>
      <c r="B599" s="8" t="inlineStr">
        <is>
          <t>F1A</t>
        </is>
      </c>
      <c r="C599" s="8" t="inlineStr">
        <is>
          <t>3-1.51/J+1.52</t>
        </is>
      </c>
      <c r="D599" s="9" t="n">
        <v>10.49</v>
      </c>
      <c r="E599" s="9" t="n">
        <v>55.516</v>
      </c>
      <c r="F599" s="9" t="n">
        <v>0.6</v>
      </c>
      <c r="G599" s="9" t="n">
        <v>0.6</v>
      </c>
      <c r="H599" s="9" t="n">
        <v>0.3</v>
      </c>
      <c r="I599" s="9" t="n">
        <v>-0.15</v>
      </c>
      <c r="J599" s="9" t="n">
        <v>-0.45</v>
      </c>
      <c r="K599" s="9" t="n">
        <v>-0.6</v>
      </c>
      <c r="L599" s="9" t="n">
        <v>0.6</v>
      </c>
      <c r="M599" s="8" t="n">
        <v>1</v>
      </c>
      <c r="N599" s="8" t="inlineStr">
        <is>
          <t>1x I-220 ยาว 22 ม.</t>
        </is>
      </c>
      <c r="O599" s="8">
        <f>F599*G599*H599</f>
        <v/>
      </c>
      <c r="P599" s="8">
        <f>2*(F599+G599)*H599</f>
        <v/>
      </c>
      <c r="Q599" s="8">
        <f>IF(L599&gt;0,(F599+2*0.1)*(G599+2*0.1)*L599,0)</f>
        <v/>
      </c>
      <c r="R599" s="8">
        <f>(F599+0.2)*(G599+0.2)*0.1</f>
        <v/>
      </c>
      <c r="S599" s="8">
        <f>(F599+0.2)*(G599+0.2)*0.05</f>
        <v/>
      </c>
      <c r="T599" s="8">
        <f>INDEX('2-ฐานราก เหล็กเสริม'!$S:$S,MATCH(B599,'2-ฐานราก เหล็กเสริม'!$A:$A,0))</f>
        <v/>
      </c>
      <c r="U599" s="8" t="inlineStr">
        <is>
          <t>M41</t>
        </is>
      </c>
      <c r="V599" s="10" t="inlineStr">
        <is>
          <t>แบบ S201 (ตำแหน่ง) / ระดับรอยืนยัน</t>
        </is>
      </c>
    </row>
    <row r="600">
      <c r="A600" s="8" t="inlineStr">
        <is>
          <t>F1A-180</t>
        </is>
      </c>
      <c r="B600" s="8" t="inlineStr">
        <is>
          <t>F1A</t>
        </is>
      </c>
      <c r="C600" s="8" t="inlineStr">
        <is>
          <t>3+1.49/J+1.52</t>
        </is>
      </c>
      <c r="D600" s="9" t="n">
        <v>13.488</v>
      </c>
      <c r="E600" s="9" t="n">
        <v>55.516</v>
      </c>
      <c r="F600" s="9" t="n">
        <v>0.6</v>
      </c>
      <c r="G600" s="9" t="n">
        <v>0.6</v>
      </c>
      <c r="H600" s="9" t="n">
        <v>0.3</v>
      </c>
      <c r="I600" s="9" t="n">
        <v>-0.15</v>
      </c>
      <c r="J600" s="9" t="n">
        <v>-0.45</v>
      </c>
      <c r="K600" s="9" t="n">
        <v>-0.6</v>
      </c>
      <c r="L600" s="9" t="n">
        <v>0.6</v>
      </c>
      <c r="M600" s="8" t="n">
        <v>1</v>
      </c>
      <c r="N600" s="8" t="inlineStr">
        <is>
          <t>1x I-220 ยาว 22 ม.</t>
        </is>
      </c>
      <c r="O600" s="8">
        <f>F600*G600*H600</f>
        <v/>
      </c>
      <c r="P600" s="8">
        <f>2*(F600+G600)*H600</f>
        <v/>
      </c>
      <c r="Q600" s="8">
        <f>IF(L600&gt;0,(F600+2*0.1)*(G600+2*0.1)*L600,0)</f>
        <v/>
      </c>
      <c r="R600" s="8">
        <f>(F600+0.2)*(G600+0.2)*0.1</f>
        <v/>
      </c>
      <c r="S600" s="8">
        <f>(F600+0.2)*(G600+0.2)*0.05</f>
        <v/>
      </c>
      <c r="T600" s="8">
        <f>INDEX('2-ฐานราก เหล็กเสริม'!$S:$S,MATCH(B600,'2-ฐานราก เหล็กเสริม'!$A:$A,0))</f>
        <v/>
      </c>
      <c r="U600" s="8" t="inlineStr">
        <is>
          <t>M41</t>
        </is>
      </c>
      <c r="V600" s="10" t="inlineStr">
        <is>
          <t>แบบ S201 (ตำแหน่ง) / ระดับรอยืนยัน</t>
        </is>
      </c>
    </row>
    <row r="601">
      <c r="A601" s="8" t="inlineStr">
        <is>
          <t>F1A-181</t>
        </is>
      </c>
      <c r="B601" s="8" t="inlineStr">
        <is>
          <t>F1A</t>
        </is>
      </c>
      <c r="C601" s="8" t="inlineStr">
        <is>
          <t>4-1.51/J+1.52</t>
        </is>
      </c>
      <c r="D601" s="9" t="n">
        <v>16.487</v>
      </c>
      <c r="E601" s="9" t="n">
        <v>55.516</v>
      </c>
      <c r="F601" s="9" t="n">
        <v>0.6</v>
      </c>
      <c r="G601" s="9" t="n">
        <v>0.6</v>
      </c>
      <c r="H601" s="9" t="n">
        <v>0.3</v>
      </c>
      <c r="I601" s="9" t="n">
        <v>-0.15</v>
      </c>
      <c r="J601" s="9" t="n">
        <v>-0.45</v>
      </c>
      <c r="K601" s="9" t="n">
        <v>-0.6</v>
      </c>
      <c r="L601" s="9" t="n">
        <v>0.6</v>
      </c>
      <c r="M601" s="8" t="n">
        <v>1</v>
      </c>
      <c r="N601" s="8" t="inlineStr">
        <is>
          <t>1x I-220 ยาว 22 ม.</t>
        </is>
      </c>
      <c r="O601" s="8">
        <f>F601*G601*H601</f>
        <v/>
      </c>
      <c r="P601" s="8">
        <f>2*(F601+G601)*H601</f>
        <v/>
      </c>
      <c r="Q601" s="8">
        <f>IF(L601&gt;0,(F601+2*0.1)*(G601+2*0.1)*L601,0)</f>
        <v/>
      </c>
      <c r="R601" s="8">
        <f>(F601+0.2)*(G601+0.2)*0.1</f>
        <v/>
      </c>
      <c r="S601" s="8">
        <f>(F601+0.2)*(G601+0.2)*0.05</f>
        <v/>
      </c>
      <c r="T601" s="8">
        <f>INDEX('2-ฐานราก เหล็กเสริม'!$S:$S,MATCH(B601,'2-ฐานราก เหล็กเสริม'!$A:$A,0))</f>
        <v/>
      </c>
      <c r="U601" s="8" t="inlineStr">
        <is>
          <t>M41</t>
        </is>
      </c>
      <c r="V601" s="10" t="inlineStr">
        <is>
          <t>แบบ S201 (ตำแหน่ง) / ระดับรอยืนยัน</t>
        </is>
      </c>
    </row>
    <row r="602">
      <c r="A602" s="8" t="inlineStr">
        <is>
          <t>F1A-182</t>
        </is>
      </c>
      <c r="B602" s="8" t="inlineStr">
        <is>
          <t>F1A</t>
        </is>
      </c>
      <c r="C602" s="8" t="inlineStr">
        <is>
          <t>4+1.49/J+1.52</t>
        </is>
      </c>
      <c r="D602" s="9" t="n">
        <v>19.493</v>
      </c>
      <c r="E602" s="9" t="n">
        <v>55.516</v>
      </c>
      <c r="F602" s="9" t="n">
        <v>0.6</v>
      </c>
      <c r="G602" s="9" t="n">
        <v>0.6</v>
      </c>
      <c r="H602" s="9" t="n">
        <v>0.3</v>
      </c>
      <c r="I602" s="9" t="n">
        <v>-0.15</v>
      </c>
      <c r="J602" s="9" t="n">
        <v>-0.45</v>
      </c>
      <c r="K602" s="9" t="n">
        <v>-0.6</v>
      </c>
      <c r="L602" s="9" t="n">
        <v>0.6</v>
      </c>
      <c r="M602" s="8" t="n">
        <v>1</v>
      </c>
      <c r="N602" s="8" t="inlineStr">
        <is>
          <t>1x I-220 ยาว 22 ม.</t>
        </is>
      </c>
      <c r="O602" s="8">
        <f>F602*G602*H602</f>
        <v/>
      </c>
      <c r="P602" s="8">
        <f>2*(F602+G602)*H602</f>
        <v/>
      </c>
      <c r="Q602" s="8">
        <f>IF(L602&gt;0,(F602+2*0.1)*(G602+2*0.1)*L602,0)</f>
        <v/>
      </c>
      <c r="R602" s="8">
        <f>(F602+0.2)*(G602+0.2)*0.1</f>
        <v/>
      </c>
      <c r="S602" s="8">
        <f>(F602+0.2)*(G602+0.2)*0.05</f>
        <v/>
      </c>
      <c r="T602" s="8">
        <f>INDEX('2-ฐานราก เหล็กเสริม'!$S:$S,MATCH(B602,'2-ฐานราก เหล็กเสริม'!$A:$A,0))</f>
        <v/>
      </c>
      <c r="U602" s="8" t="inlineStr">
        <is>
          <t>M41</t>
        </is>
      </c>
      <c r="V602" s="10" t="inlineStr">
        <is>
          <t>แบบ S201 (ตำแหน่ง) / ระดับรอยืนยัน</t>
        </is>
      </c>
    </row>
    <row r="603">
      <c r="A603" s="8" t="inlineStr">
        <is>
          <t>F1A-183</t>
        </is>
      </c>
      <c r="B603" s="8" t="inlineStr">
        <is>
          <t>F1A</t>
        </is>
      </c>
      <c r="C603" s="8" t="inlineStr">
        <is>
          <t>5-1.51/J+1.52</t>
        </is>
      </c>
      <c r="D603" s="9" t="n">
        <v>22.491</v>
      </c>
      <c r="E603" s="9" t="n">
        <v>55.516</v>
      </c>
      <c r="F603" s="9" t="n">
        <v>0.6</v>
      </c>
      <c r="G603" s="9" t="n">
        <v>0.6</v>
      </c>
      <c r="H603" s="9" t="n">
        <v>0.3</v>
      </c>
      <c r="I603" s="9" t="n">
        <v>-0.15</v>
      </c>
      <c r="J603" s="9" t="n">
        <v>-0.45</v>
      </c>
      <c r="K603" s="9" t="n">
        <v>-0.6</v>
      </c>
      <c r="L603" s="9" t="n">
        <v>0.6</v>
      </c>
      <c r="M603" s="8" t="n">
        <v>1</v>
      </c>
      <c r="N603" s="8" t="inlineStr">
        <is>
          <t>1x I-220 ยาว 22 ม.</t>
        </is>
      </c>
      <c r="O603" s="8">
        <f>F603*G603*H603</f>
        <v/>
      </c>
      <c r="P603" s="8">
        <f>2*(F603+G603)*H603</f>
        <v/>
      </c>
      <c r="Q603" s="8">
        <f>IF(L603&gt;0,(F603+2*0.1)*(G603+2*0.1)*L603,0)</f>
        <v/>
      </c>
      <c r="R603" s="8">
        <f>(F603+0.2)*(G603+0.2)*0.1</f>
        <v/>
      </c>
      <c r="S603" s="8">
        <f>(F603+0.2)*(G603+0.2)*0.05</f>
        <v/>
      </c>
      <c r="T603" s="8">
        <f>INDEX('2-ฐานราก เหล็กเสริม'!$S:$S,MATCH(B603,'2-ฐานราก เหล็กเสริม'!$A:$A,0))</f>
        <v/>
      </c>
      <c r="U603" s="8" t="inlineStr">
        <is>
          <t>M41</t>
        </is>
      </c>
      <c r="V603" s="10" t="inlineStr">
        <is>
          <t>แบบ S201 (ตำแหน่ง) / ระดับรอยืนยัน</t>
        </is>
      </c>
    </row>
    <row r="604">
      <c r="A604" s="8" t="inlineStr">
        <is>
          <t>F1A-184</t>
        </is>
      </c>
      <c r="B604" s="8" t="inlineStr">
        <is>
          <t>F1A</t>
        </is>
      </c>
      <c r="C604" s="8" t="inlineStr">
        <is>
          <t>5+1.49/J+1.52</t>
        </is>
      </c>
      <c r="D604" s="9" t="n">
        <v>25.49</v>
      </c>
      <c r="E604" s="9" t="n">
        <v>55.516</v>
      </c>
      <c r="F604" s="9" t="n">
        <v>0.6</v>
      </c>
      <c r="G604" s="9" t="n">
        <v>0.6</v>
      </c>
      <c r="H604" s="9" t="n">
        <v>0.3</v>
      </c>
      <c r="I604" s="9" t="n">
        <v>-0.15</v>
      </c>
      <c r="J604" s="9" t="n">
        <v>-0.45</v>
      </c>
      <c r="K604" s="9" t="n">
        <v>-0.6</v>
      </c>
      <c r="L604" s="9" t="n">
        <v>0.6</v>
      </c>
      <c r="M604" s="8" t="n">
        <v>1</v>
      </c>
      <c r="N604" s="8" t="inlineStr">
        <is>
          <t>1x I-220 ยาว 22 ม.</t>
        </is>
      </c>
      <c r="O604" s="8">
        <f>F604*G604*H604</f>
        <v/>
      </c>
      <c r="P604" s="8">
        <f>2*(F604+G604)*H604</f>
        <v/>
      </c>
      <c r="Q604" s="8">
        <f>IF(L604&gt;0,(F604+2*0.1)*(G604+2*0.1)*L604,0)</f>
        <v/>
      </c>
      <c r="R604" s="8">
        <f>(F604+0.2)*(G604+0.2)*0.1</f>
        <v/>
      </c>
      <c r="S604" s="8">
        <f>(F604+0.2)*(G604+0.2)*0.05</f>
        <v/>
      </c>
      <c r="T604" s="8">
        <f>INDEX('2-ฐานราก เหล็กเสริม'!$S:$S,MATCH(B604,'2-ฐานราก เหล็กเสริม'!$A:$A,0))</f>
        <v/>
      </c>
      <c r="U604" s="8" t="inlineStr">
        <is>
          <t>M41</t>
        </is>
      </c>
      <c r="V604" s="10" t="inlineStr">
        <is>
          <t>แบบ S201 (ตำแหน่ง) / ระดับรอยืนยัน</t>
        </is>
      </c>
    </row>
    <row r="605">
      <c r="A605" s="8" t="inlineStr">
        <is>
          <t>F1A-185</t>
        </is>
      </c>
      <c r="B605" s="8" t="inlineStr">
        <is>
          <t>F1A</t>
        </is>
      </c>
      <c r="C605" s="8" t="inlineStr">
        <is>
          <t>6-1.51/J+1.52</t>
        </is>
      </c>
      <c r="D605" s="9" t="n">
        <v>28.489</v>
      </c>
      <c r="E605" s="9" t="n">
        <v>55.516</v>
      </c>
      <c r="F605" s="9" t="n">
        <v>0.6</v>
      </c>
      <c r="G605" s="9" t="n">
        <v>0.6</v>
      </c>
      <c r="H605" s="9" t="n">
        <v>0.3</v>
      </c>
      <c r="I605" s="9" t="n">
        <v>-0.15</v>
      </c>
      <c r="J605" s="9" t="n">
        <v>-0.45</v>
      </c>
      <c r="K605" s="9" t="n">
        <v>-0.6</v>
      </c>
      <c r="L605" s="9" t="n">
        <v>0.6</v>
      </c>
      <c r="M605" s="8" t="n">
        <v>1</v>
      </c>
      <c r="N605" s="8" t="inlineStr">
        <is>
          <t>1x I-220 ยาว 22 ม.</t>
        </is>
      </c>
      <c r="O605" s="8">
        <f>F605*G605*H605</f>
        <v/>
      </c>
      <c r="P605" s="8">
        <f>2*(F605+G605)*H605</f>
        <v/>
      </c>
      <c r="Q605" s="8">
        <f>IF(L605&gt;0,(F605+2*0.1)*(G605+2*0.1)*L605,0)</f>
        <v/>
      </c>
      <c r="R605" s="8">
        <f>(F605+0.2)*(G605+0.2)*0.1</f>
        <v/>
      </c>
      <c r="S605" s="8">
        <f>(F605+0.2)*(G605+0.2)*0.05</f>
        <v/>
      </c>
      <c r="T605" s="8">
        <f>INDEX('2-ฐานราก เหล็กเสริม'!$S:$S,MATCH(B605,'2-ฐานราก เหล็กเสริม'!$A:$A,0))</f>
        <v/>
      </c>
      <c r="U605" s="8" t="inlineStr">
        <is>
          <t>M41</t>
        </is>
      </c>
      <c r="V605" s="10" t="inlineStr">
        <is>
          <t>แบบ S201 (ตำแหน่ง) / ระดับรอยืนยัน</t>
        </is>
      </c>
    </row>
    <row r="606">
      <c r="A606" s="8" t="inlineStr">
        <is>
          <t>F1A-186</t>
        </is>
      </c>
      <c r="B606" s="8" t="inlineStr">
        <is>
          <t>F1A</t>
        </is>
      </c>
      <c r="C606" s="8" t="inlineStr">
        <is>
          <t>6+1.49/J+1.52</t>
        </is>
      </c>
      <c r="D606" s="9" t="n">
        <v>31.488</v>
      </c>
      <c r="E606" s="9" t="n">
        <v>55.516</v>
      </c>
      <c r="F606" s="9" t="n">
        <v>0.6</v>
      </c>
      <c r="G606" s="9" t="n">
        <v>0.6</v>
      </c>
      <c r="H606" s="9" t="n">
        <v>0.3</v>
      </c>
      <c r="I606" s="9" t="n">
        <v>-0.15</v>
      </c>
      <c r="J606" s="9" t="n">
        <v>-0.45</v>
      </c>
      <c r="K606" s="9" t="n">
        <v>-0.6</v>
      </c>
      <c r="L606" s="9" t="n">
        <v>0.6</v>
      </c>
      <c r="M606" s="8" t="n">
        <v>1</v>
      </c>
      <c r="N606" s="8" t="inlineStr">
        <is>
          <t>1x I-220 ยาว 22 ม.</t>
        </is>
      </c>
      <c r="O606" s="8">
        <f>F606*G606*H606</f>
        <v/>
      </c>
      <c r="P606" s="8">
        <f>2*(F606+G606)*H606</f>
        <v/>
      </c>
      <c r="Q606" s="8">
        <f>IF(L606&gt;0,(F606+2*0.1)*(G606+2*0.1)*L606,0)</f>
        <v/>
      </c>
      <c r="R606" s="8">
        <f>(F606+0.2)*(G606+0.2)*0.1</f>
        <v/>
      </c>
      <c r="S606" s="8">
        <f>(F606+0.2)*(G606+0.2)*0.05</f>
        <v/>
      </c>
      <c r="T606" s="8">
        <f>INDEX('2-ฐานราก เหล็กเสริม'!$S:$S,MATCH(B606,'2-ฐานราก เหล็กเสริม'!$A:$A,0))</f>
        <v/>
      </c>
      <c r="U606" s="8" t="inlineStr">
        <is>
          <t>M41</t>
        </is>
      </c>
      <c r="V606" s="10" t="inlineStr">
        <is>
          <t>แบบ S201 (ตำแหน่ง) / ระดับรอยืนยัน</t>
        </is>
      </c>
    </row>
    <row r="607">
      <c r="A607" s="8" t="inlineStr">
        <is>
          <t>F1A-187</t>
        </is>
      </c>
      <c r="B607" s="8" t="inlineStr">
        <is>
          <t>F1A</t>
        </is>
      </c>
      <c r="C607" s="8" t="inlineStr">
        <is>
          <t>7-1.51/J+1.52</t>
        </is>
      </c>
      <c r="D607" s="9" t="n">
        <v>34.493</v>
      </c>
      <c r="E607" s="9" t="n">
        <v>55.516</v>
      </c>
      <c r="F607" s="9" t="n">
        <v>0.6</v>
      </c>
      <c r="G607" s="9" t="n">
        <v>0.6</v>
      </c>
      <c r="H607" s="9" t="n">
        <v>0.3</v>
      </c>
      <c r="I607" s="9" t="n">
        <v>-0.15</v>
      </c>
      <c r="J607" s="9" t="n">
        <v>-0.45</v>
      </c>
      <c r="K607" s="9" t="n">
        <v>-0.6</v>
      </c>
      <c r="L607" s="9" t="n">
        <v>0.6</v>
      </c>
      <c r="M607" s="8" t="n">
        <v>1</v>
      </c>
      <c r="N607" s="8" t="inlineStr">
        <is>
          <t>1x I-220 ยาว 22 ม.</t>
        </is>
      </c>
      <c r="O607" s="8">
        <f>F607*G607*H607</f>
        <v/>
      </c>
      <c r="P607" s="8">
        <f>2*(F607+G607)*H607</f>
        <v/>
      </c>
      <c r="Q607" s="8">
        <f>IF(L607&gt;0,(F607+2*0.1)*(G607+2*0.1)*L607,0)</f>
        <v/>
      </c>
      <c r="R607" s="8">
        <f>(F607+0.2)*(G607+0.2)*0.1</f>
        <v/>
      </c>
      <c r="S607" s="8">
        <f>(F607+0.2)*(G607+0.2)*0.05</f>
        <v/>
      </c>
      <c r="T607" s="8">
        <f>INDEX('2-ฐานราก เหล็กเสริม'!$S:$S,MATCH(B607,'2-ฐานราก เหล็กเสริม'!$A:$A,0))</f>
        <v/>
      </c>
      <c r="U607" s="8" t="inlineStr">
        <is>
          <t>M41</t>
        </is>
      </c>
      <c r="V607" s="10" t="inlineStr">
        <is>
          <t>แบบ S201 (ตำแหน่ง) / ระดับรอยืนยัน</t>
        </is>
      </c>
    </row>
    <row r="608">
      <c r="A608" s="8" t="inlineStr">
        <is>
          <t>F1A-188</t>
        </is>
      </c>
      <c r="B608" s="8" t="inlineStr">
        <is>
          <t>F1A</t>
        </is>
      </c>
      <c r="C608" s="8" t="inlineStr">
        <is>
          <t>7+1.49/J+1.52</t>
        </is>
      </c>
      <c r="D608" s="9" t="n">
        <v>37.492</v>
      </c>
      <c r="E608" s="9" t="n">
        <v>55.516</v>
      </c>
      <c r="F608" s="9" t="n">
        <v>0.6</v>
      </c>
      <c r="G608" s="9" t="n">
        <v>0.6</v>
      </c>
      <c r="H608" s="9" t="n">
        <v>0.3</v>
      </c>
      <c r="I608" s="9" t="n">
        <v>-0.15</v>
      </c>
      <c r="J608" s="9" t="n">
        <v>-0.45</v>
      </c>
      <c r="K608" s="9" t="n">
        <v>-0.6</v>
      </c>
      <c r="L608" s="9" t="n">
        <v>0.6</v>
      </c>
      <c r="M608" s="8" t="n">
        <v>1</v>
      </c>
      <c r="N608" s="8" t="inlineStr">
        <is>
          <t>1x I-220 ยาว 22 ม.</t>
        </is>
      </c>
      <c r="O608" s="8">
        <f>F608*G608*H608</f>
        <v/>
      </c>
      <c r="P608" s="8">
        <f>2*(F608+G608)*H608</f>
        <v/>
      </c>
      <c r="Q608" s="8">
        <f>IF(L608&gt;0,(F608+2*0.1)*(G608+2*0.1)*L608,0)</f>
        <v/>
      </c>
      <c r="R608" s="8">
        <f>(F608+0.2)*(G608+0.2)*0.1</f>
        <v/>
      </c>
      <c r="S608" s="8">
        <f>(F608+0.2)*(G608+0.2)*0.05</f>
        <v/>
      </c>
      <c r="T608" s="8">
        <f>INDEX('2-ฐานราก เหล็กเสริม'!$S:$S,MATCH(B608,'2-ฐานราก เหล็กเสริม'!$A:$A,0))</f>
        <v/>
      </c>
      <c r="U608" s="8" t="inlineStr">
        <is>
          <t>M41</t>
        </is>
      </c>
      <c r="V608" s="10" t="inlineStr">
        <is>
          <t>แบบ S201 (ตำแหน่ง) / ระดับรอยืนยัน</t>
        </is>
      </c>
    </row>
    <row r="609">
      <c r="A609" s="8" t="inlineStr">
        <is>
          <t>F1A-189</t>
        </is>
      </c>
      <c r="B609" s="8" t="inlineStr">
        <is>
          <t>F1A</t>
        </is>
      </c>
      <c r="C609" s="8" t="inlineStr">
        <is>
          <t>8-1.51/J+1.52</t>
        </is>
      </c>
      <c r="D609" s="9" t="n">
        <v>40.491</v>
      </c>
      <c r="E609" s="9" t="n">
        <v>55.516</v>
      </c>
      <c r="F609" s="9" t="n">
        <v>0.6</v>
      </c>
      <c r="G609" s="9" t="n">
        <v>0.6</v>
      </c>
      <c r="H609" s="9" t="n">
        <v>0.3</v>
      </c>
      <c r="I609" s="9" t="n">
        <v>-0.15</v>
      </c>
      <c r="J609" s="9" t="n">
        <v>-0.45</v>
      </c>
      <c r="K609" s="9" t="n">
        <v>-0.6</v>
      </c>
      <c r="L609" s="9" t="n">
        <v>0.6</v>
      </c>
      <c r="M609" s="8" t="n">
        <v>1</v>
      </c>
      <c r="N609" s="8" t="inlineStr">
        <is>
          <t>1x I-220 ยาว 22 ม.</t>
        </is>
      </c>
      <c r="O609" s="8">
        <f>F609*G609*H609</f>
        <v/>
      </c>
      <c r="P609" s="8">
        <f>2*(F609+G609)*H609</f>
        <v/>
      </c>
      <c r="Q609" s="8">
        <f>IF(L609&gt;0,(F609+2*0.1)*(G609+2*0.1)*L609,0)</f>
        <v/>
      </c>
      <c r="R609" s="8">
        <f>(F609+0.2)*(G609+0.2)*0.1</f>
        <v/>
      </c>
      <c r="S609" s="8">
        <f>(F609+0.2)*(G609+0.2)*0.05</f>
        <v/>
      </c>
      <c r="T609" s="8">
        <f>INDEX('2-ฐานราก เหล็กเสริม'!$S:$S,MATCH(B609,'2-ฐานราก เหล็กเสริม'!$A:$A,0))</f>
        <v/>
      </c>
      <c r="U609" s="8" t="inlineStr">
        <is>
          <t>M41</t>
        </is>
      </c>
      <c r="V609" s="10" t="inlineStr">
        <is>
          <t>แบบ S201 (ตำแหน่ง) / ระดับรอยืนยัน</t>
        </is>
      </c>
    </row>
    <row r="610">
      <c r="A610" s="8" t="inlineStr">
        <is>
          <t>F1A-190</t>
        </is>
      </c>
      <c r="B610" s="8" t="inlineStr">
        <is>
          <t>F1A</t>
        </is>
      </c>
      <c r="C610" s="8" t="inlineStr">
        <is>
          <t>8+1.49/J+1.52</t>
        </is>
      </c>
      <c r="D610" s="9" t="n">
        <v>43.49</v>
      </c>
      <c r="E610" s="9" t="n">
        <v>55.516</v>
      </c>
      <c r="F610" s="9" t="n">
        <v>0.6</v>
      </c>
      <c r="G610" s="9" t="n">
        <v>0.6</v>
      </c>
      <c r="H610" s="9" t="n">
        <v>0.3</v>
      </c>
      <c r="I610" s="9" t="n">
        <v>-0.15</v>
      </c>
      <c r="J610" s="9" t="n">
        <v>-0.45</v>
      </c>
      <c r="K610" s="9" t="n">
        <v>-0.6</v>
      </c>
      <c r="L610" s="9" t="n">
        <v>0.6</v>
      </c>
      <c r="M610" s="8" t="n">
        <v>1</v>
      </c>
      <c r="N610" s="8" t="inlineStr">
        <is>
          <t>1x I-220 ยาว 22 ม.</t>
        </is>
      </c>
      <c r="O610" s="8">
        <f>F610*G610*H610</f>
        <v/>
      </c>
      <c r="P610" s="8">
        <f>2*(F610+G610)*H610</f>
        <v/>
      </c>
      <c r="Q610" s="8">
        <f>IF(L610&gt;0,(F610+2*0.1)*(G610+2*0.1)*L610,0)</f>
        <v/>
      </c>
      <c r="R610" s="8">
        <f>(F610+0.2)*(G610+0.2)*0.1</f>
        <v/>
      </c>
      <c r="S610" s="8">
        <f>(F610+0.2)*(G610+0.2)*0.05</f>
        <v/>
      </c>
      <c r="T610" s="8">
        <f>INDEX('2-ฐานราก เหล็กเสริม'!$S:$S,MATCH(B610,'2-ฐานราก เหล็กเสริม'!$A:$A,0))</f>
        <v/>
      </c>
      <c r="U610" s="8" t="inlineStr">
        <is>
          <t>M41</t>
        </is>
      </c>
      <c r="V610" s="10" t="inlineStr">
        <is>
          <t>แบบ S201 (ตำแหน่ง) / ระดับรอยืนยัน</t>
        </is>
      </c>
    </row>
    <row r="611">
      <c r="A611" s="8" t="inlineStr">
        <is>
          <t>F1A-191</t>
        </is>
      </c>
      <c r="B611" s="8" t="inlineStr">
        <is>
          <t>F1A</t>
        </is>
      </c>
      <c r="C611" s="8" t="inlineStr">
        <is>
          <t>9-1.51/J+1.52</t>
        </is>
      </c>
      <c r="D611" s="9" t="n">
        <v>46.488</v>
      </c>
      <c r="E611" s="9" t="n">
        <v>55.516</v>
      </c>
      <c r="F611" s="9" t="n">
        <v>0.6</v>
      </c>
      <c r="G611" s="9" t="n">
        <v>0.6</v>
      </c>
      <c r="H611" s="9" t="n">
        <v>0.3</v>
      </c>
      <c r="I611" s="9" t="n">
        <v>-0.15</v>
      </c>
      <c r="J611" s="9" t="n">
        <v>-0.45</v>
      </c>
      <c r="K611" s="9" t="n">
        <v>-0.6</v>
      </c>
      <c r="L611" s="9" t="n">
        <v>0.6</v>
      </c>
      <c r="M611" s="8" t="n">
        <v>1</v>
      </c>
      <c r="N611" s="8" t="inlineStr">
        <is>
          <t>1x I-220 ยาว 22 ม.</t>
        </is>
      </c>
      <c r="O611" s="8">
        <f>F611*G611*H611</f>
        <v/>
      </c>
      <c r="P611" s="8">
        <f>2*(F611+G611)*H611</f>
        <v/>
      </c>
      <c r="Q611" s="8">
        <f>IF(L611&gt;0,(F611+2*0.1)*(G611+2*0.1)*L611,0)</f>
        <v/>
      </c>
      <c r="R611" s="8">
        <f>(F611+0.2)*(G611+0.2)*0.1</f>
        <v/>
      </c>
      <c r="S611" s="8">
        <f>(F611+0.2)*(G611+0.2)*0.05</f>
        <v/>
      </c>
      <c r="T611" s="8">
        <f>INDEX('2-ฐานราก เหล็กเสริม'!$S:$S,MATCH(B611,'2-ฐานราก เหล็กเสริม'!$A:$A,0))</f>
        <v/>
      </c>
      <c r="U611" s="8" t="inlineStr">
        <is>
          <t>M41</t>
        </is>
      </c>
      <c r="V611" s="10" t="inlineStr">
        <is>
          <t>แบบ S201 (ตำแหน่ง) / ระดับรอยืนยัน</t>
        </is>
      </c>
    </row>
    <row r="612">
      <c r="A612" s="8" t="inlineStr">
        <is>
          <t>F1A-192</t>
        </is>
      </c>
      <c r="B612" s="8" t="inlineStr">
        <is>
          <t>F1A</t>
        </is>
      </c>
      <c r="C612" s="8" t="inlineStr">
        <is>
          <t>9+1.49/J+1.52</t>
        </is>
      </c>
      <c r="D612" s="9" t="n">
        <v>49.494</v>
      </c>
      <c r="E612" s="9" t="n">
        <v>55.516</v>
      </c>
      <c r="F612" s="9" t="n">
        <v>0.6</v>
      </c>
      <c r="G612" s="9" t="n">
        <v>0.6</v>
      </c>
      <c r="H612" s="9" t="n">
        <v>0.3</v>
      </c>
      <c r="I612" s="9" t="n">
        <v>-0.15</v>
      </c>
      <c r="J612" s="9" t="n">
        <v>-0.45</v>
      </c>
      <c r="K612" s="9" t="n">
        <v>-0.6</v>
      </c>
      <c r="L612" s="9" t="n">
        <v>0.6</v>
      </c>
      <c r="M612" s="8" t="n">
        <v>1</v>
      </c>
      <c r="N612" s="8" t="inlineStr">
        <is>
          <t>1x I-220 ยาว 22 ม.</t>
        </is>
      </c>
      <c r="O612" s="8">
        <f>F612*G612*H612</f>
        <v/>
      </c>
      <c r="P612" s="8">
        <f>2*(F612+G612)*H612</f>
        <v/>
      </c>
      <c r="Q612" s="8">
        <f>IF(L612&gt;0,(F612+2*0.1)*(G612+2*0.1)*L612,0)</f>
        <v/>
      </c>
      <c r="R612" s="8">
        <f>(F612+0.2)*(G612+0.2)*0.1</f>
        <v/>
      </c>
      <c r="S612" s="8">
        <f>(F612+0.2)*(G612+0.2)*0.05</f>
        <v/>
      </c>
      <c r="T612" s="8">
        <f>INDEX('2-ฐานราก เหล็กเสริม'!$S:$S,MATCH(B612,'2-ฐานราก เหล็กเสริม'!$A:$A,0))</f>
        <v/>
      </c>
      <c r="U612" s="8" t="inlineStr">
        <is>
          <t>M41</t>
        </is>
      </c>
      <c r="V612" s="10" t="inlineStr">
        <is>
          <t>แบบ S201 (ตำแหน่ง) / ระดับรอยืนยัน</t>
        </is>
      </c>
    </row>
    <row r="613">
      <c r="A613" s="8" t="inlineStr">
        <is>
          <t>F1A-193</t>
        </is>
      </c>
      <c r="B613" s="8" t="inlineStr">
        <is>
          <t>F1A</t>
        </is>
      </c>
      <c r="C613" s="8" t="inlineStr">
        <is>
          <t>10-1.51/J+1.52</t>
        </is>
      </c>
      <c r="D613" s="9" t="n">
        <v>52.493</v>
      </c>
      <c r="E613" s="9" t="n">
        <v>55.516</v>
      </c>
      <c r="F613" s="9" t="n">
        <v>0.6</v>
      </c>
      <c r="G613" s="9" t="n">
        <v>0.6</v>
      </c>
      <c r="H613" s="9" t="n">
        <v>0.3</v>
      </c>
      <c r="I613" s="9" t="n">
        <v>-0.15</v>
      </c>
      <c r="J613" s="9" t="n">
        <v>-0.45</v>
      </c>
      <c r="K613" s="9" t="n">
        <v>-0.6</v>
      </c>
      <c r="L613" s="9" t="n">
        <v>0.6</v>
      </c>
      <c r="M613" s="8" t="n">
        <v>1</v>
      </c>
      <c r="N613" s="8" t="inlineStr">
        <is>
          <t>1x I-220 ยาว 22 ม.</t>
        </is>
      </c>
      <c r="O613" s="8">
        <f>F613*G613*H613</f>
        <v/>
      </c>
      <c r="P613" s="8">
        <f>2*(F613+G613)*H613</f>
        <v/>
      </c>
      <c r="Q613" s="8">
        <f>IF(L613&gt;0,(F613+2*0.1)*(G613+2*0.1)*L613,0)</f>
        <v/>
      </c>
      <c r="R613" s="8">
        <f>(F613+0.2)*(G613+0.2)*0.1</f>
        <v/>
      </c>
      <c r="S613" s="8">
        <f>(F613+0.2)*(G613+0.2)*0.05</f>
        <v/>
      </c>
      <c r="T613" s="8">
        <f>INDEX('2-ฐานราก เหล็กเสริม'!$S:$S,MATCH(B613,'2-ฐานราก เหล็กเสริม'!$A:$A,0))</f>
        <v/>
      </c>
      <c r="U613" s="8" t="inlineStr">
        <is>
          <t>M41</t>
        </is>
      </c>
      <c r="V613" s="10" t="inlineStr">
        <is>
          <t>แบบ S201 (ตำแหน่ง) / ระดับรอยืนยัน</t>
        </is>
      </c>
    </row>
    <row r="614">
      <c r="A614" s="8" t="inlineStr">
        <is>
          <t>F1A-194</t>
        </is>
      </c>
      <c r="B614" s="8" t="inlineStr">
        <is>
          <t>F1A</t>
        </is>
      </c>
      <c r="C614" s="8" t="inlineStr">
        <is>
          <t>10+1.49/J+1.52</t>
        </is>
      </c>
      <c r="D614" s="9" t="n">
        <v>55.492</v>
      </c>
      <c r="E614" s="9" t="n">
        <v>55.516</v>
      </c>
      <c r="F614" s="9" t="n">
        <v>0.6</v>
      </c>
      <c r="G614" s="9" t="n">
        <v>0.6</v>
      </c>
      <c r="H614" s="9" t="n">
        <v>0.3</v>
      </c>
      <c r="I614" s="9" t="n">
        <v>-0.15</v>
      </c>
      <c r="J614" s="9" t="n">
        <v>-0.45</v>
      </c>
      <c r="K614" s="9" t="n">
        <v>-0.6</v>
      </c>
      <c r="L614" s="9" t="n">
        <v>0.6</v>
      </c>
      <c r="M614" s="8" t="n">
        <v>1</v>
      </c>
      <c r="N614" s="8" t="inlineStr">
        <is>
          <t>1x I-220 ยาว 22 ม.</t>
        </is>
      </c>
      <c r="O614" s="8">
        <f>F614*G614*H614</f>
        <v/>
      </c>
      <c r="P614" s="8">
        <f>2*(F614+G614)*H614</f>
        <v/>
      </c>
      <c r="Q614" s="8">
        <f>IF(L614&gt;0,(F614+2*0.1)*(G614+2*0.1)*L614,0)</f>
        <v/>
      </c>
      <c r="R614" s="8">
        <f>(F614+0.2)*(G614+0.2)*0.1</f>
        <v/>
      </c>
      <c r="S614" s="8">
        <f>(F614+0.2)*(G614+0.2)*0.05</f>
        <v/>
      </c>
      <c r="T614" s="8">
        <f>INDEX('2-ฐานราก เหล็กเสริม'!$S:$S,MATCH(B614,'2-ฐานราก เหล็กเสริม'!$A:$A,0))</f>
        <v/>
      </c>
      <c r="U614" s="8" t="inlineStr">
        <is>
          <t>M41</t>
        </is>
      </c>
      <c r="V614" s="10" t="inlineStr">
        <is>
          <t>แบบ S201 (ตำแหน่ง) / ระดับรอยืนยัน</t>
        </is>
      </c>
    </row>
    <row r="615">
      <c r="A615" s="8" t="inlineStr">
        <is>
          <t>F1A-195</t>
        </is>
      </c>
      <c r="B615" s="8" t="inlineStr">
        <is>
          <t>F1A</t>
        </is>
      </c>
      <c r="C615" s="8" t="inlineStr">
        <is>
          <t>11-1.50/J+1.52</t>
        </is>
      </c>
      <c r="D615" s="9" t="n">
        <v>58.497</v>
      </c>
      <c r="E615" s="9" t="n">
        <v>55.516</v>
      </c>
      <c r="F615" s="9" t="n">
        <v>0.6</v>
      </c>
      <c r="G615" s="9" t="n">
        <v>0.6</v>
      </c>
      <c r="H615" s="9" t="n">
        <v>0.3</v>
      </c>
      <c r="I615" s="9" t="n">
        <v>-0.15</v>
      </c>
      <c r="J615" s="9" t="n">
        <v>-0.45</v>
      </c>
      <c r="K615" s="9" t="n">
        <v>-0.6</v>
      </c>
      <c r="L615" s="9" t="n">
        <v>0.6</v>
      </c>
      <c r="M615" s="8" t="n">
        <v>1</v>
      </c>
      <c r="N615" s="8" t="inlineStr">
        <is>
          <t>1x I-220 ยาว 22 ม.</t>
        </is>
      </c>
      <c r="O615" s="8">
        <f>F615*G615*H615</f>
        <v/>
      </c>
      <c r="P615" s="8">
        <f>2*(F615+G615)*H615</f>
        <v/>
      </c>
      <c r="Q615" s="8">
        <f>IF(L615&gt;0,(F615+2*0.1)*(G615+2*0.1)*L615,0)</f>
        <v/>
      </c>
      <c r="R615" s="8">
        <f>(F615+0.2)*(G615+0.2)*0.1</f>
        <v/>
      </c>
      <c r="S615" s="8">
        <f>(F615+0.2)*(G615+0.2)*0.05</f>
        <v/>
      </c>
      <c r="T615" s="8">
        <f>INDEX('2-ฐานราก เหล็กเสริม'!$S:$S,MATCH(B615,'2-ฐานราก เหล็กเสริม'!$A:$A,0))</f>
        <v/>
      </c>
      <c r="U615" s="8" t="inlineStr">
        <is>
          <t>M41</t>
        </is>
      </c>
      <c r="V615" s="10" t="inlineStr">
        <is>
          <t>แบบ S201 (ตำแหน่ง) / ระดับรอยืนยัน</t>
        </is>
      </c>
    </row>
    <row r="616">
      <c r="A616" s="8" t="inlineStr">
        <is>
          <t>F1A-196</t>
        </is>
      </c>
      <c r="B616" s="8" t="inlineStr">
        <is>
          <t>F1A</t>
        </is>
      </c>
      <c r="C616" s="8" t="inlineStr">
        <is>
          <t>11+1.49/J+1.52</t>
        </is>
      </c>
      <c r="D616" s="9" t="n">
        <v>61.489</v>
      </c>
      <c r="E616" s="9" t="n">
        <v>55.516</v>
      </c>
      <c r="F616" s="9" t="n">
        <v>0.6</v>
      </c>
      <c r="G616" s="9" t="n">
        <v>0.6</v>
      </c>
      <c r="H616" s="9" t="n">
        <v>0.3</v>
      </c>
      <c r="I616" s="9" t="n">
        <v>-0.15</v>
      </c>
      <c r="J616" s="9" t="n">
        <v>-0.45</v>
      </c>
      <c r="K616" s="9" t="n">
        <v>-0.6</v>
      </c>
      <c r="L616" s="9" t="n">
        <v>0.6</v>
      </c>
      <c r="M616" s="8" t="n">
        <v>1</v>
      </c>
      <c r="N616" s="8" t="inlineStr">
        <is>
          <t>1x I-220 ยาว 22 ม.</t>
        </is>
      </c>
      <c r="O616" s="8">
        <f>F616*G616*H616</f>
        <v/>
      </c>
      <c r="P616" s="8">
        <f>2*(F616+G616)*H616</f>
        <v/>
      </c>
      <c r="Q616" s="8">
        <f>IF(L616&gt;0,(F616+2*0.1)*(G616+2*0.1)*L616,0)</f>
        <v/>
      </c>
      <c r="R616" s="8">
        <f>(F616+0.2)*(G616+0.2)*0.1</f>
        <v/>
      </c>
      <c r="S616" s="8">
        <f>(F616+0.2)*(G616+0.2)*0.05</f>
        <v/>
      </c>
      <c r="T616" s="8">
        <f>INDEX('2-ฐานราก เหล็กเสริม'!$S:$S,MATCH(B616,'2-ฐานราก เหล็กเสริม'!$A:$A,0))</f>
        <v/>
      </c>
      <c r="U616" s="8" t="inlineStr">
        <is>
          <t>M41</t>
        </is>
      </c>
      <c r="V616" s="10" t="inlineStr">
        <is>
          <t>แบบ S201 (ตำแหน่ง) / ระดับรอยืนยัน</t>
        </is>
      </c>
    </row>
    <row r="617">
      <c r="A617" s="8" t="inlineStr">
        <is>
          <t>F1A-197</t>
        </is>
      </c>
      <c r="B617" s="8" t="inlineStr">
        <is>
          <t>F1A</t>
        </is>
      </c>
      <c r="C617" s="8" t="inlineStr">
        <is>
          <t>11+4.50/J+1.52</t>
        </is>
      </c>
      <c r="D617" s="9" t="n">
        <v>64.495</v>
      </c>
      <c r="E617" s="9" t="n">
        <v>55.516</v>
      </c>
      <c r="F617" s="9" t="n">
        <v>0.6</v>
      </c>
      <c r="G617" s="9" t="n">
        <v>0.6</v>
      </c>
      <c r="H617" s="9" t="n">
        <v>0.3</v>
      </c>
      <c r="I617" s="9" t="n">
        <v>-0.15</v>
      </c>
      <c r="J617" s="9" t="n">
        <v>-0.45</v>
      </c>
      <c r="K617" s="9" t="n">
        <v>-0.6</v>
      </c>
      <c r="L617" s="9" t="n">
        <v>0.6</v>
      </c>
      <c r="M617" s="8" t="n">
        <v>1</v>
      </c>
      <c r="N617" s="8" t="inlineStr">
        <is>
          <t>1x I-220 ยาว 22 ม.</t>
        </is>
      </c>
      <c r="O617" s="8">
        <f>F617*G617*H617</f>
        <v/>
      </c>
      <c r="P617" s="8">
        <f>2*(F617+G617)*H617</f>
        <v/>
      </c>
      <c r="Q617" s="8">
        <f>IF(L617&gt;0,(F617+2*0.1)*(G617+2*0.1)*L617,0)</f>
        <v/>
      </c>
      <c r="R617" s="8">
        <f>(F617+0.2)*(G617+0.2)*0.1</f>
        <v/>
      </c>
      <c r="S617" s="8">
        <f>(F617+0.2)*(G617+0.2)*0.05</f>
        <v/>
      </c>
      <c r="T617" s="8">
        <f>INDEX('2-ฐานราก เหล็กเสริม'!$S:$S,MATCH(B617,'2-ฐานราก เหล็กเสริม'!$A:$A,0))</f>
        <v/>
      </c>
      <c r="U617" s="8" t="inlineStr">
        <is>
          <t>M41</t>
        </is>
      </c>
      <c r="V617" s="10" t="inlineStr">
        <is>
          <t>แบบ S201 (ตำแหน่ง) / ระดับรอยืนยัน</t>
        </is>
      </c>
    </row>
    <row r="618">
      <c r="A618" s="8" t="inlineStr">
        <is>
          <t>F1A-198</t>
        </is>
      </c>
      <c r="B618" s="8" t="inlineStr">
        <is>
          <t>F1A</t>
        </is>
      </c>
      <c r="C618" s="8" t="inlineStr">
        <is>
          <t>11+7.49/J+1.52</t>
        </is>
      </c>
      <c r="D618" s="9" t="n">
        <v>67.49299999999999</v>
      </c>
      <c r="E618" s="9" t="n">
        <v>55.516</v>
      </c>
      <c r="F618" s="9" t="n">
        <v>0.6</v>
      </c>
      <c r="G618" s="9" t="n">
        <v>0.6</v>
      </c>
      <c r="H618" s="9" t="n">
        <v>0.3</v>
      </c>
      <c r="I618" s="9" t="n">
        <v>-0.15</v>
      </c>
      <c r="J618" s="9" t="n">
        <v>-0.45</v>
      </c>
      <c r="K618" s="9" t="n">
        <v>-0.6</v>
      </c>
      <c r="L618" s="9" t="n">
        <v>0.6</v>
      </c>
      <c r="M618" s="8" t="n">
        <v>1</v>
      </c>
      <c r="N618" s="8" t="inlineStr">
        <is>
          <t>1x I-220 ยาว 22 ม.</t>
        </is>
      </c>
      <c r="O618" s="8">
        <f>F618*G618*H618</f>
        <v/>
      </c>
      <c r="P618" s="8">
        <f>2*(F618+G618)*H618</f>
        <v/>
      </c>
      <c r="Q618" s="8">
        <f>IF(L618&gt;0,(F618+2*0.1)*(G618+2*0.1)*L618,0)</f>
        <v/>
      </c>
      <c r="R618" s="8">
        <f>(F618+0.2)*(G618+0.2)*0.1</f>
        <v/>
      </c>
      <c r="S618" s="8">
        <f>(F618+0.2)*(G618+0.2)*0.05</f>
        <v/>
      </c>
      <c r="T618" s="8">
        <f>INDEX('2-ฐานราก เหล็กเสริม'!$S:$S,MATCH(B618,'2-ฐานราก เหล็กเสริม'!$A:$A,0))</f>
        <v/>
      </c>
      <c r="U618" s="8" t="inlineStr">
        <is>
          <t>M41</t>
        </is>
      </c>
      <c r="V618" s="10" t="inlineStr">
        <is>
          <t>แบบ S201 (ตำแหน่ง) / ระดับรอยืนยัน</t>
        </is>
      </c>
    </row>
    <row r="619">
      <c r="A619" s="8" t="inlineStr">
        <is>
          <t>F1A-199</t>
        </is>
      </c>
      <c r="B619" s="8" t="inlineStr">
        <is>
          <t>F1A</t>
        </is>
      </c>
      <c r="C619" s="8" t="inlineStr">
        <is>
          <t>11+10.49/J+1.52</t>
        </is>
      </c>
      <c r="D619" s="9" t="n">
        <v>70.492</v>
      </c>
      <c r="E619" s="9" t="n">
        <v>55.516</v>
      </c>
      <c r="F619" s="9" t="n">
        <v>0.6</v>
      </c>
      <c r="G619" s="9" t="n">
        <v>0.6</v>
      </c>
      <c r="H619" s="9" t="n">
        <v>0.3</v>
      </c>
      <c r="I619" s="9" t="n">
        <v>-0.15</v>
      </c>
      <c r="J619" s="9" t="n">
        <v>-0.45</v>
      </c>
      <c r="K619" s="9" t="n">
        <v>-0.6</v>
      </c>
      <c r="L619" s="9" t="n">
        <v>0.6</v>
      </c>
      <c r="M619" s="8" t="n">
        <v>1</v>
      </c>
      <c r="N619" s="8" t="inlineStr">
        <is>
          <t>1x I-220 ยาว 22 ม.</t>
        </is>
      </c>
      <c r="O619" s="8">
        <f>F619*G619*H619</f>
        <v/>
      </c>
      <c r="P619" s="8">
        <f>2*(F619+G619)*H619</f>
        <v/>
      </c>
      <c r="Q619" s="8">
        <f>IF(L619&gt;0,(F619+2*0.1)*(G619+2*0.1)*L619,0)</f>
        <v/>
      </c>
      <c r="R619" s="8">
        <f>(F619+0.2)*(G619+0.2)*0.1</f>
        <v/>
      </c>
      <c r="S619" s="8">
        <f>(F619+0.2)*(G619+0.2)*0.05</f>
        <v/>
      </c>
      <c r="T619" s="8">
        <f>INDEX('2-ฐานราก เหล็กเสริม'!$S:$S,MATCH(B619,'2-ฐานราก เหล็กเสริม'!$A:$A,0))</f>
        <v/>
      </c>
      <c r="U619" s="8" t="inlineStr">
        <is>
          <t>M41</t>
        </is>
      </c>
      <c r="V619" s="10" t="inlineStr">
        <is>
          <t>แบบ S201 (ตำแหน่ง) / ระดับรอยืนยัน</t>
        </is>
      </c>
    </row>
    <row r="620">
      <c r="A620" s="8" t="inlineStr">
        <is>
          <t>F1A-200</t>
        </is>
      </c>
      <c r="B620" s="8" t="inlineStr">
        <is>
          <t>F1A</t>
        </is>
      </c>
      <c r="C620" s="8" t="inlineStr">
        <is>
          <t>1+1.49/J+3.21</t>
        </is>
      </c>
      <c r="D620" s="9" t="n">
        <v>1.487</v>
      </c>
      <c r="E620" s="9" t="n">
        <v>57.21</v>
      </c>
      <c r="F620" s="9" t="n">
        <v>0.6</v>
      </c>
      <c r="G620" s="9" t="n">
        <v>0.6</v>
      </c>
      <c r="H620" s="9" t="n">
        <v>0.3</v>
      </c>
      <c r="I620" s="9" t="n">
        <v>-0.15</v>
      </c>
      <c r="J620" s="9" t="n">
        <v>-0.45</v>
      </c>
      <c r="K620" s="9" t="n">
        <v>-0.6</v>
      </c>
      <c r="L620" s="9" t="n">
        <v>0.6</v>
      </c>
      <c r="M620" s="8" t="n">
        <v>1</v>
      </c>
      <c r="N620" s="8" t="inlineStr">
        <is>
          <t>1x I-220 ยาว 22 ม.</t>
        </is>
      </c>
      <c r="O620" s="8">
        <f>F620*G620*H620</f>
        <v/>
      </c>
      <c r="P620" s="8">
        <f>2*(F620+G620)*H620</f>
        <v/>
      </c>
      <c r="Q620" s="8">
        <f>IF(L620&gt;0,(F620+2*0.1)*(G620+2*0.1)*L620,0)</f>
        <v/>
      </c>
      <c r="R620" s="8">
        <f>(F620+0.2)*(G620+0.2)*0.1</f>
        <v/>
      </c>
      <c r="S620" s="8">
        <f>(F620+0.2)*(G620+0.2)*0.05</f>
        <v/>
      </c>
      <c r="T620" s="8">
        <f>INDEX('2-ฐานราก เหล็กเสริม'!$S:$S,MATCH(B620,'2-ฐานราก เหล็กเสริม'!$A:$A,0))</f>
        <v/>
      </c>
      <c r="U620" s="8" t="inlineStr">
        <is>
          <t>M41</t>
        </is>
      </c>
      <c r="V620" s="10" t="inlineStr">
        <is>
          <t>แบบ S201 (ตำแหน่ง) / ระดับรอยืนยัน</t>
        </is>
      </c>
    </row>
    <row r="621">
      <c r="A621" s="8" t="inlineStr">
        <is>
          <t>F1A-201</t>
        </is>
      </c>
      <c r="B621" s="8" t="inlineStr">
        <is>
          <t>F1A</t>
        </is>
      </c>
      <c r="C621" s="8" t="inlineStr">
        <is>
          <t>2-1.51/J+3.21</t>
        </is>
      </c>
      <c r="D621" s="9" t="n">
        <v>4.492</v>
      </c>
      <c r="E621" s="9" t="n">
        <v>57.21</v>
      </c>
      <c r="F621" s="9" t="n">
        <v>0.6</v>
      </c>
      <c r="G621" s="9" t="n">
        <v>0.6</v>
      </c>
      <c r="H621" s="9" t="n">
        <v>0.3</v>
      </c>
      <c r="I621" s="9" t="n">
        <v>-0.15</v>
      </c>
      <c r="J621" s="9" t="n">
        <v>-0.45</v>
      </c>
      <c r="K621" s="9" t="n">
        <v>-0.6</v>
      </c>
      <c r="L621" s="9" t="n">
        <v>0.6</v>
      </c>
      <c r="M621" s="8" t="n">
        <v>1</v>
      </c>
      <c r="N621" s="8" t="inlineStr">
        <is>
          <t>1x I-220 ยาว 22 ม.</t>
        </is>
      </c>
      <c r="O621" s="8">
        <f>F621*G621*H621</f>
        <v/>
      </c>
      <c r="P621" s="8">
        <f>2*(F621+G621)*H621</f>
        <v/>
      </c>
      <c r="Q621" s="8">
        <f>IF(L621&gt;0,(F621+2*0.1)*(G621+2*0.1)*L621,0)</f>
        <v/>
      </c>
      <c r="R621" s="8">
        <f>(F621+0.2)*(G621+0.2)*0.1</f>
        <v/>
      </c>
      <c r="S621" s="8">
        <f>(F621+0.2)*(G621+0.2)*0.05</f>
        <v/>
      </c>
      <c r="T621" s="8">
        <f>INDEX('2-ฐานราก เหล็กเสริม'!$S:$S,MATCH(B621,'2-ฐานราก เหล็กเสริม'!$A:$A,0))</f>
        <v/>
      </c>
      <c r="U621" s="8" t="inlineStr">
        <is>
          <t>M41</t>
        </is>
      </c>
      <c r="V621" s="10" t="inlineStr">
        <is>
          <t>แบบ S201 (ตำแหน่ง) / ระดับรอยืนยัน</t>
        </is>
      </c>
    </row>
    <row r="622">
      <c r="A622" s="8" t="inlineStr">
        <is>
          <t>F1A-202</t>
        </is>
      </c>
      <c r="B622" s="8" t="inlineStr">
        <is>
          <t>F1A</t>
        </is>
      </c>
      <c r="C622" s="8" t="inlineStr">
        <is>
          <t>2+1.48/J+3.71</t>
        </is>
      </c>
      <c r="D622" s="9" t="n">
        <v>7.484</v>
      </c>
      <c r="E622" s="9" t="n">
        <v>57.713</v>
      </c>
      <c r="F622" s="9" t="n">
        <v>0.6</v>
      </c>
      <c r="G622" s="9" t="n">
        <v>0.6</v>
      </c>
      <c r="H622" s="9" t="n">
        <v>0.3</v>
      </c>
      <c r="I622" s="9" t="n">
        <v>-0.15</v>
      </c>
      <c r="J622" s="9" t="n">
        <v>-0.45</v>
      </c>
      <c r="K622" s="9" t="n">
        <v>-0.6</v>
      </c>
      <c r="L622" s="9" t="n">
        <v>0.6</v>
      </c>
      <c r="M622" s="8" t="n">
        <v>1</v>
      </c>
      <c r="N622" s="8" t="inlineStr">
        <is>
          <t>1x I-220 ยาว 22 ม.</t>
        </is>
      </c>
      <c r="O622" s="8">
        <f>F622*G622*H622</f>
        <v/>
      </c>
      <c r="P622" s="8">
        <f>2*(F622+G622)*H622</f>
        <v/>
      </c>
      <c r="Q622" s="8">
        <f>IF(L622&gt;0,(F622+2*0.1)*(G622+2*0.1)*L622,0)</f>
        <v/>
      </c>
      <c r="R622" s="8">
        <f>(F622+0.2)*(G622+0.2)*0.1</f>
        <v/>
      </c>
      <c r="S622" s="8">
        <f>(F622+0.2)*(G622+0.2)*0.05</f>
        <v/>
      </c>
      <c r="T622" s="8">
        <f>INDEX('2-ฐานราก เหล็กเสริม'!$S:$S,MATCH(B622,'2-ฐานราก เหล็กเสริม'!$A:$A,0))</f>
        <v/>
      </c>
      <c r="U622" s="8" t="inlineStr">
        <is>
          <t>M41</t>
        </is>
      </c>
      <c r="V622" s="10" t="inlineStr">
        <is>
          <t>แบบ S201 (ตำแหน่ง) / ระดับรอยืนยัน</t>
        </is>
      </c>
    </row>
    <row r="623">
      <c r="A623" s="8" t="inlineStr">
        <is>
          <t>F1A-203</t>
        </is>
      </c>
      <c r="B623" s="8" t="inlineStr">
        <is>
          <t>F1A</t>
        </is>
      </c>
      <c r="C623" s="8" t="inlineStr">
        <is>
          <t>3-1.51/J+3.71</t>
        </is>
      </c>
      <c r="D623" s="9" t="n">
        <v>10.49</v>
      </c>
      <c r="E623" s="9" t="n">
        <v>57.713</v>
      </c>
      <c r="F623" s="9" t="n">
        <v>0.6</v>
      </c>
      <c r="G623" s="9" t="n">
        <v>0.6</v>
      </c>
      <c r="H623" s="9" t="n">
        <v>0.3</v>
      </c>
      <c r="I623" s="9" t="n">
        <v>-0.15</v>
      </c>
      <c r="J623" s="9" t="n">
        <v>-0.45</v>
      </c>
      <c r="K623" s="9" t="n">
        <v>-0.6</v>
      </c>
      <c r="L623" s="9" t="n">
        <v>0.6</v>
      </c>
      <c r="M623" s="8" t="n">
        <v>1</v>
      </c>
      <c r="N623" s="8" t="inlineStr">
        <is>
          <t>1x I-220 ยาว 22 ม.</t>
        </is>
      </c>
      <c r="O623" s="8">
        <f>F623*G623*H623</f>
        <v/>
      </c>
      <c r="P623" s="8">
        <f>2*(F623+G623)*H623</f>
        <v/>
      </c>
      <c r="Q623" s="8">
        <f>IF(L623&gt;0,(F623+2*0.1)*(G623+2*0.1)*L623,0)</f>
        <v/>
      </c>
      <c r="R623" s="8">
        <f>(F623+0.2)*(G623+0.2)*0.1</f>
        <v/>
      </c>
      <c r="S623" s="8">
        <f>(F623+0.2)*(G623+0.2)*0.05</f>
        <v/>
      </c>
      <c r="T623" s="8">
        <f>INDEX('2-ฐานราก เหล็กเสริม'!$S:$S,MATCH(B623,'2-ฐานราก เหล็กเสริม'!$A:$A,0))</f>
        <v/>
      </c>
      <c r="U623" s="8" t="inlineStr">
        <is>
          <t>M41</t>
        </is>
      </c>
      <c r="V623" s="10" t="inlineStr">
        <is>
          <t>แบบ S201 (ตำแหน่ง) / ระดับรอยืนยัน</t>
        </is>
      </c>
    </row>
    <row r="624">
      <c r="A624" s="8" t="inlineStr">
        <is>
          <t>F1A-204</t>
        </is>
      </c>
      <c r="B624" s="8" t="inlineStr">
        <is>
          <t>F1A</t>
        </is>
      </c>
      <c r="C624" s="8" t="inlineStr">
        <is>
          <t>3+1.49/J+4.41</t>
        </is>
      </c>
      <c r="D624" s="9" t="n">
        <v>13.488</v>
      </c>
      <c r="E624" s="9" t="n">
        <v>58.415</v>
      </c>
      <c r="F624" s="9" t="n">
        <v>0.6</v>
      </c>
      <c r="G624" s="9" t="n">
        <v>0.6</v>
      </c>
      <c r="H624" s="9" t="n">
        <v>0.3</v>
      </c>
      <c r="I624" s="9" t="n">
        <v>-0.15</v>
      </c>
      <c r="J624" s="9" t="n">
        <v>-0.45</v>
      </c>
      <c r="K624" s="9" t="n">
        <v>-0.6</v>
      </c>
      <c r="L624" s="9" t="n">
        <v>0.6</v>
      </c>
      <c r="M624" s="8" t="n">
        <v>1</v>
      </c>
      <c r="N624" s="8" t="inlineStr">
        <is>
          <t>1x I-220 ยาว 22 ม.</t>
        </is>
      </c>
      <c r="O624" s="8">
        <f>F624*G624*H624</f>
        <v/>
      </c>
      <c r="P624" s="8">
        <f>2*(F624+G624)*H624</f>
        <v/>
      </c>
      <c r="Q624" s="8">
        <f>IF(L624&gt;0,(F624+2*0.1)*(G624+2*0.1)*L624,0)</f>
        <v/>
      </c>
      <c r="R624" s="8">
        <f>(F624+0.2)*(G624+0.2)*0.1</f>
        <v/>
      </c>
      <c r="S624" s="8">
        <f>(F624+0.2)*(G624+0.2)*0.05</f>
        <v/>
      </c>
      <c r="T624" s="8">
        <f>INDEX('2-ฐานราก เหล็กเสริม'!$S:$S,MATCH(B624,'2-ฐานราก เหล็กเสริม'!$A:$A,0))</f>
        <v/>
      </c>
      <c r="U624" s="8" t="inlineStr">
        <is>
          <t>M41</t>
        </is>
      </c>
      <c r="V624" s="10" t="inlineStr">
        <is>
          <t>แบบ S201 (ตำแหน่ง) / ระดับรอยืนยัน</t>
        </is>
      </c>
    </row>
    <row r="625">
      <c r="A625" s="8" t="inlineStr">
        <is>
          <t>F1A-205</t>
        </is>
      </c>
      <c r="B625" s="8" t="inlineStr">
        <is>
          <t>F1A</t>
        </is>
      </c>
      <c r="C625" s="8" t="inlineStr">
        <is>
          <t>4-1.51/J+4.41</t>
        </is>
      </c>
      <c r="D625" s="9" t="n">
        <v>16.487</v>
      </c>
      <c r="E625" s="9" t="n">
        <v>58.415</v>
      </c>
      <c r="F625" s="9" t="n">
        <v>0.6</v>
      </c>
      <c r="G625" s="9" t="n">
        <v>0.6</v>
      </c>
      <c r="H625" s="9" t="n">
        <v>0.3</v>
      </c>
      <c r="I625" s="9" t="n">
        <v>-0.15</v>
      </c>
      <c r="J625" s="9" t="n">
        <v>-0.45</v>
      </c>
      <c r="K625" s="9" t="n">
        <v>-0.6</v>
      </c>
      <c r="L625" s="9" t="n">
        <v>0.6</v>
      </c>
      <c r="M625" s="8" t="n">
        <v>1</v>
      </c>
      <c r="N625" s="8" t="inlineStr">
        <is>
          <t>1x I-220 ยาว 22 ม.</t>
        </is>
      </c>
      <c r="O625" s="8">
        <f>F625*G625*H625</f>
        <v/>
      </c>
      <c r="P625" s="8">
        <f>2*(F625+G625)*H625</f>
        <v/>
      </c>
      <c r="Q625" s="8">
        <f>IF(L625&gt;0,(F625+2*0.1)*(G625+2*0.1)*L625,0)</f>
        <v/>
      </c>
      <c r="R625" s="8">
        <f>(F625+0.2)*(G625+0.2)*0.1</f>
        <v/>
      </c>
      <c r="S625" s="8">
        <f>(F625+0.2)*(G625+0.2)*0.05</f>
        <v/>
      </c>
      <c r="T625" s="8">
        <f>INDEX('2-ฐานราก เหล็กเสริม'!$S:$S,MATCH(B625,'2-ฐานราก เหล็กเสริม'!$A:$A,0))</f>
        <v/>
      </c>
      <c r="U625" s="8" t="inlineStr">
        <is>
          <t>M41</t>
        </is>
      </c>
      <c r="V625" s="10" t="inlineStr">
        <is>
          <t>แบบ S201 (ตำแหน่ง) / ระดับรอยืนยัน</t>
        </is>
      </c>
    </row>
    <row r="626">
      <c r="A626" s="8" t="inlineStr">
        <is>
          <t>F1A-206</t>
        </is>
      </c>
      <c r="B626" s="8" t="inlineStr">
        <is>
          <t>F1A</t>
        </is>
      </c>
      <c r="C626" s="8" t="inlineStr">
        <is>
          <t>4+1.49/J+4.51</t>
        </is>
      </c>
      <c r="D626" s="9" t="n">
        <v>19.493</v>
      </c>
      <c r="E626" s="9" t="n">
        <v>58.514</v>
      </c>
      <c r="F626" s="9" t="n">
        <v>0.6</v>
      </c>
      <c r="G626" s="9" t="n">
        <v>0.6</v>
      </c>
      <c r="H626" s="9" t="n">
        <v>0.3</v>
      </c>
      <c r="I626" s="9" t="n">
        <v>-0.15</v>
      </c>
      <c r="J626" s="9" t="n">
        <v>-0.45</v>
      </c>
      <c r="K626" s="9" t="n">
        <v>-0.6</v>
      </c>
      <c r="L626" s="9" t="n">
        <v>0.6</v>
      </c>
      <c r="M626" s="8" t="n">
        <v>1</v>
      </c>
      <c r="N626" s="8" t="inlineStr">
        <is>
          <t>1x I-220 ยาว 22 ม.</t>
        </is>
      </c>
      <c r="O626" s="8">
        <f>F626*G626*H626</f>
        <v/>
      </c>
      <c r="P626" s="8">
        <f>2*(F626+G626)*H626</f>
        <v/>
      </c>
      <c r="Q626" s="8">
        <f>IF(L626&gt;0,(F626+2*0.1)*(G626+2*0.1)*L626,0)</f>
        <v/>
      </c>
      <c r="R626" s="8">
        <f>(F626+0.2)*(G626+0.2)*0.1</f>
        <v/>
      </c>
      <c r="S626" s="8">
        <f>(F626+0.2)*(G626+0.2)*0.05</f>
        <v/>
      </c>
      <c r="T626" s="8">
        <f>INDEX('2-ฐานราก เหล็กเสริม'!$S:$S,MATCH(B626,'2-ฐานราก เหล็กเสริม'!$A:$A,0))</f>
        <v/>
      </c>
      <c r="U626" s="8" t="inlineStr">
        <is>
          <t>M41</t>
        </is>
      </c>
      <c r="V626" s="10" t="inlineStr">
        <is>
          <t>แบบ S201 (ตำแหน่ง) / ระดับรอยืนยัน</t>
        </is>
      </c>
    </row>
    <row r="627">
      <c r="A627" s="8" t="inlineStr">
        <is>
          <t>F1A-207</t>
        </is>
      </c>
      <c r="B627" s="8" t="inlineStr">
        <is>
          <t>F1A</t>
        </is>
      </c>
      <c r="C627" s="8" t="inlineStr">
        <is>
          <t>5-1.51/J+4.51</t>
        </is>
      </c>
      <c r="D627" s="9" t="n">
        <v>22.491</v>
      </c>
      <c r="E627" s="9" t="n">
        <v>58.514</v>
      </c>
      <c r="F627" s="9" t="n">
        <v>0.6</v>
      </c>
      <c r="G627" s="9" t="n">
        <v>0.6</v>
      </c>
      <c r="H627" s="9" t="n">
        <v>0.3</v>
      </c>
      <c r="I627" s="9" t="n">
        <v>-0.15</v>
      </c>
      <c r="J627" s="9" t="n">
        <v>-0.45</v>
      </c>
      <c r="K627" s="9" t="n">
        <v>-0.6</v>
      </c>
      <c r="L627" s="9" t="n">
        <v>0.6</v>
      </c>
      <c r="M627" s="8" t="n">
        <v>1</v>
      </c>
      <c r="N627" s="8" t="inlineStr">
        <is>
          <t>1x I-220 ยาว 22 ม.</t>
        </is>
      </c>
      <c r="O627" s="8">
        <f>F627*G627*H627</f>
        <v/>
      </c>
      <c r="P627" s="8">
        <f>2*(F627+G627)*H627</f>
        <v/>
      </c>
      <c r="Q627" s="8">
        <f>IF(L627&gt;0,(F627+2*0.1)*(G627+2*0.1)*L627,0)</f>
        <v/>
      </c>
      <c r="R627" s="8">
        <f>(F627+0.2)*(G627+0.2)*0.1</f>
        <v/>
      </c>
      <c r="S627" s="8">
        <f>(F627+0.2)*(G627+0.2)*0.05</f>
        <v/>
      </c>
      <c r="T627" s="8">
        <f>INDEX('2-ฐานราก เหล็กเสริม'!$S:$S,MATCH(B627,'2-ฐานราก เหล็กเสริม'!$A:$A,0))</f>
        <v/>
      </c>
      <c r="U627" s="8" t="inlineStr">
        <is>
          <t>M41</t>
        </is>
      </c>
      <c r="V627" s="10" t="inlineStr">
        <is>
          <t>แบบ S201 (ตำแหน่ง) / ระดับรอยืนยัน</t>
        </is>
      </c>
    </row>
    <row r="628">
      <c r="A628" s="8" t="inlineStr">
        <is>
          <t>F1A-208</t>
        </is>
      </c>
      <c r="B628" s="8" t="inlineStr">
        <is>
          <t>F1A</t>
        </is>
      </c>
      <c r="C628" s="8" t="inlineStr">
        <is>
          <t>7+1.49/J+4.51</t>
        </is>
      </c>
      <c r="D628" s="9" t="n">
        <v>37.492</v>
      </c>
      <c r="E628" s="9" t="n">
        <v>58.514</v>
      </c>
      <c r="F628" s="9" t="n">
        <v>0.6</v>
      </c>
      <c r="G628" s="9" t="n">
        <v>0.6</v>
      </c>
      <c r="H628" s="9" t="n">
        <v>0.3</v>
      </c>
      <c r="I628" s="9" t="n">
        <v>-0.15</v>
      </c>
      <c r="J628" s="9" t="n">
        <v>-0.45</v>
      </c>
      <c r="K628" s="9" t="n">
        <v>-0.6</v>
      </c>
      <c r="L628" s="9" t="n">
        <v>0.6</v>
      </c>
      <c r="M628" s="8" t="n">
        <v>1</v>
      </c>
      <c r="N628" s="8" t="inlineStr">
        <is>
          <t>1x I-220 ยาว 22 ม.</t>
        </is>
      </c>
      <c r="O628" s="8">
        <f>F628*G628*H628</f>
        <v/>
      </c>
      <c r="P628" s="8">
        <f>2*(F628+G628)*H628</f>
        <v/>
      </c>
      <c r="Q628" s="8">
        <f>IF(L628&gt;0,(F628+2*0.1)*(G628+2*0.1)*L628,0)</f>
        <v/>
      </c>
      <c r="R628" s="8">
        <f>(F628+0.2)*(G628+0.2)*0.1</f>
        <v/>
      </c>
      <c r="S628" s="8">
        <f>(F628+0.2)*(G628+0.2)*0.05</f>
        <v/>
      </c>
      <c r="T628" s="8">
        <f>INDEX('2-ฐานราก เหล็กเสริม'!$S:$S,MATCH(B628,'2-ฐานราก เหล็กเสริม'!$A:$A,0))</f>
        <v/>
      </c>
      <c r="U628" s="8" t="inlineStr">
        <is>
          <t>M41</t>
        </is>
      </c>
      <c r="V628" s="10" t="inlineStr">
        <is>
          <t>แบบ S201 (ตำแหน่ง) / ระดับรอยืนยัน</t>
        </is>
      </c>
    </row>
    <row r="629">
      <c r="A629" s="8" t="inlineStr">
        <is>
          <t>F1A-209</t>
        </is>
      </c>
      <c r="B629" s="8" t="inlineStr">
        <is>
          <t>F1A</t>
        </is>
      </c>
      <c r="C629" s="8" t="inlineStr">
        <is>
          <t>8-1.51/J+4.51</t>
        </is>
      </c>
      <c r="D629" s="9" t="n">
        <v>40.491</v>
      </c>
      <c r="E629" s="9" t="n">
        <v>58.514</v>
      </c>
      <c r="F629" s="9" t="n">
        <v>0.6</v>
      </c>
      <c r="G629" s="9" t="n">
        <v>0.6</v>
      </c>
      <c r="H629" s="9" t="n">
        <v>0.3</v>
      </c>
      <c r="I629" s="9" t="n">
        <v>-0.15</v>
      </c>
      <c r="J629" s="9" t="n">
        <v>-0.45</v>
      </c>
      <c r="K629" s="9" t="n">
        <v>-0.6</v>
      </c>
      <c r="L629" s="9" t="n">
        <v>0.6</v>
      </c>
      <c r="M629" s="8" t="n">
        <v>1</v>
      </c>
      <c r="N629" s="8" t="inlineStr">
        <is>
          <t>1x I-220 ยาว 22 ม.</t>
        </is>
      </c>
      <c r="O629" s="8">
        <f>F629*G629*H629</f>
        <v/>
      </c>
      <c r="P629" s="8">
        <f>2*(F629+G629)*H629</f>
        <v/>
      </c>
      <c r="Q629" s="8">
        <f>IF(L629&gt;0,(F629+2*0.1)*(G629+2*0.1)*L629,0)</f>
        <v/>
      </c>
      <c r="R629" s="8">
        <f>(F629+0.2)*(G629+0.2)*0.1</f>
        <v/>
      </c>
      <c r="S629" s="8">
        <f>(F629+0.2)*(G629+0.2)*0.05</f>
        <v/>
      </c>
      <c r="T629" s="8">
        <f>INDEX('2-ฐานราก เหล็กเสริม'!$S:$S,MATCH(B629,'2-ฐานราก เหล็กเสริม'!$A:$A,0))</f>
        <v/>
      </c>
      <c r="U629" s="8" t="inlineStr">
        <is>
          <t>M41</t>
        </is>
      </c>
      <c r="V629" s="10" t="inlineStr">
        <is>
          <t>แบบ S201 (ตำแหน่ง) / ระดับรอยืนยัน</t>
        </is>
      </c>
    </row>
    <row r="630">
      <c r="A630" s="8" t="inlineStr">
        <is>
          <t>F1A-210</t>
        </is>
      </c>
      <c r="B630" s="8" t="inlineStr">
        <is>
          <t>F1A</t>
        </is>
      </c>
      <c r="C630" s="8" t="inlineStr">
        <is>
          <t>8+1.49/J+4.51</t>
        </is>
      </c>
      <c r="D630" s="9" t="n">
        <v>43.49</v>
      </c>
      <c r="E630" s="9" t="n">
        <v>58.514</v>
      </c>
      <c r="F630" s="9" t="n">
        <v>0.6</v>
      </c>
      <c r="G630" s="9" t="n">
        <v>0.6</v>
      </c>
      <c r="H630" s="9" t="n">
        <v>0.3</v>
      </c>
      <c r="I630" s="9" t="n">
        <v>-0.15</v>
      </c>
      <c r="J630" s="9" t="n">
        <v>-0.45</v>
      </c>
      <c r="K630" s="9" t="n">
        <v>-0.6</v>
      </c>
      <c r="L630" s="9" t="n">
        <v>0.6</v>
      </c>
      <c r="M630" s="8" t="n">
        <v>1</v>
      </c>
      <c r="N630" s="8" t="inlineStr">
        <is>
          <t>1x I-220 ยาว 22 ม.</t>
        </is>
      </c>
      <c r="O630" s="8">
        <f>F630*G630*H630</f>
        <v/>
      </c>
      <c r="P630" s="8">
        <f>2*(F630+G630)*H630</f>
        <v/>
      </c>
      <c r="Q630" s="8">
        <f>IF(L630&gt;0,(F630+2*0.1)*(G630+2*0.1)*L630,0)</f>
        <v/>
      </c>
      <c r="R630" s="8">
        <f>(F630+0.2)*(G630+0.2)*0.1</f>
        <v/>
      </c>
      <c r="S630" s="8">
        <f>(F630+0.2)*(G630+0.2)*0.05</f>
        <v/>
      </c>
      <c r="T630" s="8">
        <f>INDEX('2-ฐานราก เหล็กเสริม'!$S:$S,MATCH(B630,'2-ฐานราก เหล็กเสริม'!$A:$A,0))</f>
        <v/>
      </c>
      <c r="U630" s="8" t="inlineStr">
        <is>
          <t>M41</t>
        </is>
      </c>
      <c r="V630" s="10" t="inlineStr">
        <is>
          <t>แบบ S201 (ตำแหน่ง) / ระดับรอยืนยัน</t>
        </is>
      </c>
    </row>
    <row r="631">
      <c r="A631" s="8" t="inlineStr">
        <is>
          <t>F1A-211</t>
        </is>
      </c>
      <c r="B631" s="8" t="inlineStr">
        <is>
          <t>F1A</t>
        </is>
      </c>
      <c r="C631" s="8" t="inlineStr">
        <is>
          <t>9-1.51/J+4.51</t>
        </is>
      </c>
      <c r="D631" s="9" t="n">
        <v>46.488</v>
      </c>
      <c r="E631" s="9" t="n">
        <v>58.514</v>
      </c>
      <c r="F631" s="9" t="n">
        <v>0.6</v>
      </c>
      <c r="G631" s="9" t="n">
        <v>0.6</v>
      </c>
      <c r="H631" s="9" t="n">
        <v>0.3</v>
      </c>
      <c r="I631" s="9" t="n">
        <v>-0.15</v>
      </c>
      <c r="J631" s="9" t="n">
        <v>-0.45</v>
      </c>
      <c r="K631" s="9" t="n">
        <v>-0.6</v>
      </c>
      <c r="L631" s="9" t="n">
        <v>0.6</v>
      </c>
      <c r="M631" s="8" t="n">
        <v>1</v>
      </c>
      <c r="N631" s="8" t="inlineStr">
        <is>
          <t>1x I-220 ยาว 22 ม.</t>
        </is>
      </c>
      <c r="O631" s="8">
        <f>F631*G631*H631</f>
        <v/>
      </c>
      <c r="P631" s="8">
        <f>2*(F631+G631)*H631</f>
        <v/>
      </c>
      <c r="Q631" s="8">
        <f>IF(L631&gt;0,(F631+2*0.1)*(G631+2*0.1)*L631,0)</f>
        <v/>
      </c>
      <c r="R631" s="8">
        <f>(F631+0.2)*(G631+0.2)*0.1</f>
        <v/>
      </c>
      <c r="S631" s="8">
        <f>(F631+0.2)*(G631+0.2)*0.05</f>
        <v/>
      </c>
      <c r="T631" s="8">
        <f>INDEX('2-ฐานราก เหล็กเสริม'!$S:$S,MATCH(B631,'2-ฐานราก เหล็กเสริม'!$A:$A,0))</f>
        <v/>
      </c>
      <c r="U631" s="8" t="inlineStr">
        <is>
          <t>M41</t>
        </is>
      </c>
      <c r="V631" s="10" t="inlineStr">
        <is>
          <t>แบบ S201 (ตำแหน่ง) / ระดับรอยืนยัน</t>
        </is>
      </c>
    </row>
    <row r="632">
      <c r="A632" s="8" t="inlineStr">
        <is>
          <t>F1A-212</t>
        </is>
      </c>
      <c r="B632" s="8" t="inlineStr">
        <is>
          <t>F1A</t>
        </is>
      </c>
      <c r="C632" s="8" t="inlineStr">
        <is>
          <t>9+1.49/J+4.51</t>
        </is>
      </c>
      <c r="D632" s="9" t="n">
        <v>49.494</v>
      </c>
      <c r="E632" s="9" t="n">
        <v>58.514</v>
      </c>
      <c r="F632" s="9" t="n">
        <v>0.6</v>
      </c>
      <c r="G632" s="9" t="n">
        <v>0.6</v>
      </c>
      <c r="H632" s="9" t="n">
        <v>0.3</v>
      </c>
      <c r="I632" s="9" t="n">
        <v>-0.15</v>
      </c>
      <c r="J632" s="9" t="n">
        <v>-0.45</v>
      </c>
      <c r="K632" s="9" t="n">
        <v>-0.6</v>
      </c>
      <c r="L632" s="9" t="n">
        <v>0.6</v>
      </c>
      <c r="M632" s="8" t="n">
        <v>1</v>
      </c>
      <c r="N632" s="8" t="inlineStr">
        <is>
          <t>1x I-220 ยาว 22 ม.</t>
        </is>
      </c>
      <c r="O632" s="8">
        <f>F632*G632*H632</f>
        <v/>
      </c>
      <c r="P632" s="8">
        <f>2*(F632+G632)*H632</f>
        <v/>
      </c>
      <c r="Q632" s="8">
        <f>IF(L632&gt;0,(F632+2*0.1)*(G632+2*0.1)*L632,0)</f>
        <v/>
      </c>
      <c r="R632" s="8">
        <f>(F632+0.2)*(G632+0.2)*0.1</f>
        <v/>
      </c>
      <c r="S632" s="8">
        <f>(F632+0.2)*(G632+0.2)*0.05</f>
        <v/>
      </c>
      <c r="T632" s="8">
        <f>INDEX('2-ฐานราก เหล็กเสริม'!$S:$S,MATCH(B632,'2-ฐานราก เหล็กเสริม'!$A:$A,0))</f>
        <v/>
      </c>
      <c r="U632" s="8" t="inlineStr">
        <is>
          <t>M41</t>
        </is>
      </c>
      <c r="V632" s="10" t="inlineStr">
        <is>
          <t>แบบ S201 (ตำแหน่ง) / ระดับรอยืนยัน</t>
        </is>
      </c>
    </row>
    <row r="633">
      <c r="A633" s="8" t="inlineStr">
        <is>
          <t>F1A-213</t>
        </is>
      </c>
      <c r="B633" s="8" t="inlineStr">
        <is>
          <t>F1A</t>
        </is>
      </c>
      <c r="C633" s="8" t="inlineStr">
        <is>
          <t>10-1.51/J+4.51</t>
        </is>
      </c>
      <c r="D633" s="9" t="n">
        <v>52.493</v>
      </c>
      <c r="E633" s="9" t="n">
        <v>58.514</v>
      </c>
      <c r="F633" s="9" t="n">
        <v>0.6</v>
      </c>
      <c r="G633" s="9" t="n">
        <v>0.6</v>
      </c>
      <c r="H633" s="9" t="n">
        <v>0.3</v>
      </c>
      <c r="I633" s="9" t="n">
        <v>-0.15</v>
      </c>
      <c r="J633" s="9" t="n">
        <v>-0.45</v>
      </c>
      <c r="K633" s="9" t="n">
        <v>-0.6</v>
      </c>
      <c r="L633" s="9" t="n">
        <v>0.6</v>
      </c>
      <c r="M633" s="8" t="n">
        <v>1</v>
      </c>
      <c r="N633" s="8" t="inlineStr">
        <is>
          <t>1x I-220 ยาว 22 ม.</t>
        </is>
      </c>
      <c r="O633" s="8">
        <f>F633*G633*H633</f>
        <v/>
      </c>
      <c r="P633" s="8">
        <f>2*(F633+G633)*H633</f>
        <v/>
      </c>
      <c r="Q633" s="8">
        <f>IF(L633&gt;0,(F633+2*0.1)*(G633+2*0.1)*L633,0)</f>
        <v/>
      </c>
      <c r="R633" s="8">
        <f>(F633+0.2)*(G633+0.2)*0.1</f>
        <v/>
      </c>
      <c r="S633" s="8">
        <f>(F633+0.2)*(G633+0.2)*0.05</f>
        <v/>
      </c>
      <c r="T633" s="8">
        <f>INDEX('2-ฐานราก เหล็กเสริม'!$S:$S,MATCH(B633,'2-ฐานราก เหล็กเสริม'!$A:$A,0))</f>
        <v/>
      </c>
      <c r="U633" s="8" t="inlineStr">
        <is>
          <t>M41</t>
        </is>
      </c>
      <c r="V633" s="10" t="inlineStr">
        <is>
          <t>แบบ S201 (ตำแหน่ง) / ระดับรอยืนยัน</t>
        </is>
      </c>
    </row>
    <row r="634">
      <c r="A634" s="8" t="inlineStr">
        <is>
          <t>F1A-214</t>
        </is>
      </c>
      <c r="B634" s="8" t="inlineStr">
        <is>
          <t>F1A</t>
        </is>
      </c>
      <c r="C634" s="8" t="inlineStr">
        <is>
          <t>10+1.49/J+4.51</t>
        </is>
      </c>
      <c r="D634" s="9" t="n">
        <v>55.492</v>
      </c>
      <c r="E634" s="9" t="n">
        <v>58.514</v>
      </c>
      <c r="F634" s="9" t="n">
        <v>0.6</v>
      </c>
      <c r="G634" s="9" t="n">
        <v>0.6</v>
      </c>
      <c r="H634" s="9" t="n">
        <v>0.3</v>
      </c>
      <c r="I634" s="9" t="n">
        <v>-0.15</v>
      </c>
      <c r="J634" s="9" t="n">
        <v>-0.45</v>
      </c>
      <c r="K634" s="9" t="n">
        <v>-0.6</v>
      </c>
      <c r="L634" s="9" t="n">
        <v>0.6</v>
      </c>
      <c r="M634" s="8" t="n">
        <v>1</v>
      </c>
      <c r="N634" s="8" t="inlineStr">
        <is>
          <t>1x I-220 ยาว 22 ม.</t>
        </is>
      </c>
      <c r="O634" s="8">
        <f>F634*G634*H634</f>
        <v/>
      </c>
      <c r="P634" s="8">
        <f>2*(F634+G634)*H634</f>
        <v/>
      </c>
      <c r="Q634" s="8">
        <f>IF(L634&gt;0,(F634+2*0.1)*(G634+2*0.1)*L634,0)</f>
        <v/>
      </c>
      <c r="R634" s="8">
        <f>(F634+0.2)*(G634+0.2)*0.1</f>
        <v/>
      </c>
      <c r="S634" s="8">
        <f>(F634+0.2)*(G634+0.2)*0.05</f>
        <v/>
      </c>
      <c r="T634" s="8">
        <f>INDEX('2-ฐานราก เหล็กเสริม'!$S:$S,MATCH(B634,'2-ฐานราก เหล็กเสริม'!$A:$A,0))</f>
        <v/>
      </c>
      <c r="U634" s="8" t="inlineStr">
        <is>
          <t>M41</t>
        </is>
      </c>
      <c r="V634" s="10" t="inlineStr">
        <is>
          <t>แบบ S201 (ตำแหน่ง) / ระดับรอยืนยัน</t>
        </is>
      </c>
    </row>
    <row r="635">
      <c r="A635" s="8" t="inlineStr">
        <is>
          <t>F1A-215</t>
        </is>
      </c>
      <c r="B635" s="8" t="inlineStr">
        <is>
          <t>F1A</t>
        </is>
      </c>
      <c r="C635" s="8" t="inlineStr">
        <is>
          <t>11-1.50/J+4.51</t>
        </is>
      </c>
      <c r="D635" s="9" t="n">
        <v>58.497</v>
      </c>
      <c r="E635" s="9" t="n">
        <v>58.514</v>
      </c>
      <c r="F635" s="9" t="n">
        <v>0.6</v>
      </c>
      <c r="G635" s="9" t="n">
        <v>0.6</v>
      </c>
      <c r="H635" s="9" t="n">
        <v>0.3</v>
      </c>
      <c r="I635" s="9" t="n">
        <v>-0.15</v>
      </c>
      <c r="J635" s="9" t="n">
        <v>-0.45</v>
      </c>
      <c r="K635" s="9" t="n">
        <v>-0.6</v>
      </c>
      <c r="L635" s="9" t="n">
        <v>0.6</v>
      </c>
      <c r="M635" s="8" t="n">
        <v>1</v>
      </c>
      <c r="N635" s="8" t="inlineStr">
        <is>
          <t>1x I-220 ยาว 22 ม.</t>
        </is>
      </c>
      <c r="O635" s="8">
        <f>F635*G635*H635</f>
        <v/>
      </c>
      <c r="P635" s="8">
        <f>2*(F635+G635)*H635</f>
        <v/>
      </c>
      <c r="Q635" s="8">
        <f>IF(L635&gt;0,(F635+2*0.1)*(G635+2*0.1)*L635,0)</f>
        <v/>
      </c>
      <c r="R635" s="8">
        <f>(F635+0.2)*(G635+0.2)*0.1</f>
        <v/>
      </c>
      <c r="S635" s="8">
        <f>(F635+0.2)*(G635+0.2)*0.05</f>
        <v/>
      </c>
      <c r="T635" s="8">
        <f>INDEX('2-ฐานราก เหล็กเสริม'!$S:$S,MATCH(B635,'2-ฐานราก เหล็กเสริม'!$A:$A,0))</f>
        <v/>
      </c>
      <c r="U635" s="8" t="inlineStr">
        <is>
          <t>M41</t>
        </is>
      </c>
      <c r="V635" s="10" t="inlineStr">
        <is>
          <t>แบบ S201 (ตำแหน่ง) / ระดับรอยืนยัน</t>
        </is>
      </c>
    </row>
    <row r="636">
      <c r="A636" s="8" t="inlineStr">
        <is>
          <t>F1A-216</t>
        </is>
      </c>
      <c r="B636" s="8" t="inlineStr">
        <is>
          <t>F1A</t>
        </is>
      </c>
      <c r="C636" s="8" t="inlineStr">
        <is>
          <t>11+1.49/J+4.51</t>
        </is>
      </c>
      <c r="D636" s="9" t="n">
        <v>61.489</v>
      </c>
      <c r="E636" s="9" t="n">
        <v>58.514</v>
      </c>
      <c r="F636" s="9" t="n">
        <v>0.6</v>
      </c>
      <c r="G636" s="9" t="n">
        <v>0.6</v>
      </c>
      <c r="H636" s="9" t="n">
        <v>0.3</v>
      </c>
      <c r="I636" s="9" t="n">
        <v>-0.15</v>
      </c>
      <c r="J636" s="9" t="n">
        <v>-0.45</v>
      </c>
      <c r="K636" s="9" t="n">
        <v>-0.6</v>
      </c>
      <c r="L636" s="9" t="n">
        <v>0.6</v>
      </c>
      <c r="M636" s="8" t="n">
        <v>1</v>
      </c>
      <c r="N636" s="8" t="inlineStr">
        <is>
          <t>1x I-220 ยาว 22 ม.</t>
        </is>
      </c>
      <c r="O636" s="8">
        <f>F636*G636*H636</f>
        <v/>
      </c>
      <c r="P636" s="8">
        <f>2*(F636+G636)*H636</f>
        <v/>
      </c>
      <c r="Q636" s="8">
        <f>IF(L636&gt;0,(F636+2*0.1)*(G636+2*0.1)*L636,0)</f>
        <v/>
      </c>
      <c r="R636" s="8">
        <f>(F636+0.2)*(G636+0.2)*0.1</f>
        <v/>
      </c>
      <c r="S636" s="8">
        <f>(F636+0.2)*(G636+0.2)*0.05</f>
        <v/>
      </c>
      <c r="T636" s="8">
        <f>INDEX('2-ฐานราก เหล็กเสริม'!$S:$S,MATCH(B636,'2-ฐานราก เหล็กเสริม'!$A:$A,0))</f>
        <v/>
      </c>
      <c r="U636" s="8" t="inlineStr">
        <is>
          <t>M41</t>
        </is>
      </c>
      <c r="V636" s="10" t="inlineStr">
        <is>
          <t>แบบ S201 (ตำแหน่ง) / ระดับรอยืนยัน</t>
        </is>
      </c>
    </row>
    <row r="637">
      <c r="A637" s="8" t="inlineStr">
        <is>
          <t>F1A-217</t>
        </is>
      </c>
      <c r="B637" s="8" t="inlineStr">
        <is>
          <t>F1A</t>
        </is>
      </c>
      <c r="C637" s="8" t="inlineStr">
        <is>
          <t>11+4.50/J+4.51</t>
        </is>
      </c>
      <c r="D637" s="9" t="n">
        <v>64.495</v>
      </c>
      <c r="E637" s="9" t="n">
        <v>58.514</v>
      </c>
      <c r="F637" s="9" t="n">
        <v>0.6</v>
      </c>
      <c r="G637" s="9" t="n">
        <v>0.6</v>
      </c>
      <c r="H637" s="9" t="n">
        <v>0.3</v>
      </c>
      <c r="I637" s="9" t="n">
        <v>-0.15</v>
      </c>
      <c r="J637" s="9" t="n">
        <v>-0.45</v>
      </c>
      <c r="K637" s="9" t="n">
        <v>-0.6</v>
      </c>
      <c r="L637" s="9" t="n">
        <v>0.6</v>
      </c>
      <c r="M637" s="8" t="n">
        <v>1</v>
      </c>
      <c r="N637" s="8" t="inlineStr">
        <is>
          <t>1x I-220 ยาว 22 ม.</t>
        </is>
      </c>
      <c r="O637" s="8">
        <f>F637*G637*H637</f>
        <v/>
      </c>
      <c r="P637" s="8">
        <f>2*(F637+G637)*H637</f>
        <v/>
      </c>
      <c r="Q637" s="8">
        <f>IF(L637&gt;0,(F637+2*0.1)*(G637+2*0.1)*L637,0)</f>
        <v/>
      </c>
      <c r="R637" s="8">
        <f>(F637+0.2)*(G637+0.2)*0.1</f>
        <v/>
      </c>
      <c r="S637" s="8">
        <f>(F637+0.2)*(G637+0.2)*0.05</f>
        <v/>
      </c>
      <c r="T637" s="8">
        <f>INDEX('2-ฐานราก เหล็กเสริม'!$S:$S,MATCH(B637,'2-ฐานราก เหล็กเสริม'!$A:$A,0))</f>
        <v/>
      </c>
      <c r="U637" s="8" t="inlineStr">
        <is>
          <t>M41</t>
        </is>
      </c>
      <c r="V637" s="10" t="inlineStr">
        <is>
          <t>แบบ S201 (ตำแหน่ง) / ระดับรอยืนยัน</t>
        </is>
      </c>
    </row>
    <row r="638">
      <c r="A638" s="8" t="inlineStr">
        <is>
          <t>F1A-218</t>
        </is>
      </c>
      <c r="B638" s="8" t="inlineStr">
        <is>
          <t>F1A</t>
        </is>
      </c>
      <c r="C638" s="8" t="inlineStr">
        <is>
          <t>11+7.49/J+4.51</t>
        </is>
      </c>
      <c r="D638" s="9" t="n">
        <v>67.49299999999999</v>
      </c>
      <c r="E638" s="9" t="n">
        <v>58.514</v>
      </c>
      <c r="F638" s="9" t="n">
        <v>0.6</v>
      </c>
      <c r="G638" s="9" t="n">
        <v>0.6</v>
      </c>
      <c r="H638" s="9" t="n">
        <v>0.3</v>
      </c>
      <c r="I638" s="9" t="n">
        <v>-0.15</v>
      </c>
      <c r="J638" s="9" t="n">
        <v>-0.45</v>
      </c>
      <c r="K638" s="9" t="n">
        <v>-0.6</v>
      </c>
      <c r="L638" s="9" t="n">
        <v>0.6</v>
      </c>
      <c r="M638" s="8" t="n">
        <v>1</v>
      </c>
      <c r="N638" s="8" t="inlineStr">
        <is>
          <t>1x I-220 ยาว 22 ม.</t>
        </is>
      </c>
      <c r="O638" s="8">
        <f>F638*G638*H638</f>
        <v/>
      </c>
      <c r="P638" s="8">
        <f>2*(F638+G638)*H638</f>
        <v/>
      </c>
      <c r="Q638" s="8">
        <f>IF(L638&gt;0,(F638+2*0.1)*(G638+2*0.1)*L638,0)</f>
        <v/>
      </c>
      <c r="R638" s="8">
        <f>(F638+0.2)*(G638+0.2)*0.1</f>
        <v/>
      </c>
      <c r="S638" s="8">
        <f>(F638+0.2)*(G638+0.2)*0.05</f>
        <v/>
      </c>
      <c r="T638" s="8">
        <f>INDEX('2-ฐานราก เหล็กเสริม'!$S:$S,MATCH(B638,'2-ฐานราก เหล็กเสริม'!$A:$A,0))</f>
        <v/>
      </c>
      <c r="U638" s="8" t="inlineStr">
        <is>
          <t>M41</t>
        </is>
      </c>
      <c r="V638" s="10" t="inlineStr">
        <is>
          <t>แบบ S201 (ตำแหน่ง) / ระดับรอยืนยัน</t>
        </is>
      </c>
    </row>
    <row r="639">
      <c r="A639" s="8" t="inlineStr">
        <is>
          <t>F1A-219</t>
        </is>
      </c>
      <c r="B639" s="8" t="inlineStr">
        <is>
          <t>F1A</t>
        </is>
      </c>
      <c r="C639" s="8" t="inlineStr">
        <is>
          <t>11+10.49/J+4.51</t>
        </is>
      </c>
      <c r="D639" s="9" t="n">
        <v>70.492</v>
      </c>
      <c r="E639" s="9" t="n">
        <v>58.514</v>
      </c>
      <c r="F639" s="9" t="n">
        <v>0.6</v>
      </c>
      <c r="G639" s="9" t="n">
        <v>0.6</v>
      </c>
      <c r="H639" s="9" t="n">
        <v>0.3</v>
      </c>
      <c r="I639" s="9" t="n">
        <v>-0.15</v>
      </c>
      <c r="J639" s="9" t="n">
        <v>-0.45</v>
      </c>
      <c r="K639" s="9" t="n">
        <v>-0.6</v>
      </c>
      <c r="L639" s="9" t="n">
        <v>0.6</v>
      </c>
      <c r="M639" s="8" t="n">
        <v>1</v>
      </c>
      <c r="N639" s="8" t="inlineStr">
        <is>
          <t>1x I-220 ยาว 22 ม.</t>
        </is>
      </c>
      <c r="O639" s="8">
        <f>F639*G639*H639</f>
        <v/>
      </c>
      <c r="P639" s="8">
        <f>2*(F639+G639)*H639</f>
        <v/>
      </c>
      <c r="Q639" s="8">
        <f>IF(L639&gt;0,(F639+2*0.1)*(G639+2*0.1)*L639,0)</f>
        <v/>
      </c>
      <c r="R639" s="8">
        <f>(F639+0.2)*(G639+0.2)*0.1</f>
        <v/>
      </c>
      <c r="S639" s="8">
        <f>(F639+0.2)*(G639+0.2)*0.05</f>
        <v/>
      </c>
      <c r="T639" s="8">
        <f>INDEX('2-ฐานราก เหล็กเสริม'!$S:$S,MATCH(B639,'2-ฐานราก เหล็กเสริม'!$A:$A,0))</f>
        <v/>
      </c>
      <c r="U639" s="8" t="inlineStr">
        <is>
          <t>M41</t>
        </is>
      </c>
      <c r="V639" s="10" t="inlineStr">
        <is>
          <t>แบบ S201 (ตำแหน่ง) / ระดับรอยืนยัน</t>
        </is>
      </c>
    </row>
    <row r="640">
      <c r="A640" s="8" t="inlineStr">
        <is>
          <t>F1A-220</t>
        </is>
      </c>
      <c r="B640" s="8" t="inlineStr">
        <is>
          <t>F1A</t>
        </is>
      </c>
      <c r="C640" s="8" t="inlineStr">
        <is>
          <t>5+1.49/J+5.51</t>
        </is>
      </c>
      <c r="D640" s="9" t="n">
        <v>25.49</v>
      </c>
      <c r="E640" s="9" t="n">
        <v>59.514</v>
      </c>
      <c r="F640" s="9" t="n">
        <v>0.6</v>
      </c>
      <c r="G640" s="9" t="n">
        <v>0.6</v>
      </c>
      <c r="H640" s="9" t="n">
        <v>0.3</v>
      </c>
      <c r="I640" s="9" t="n">
        <v>-0.15</v>
      </c>
      <c r="J640" s="9" t="n">
        <v>-0.45</v>
      </c>
      <c r="K640" s="9" t="n">
        <v>-0.6</v>
      </c>
      <c r="L640" s="9" t="n">
        <v>0.6</v>
      </c>
      <c r="M640" s="8" t="n">
        <v>1</v>
      </c>
      <c r="N640" s="8" t="inlineStr">
        <is>
          <t>1x I-220 ยาว 22 ม.</t>
        </is>
      </c>
      <c r="O640" s="8">
        <f>F640*G640*H640</f>
        <v/>
      </c>
      <c r="P640" s="8">
        <f>2*(F640+G640)*H640</f>
        <v/>
      </c>
      <c r="Q640" s="8">
        <f>IF(L640&gt;0,(F640+2*0.1)*(G640+2*0.1)*L640,0)</f>
        <v/>
      </c>
      <c r="R640" s="8">
        <f>(F640+0.2)*(G640+0.2)*0.1</f>
        <v/>
      </c>
      <c r="S640" s="8">
        <f>(F640+0.2)*(G640+0.2)*0.05</f>
        <v/>
      </c>
      <c r="T640" s="8">
        <f>INDEX('2-ฐานราก เหล็กเสริม'!$S:$S,MATCH(B640,'2-ฐานราก เหล็กเสริม'!$A:$A,0))</f>
        <v/>
      </c>
      <c r="U640" s="8" t="inlineStr">
        <is>
          <t>M41</t>
        </is>
      </c>
      <c r="V640" s="10" t="inlineStr">
        <is>
          <t>แบบ S201 (ตำแหน่ง) / ระดับรอยืนยัน</t>
        </is>
      </c>
    </row>
    <row r="641">
      <c r="A641" s="8" t="inlineStr">
        <is>
          <t>F1A-221</t>
        </is>
      </c>
      <c r="B641" s="8" t="inlineStr">
        <is>
          <t>F1A</t>
        </is>
      </c>
      <c r="C641" s="8" t="inlineStr">
        <is>
          <t>6-1.51/J+5.51</t>
        </is>
      </c>
      <c r="D641" s="9" t="n">
        <v>28.489</v>
      </c>
      <c r="E641" s="9" t="n">
        <v>59.514</v>
      </c>
      <c r="F641" s="9" t="n">
        <v>0.6</v>
      </c>
      <c r="G641" s="9" t="n">
        <v>0.6</v>
      </c>
      <c r="H641" s="9" t="n">
        <v>0.3</v>
      </c>
      <c r="I641" s="9" t="n">
        <v>-0.15</v>
      </c>
      <c r="J641" s="9" t="n">
        <v>-0.45</v>
      </c>
      <c r="K641" s="9" t="n">
        <v>-0.6</v>
      </c>
      <c r="L641" s="9" t="n">
        <v>0.6</v>
      </c>
      <c r="M641" s="8" t="n">
        <v>1</v>
      </c>
      <c r="N641" s="8" t="inlineStr">
        <is>
          <t>1x I-220 ยาว 22 ม.</t>
        </is>
      </c>
      <c r="O641" s="8">
        <f>F641*G641*H641</f>
        <v/>
      </c>
      <c r="P641" s="8">
        <f>2*(F641+G641)*H641</f>
        <v/>
      </c>
      <c r="Q641" s="8">
        <f>IF(L641&gt;0,(F641+2*0.1)*(G641+2*0.1)*L641,0)</f>
        <v/>
      </c>
      <c r="R641" s="8">
        <f>(F641+0.2)*(G641+0.2)*0.1</f>
        <v/>
      </c>
      <c r="S641" s="8">
        <f>(F641+0.2)*(G641+0.2)*0.05</f>
        <v/>
      </c>
      <c r="T641" s="8">
        <f>INDEX('2-ฐานราก เหล็กเสริม'!$S:$S,MATCH(B641,'2-ฐานราก เหล็กเสริม'!$A:$A,0))</f>
        <v/>
      </c>
      <c r="U641" s="8" t="inlineStr">
        <is>
          <t>M41</t>
        </is>
      </c>
      <c r="V641" s="10" t="inlineStr">
        <is>
          <t>แบบ S201 (ตำแหน่ง) / ระดับรอยืนยัน</t>
        </is>
      </c>
    </row>
    <row r="642">
      <c r="A642" s="8" t="inlineStr">
        <is>
          <t>F1A-222</t>
        </is>
      </c>
      <c r="B642" s="8" t="inlineStr">
        <is>
          <t>F1A</t>
        </is>
      </c>
      <c r="C642" s="8" t="inlineStr">
        <is>
          <t>6+1.49/J+5.51</t>
        </is>
      </c>
      <c r="D642" s="9" t="n">
        <v>31.488</v>
      </c>
      <c r="E642" s="9" t="n">
        <v>59.514</v>
      </c>
      <c r="F642" s="9" t="n">
        <v>0.6</v>
      </c>
      <c r="G642" s="9" t="n">
        <v>0.6</v>
      </c>
      <c r="H642" s="9" t="n">
        <v>0.3</v>
      </c>
      <c r="I642" s="9" t="n">
        <v>-0.15</v>
      </c>
      <c r="J642" s="9" t="n">
        <v>-0.45</v>
      </c>
      <c r="K642" s="9" t="n">
        <v>-0.6</v>
      </c>
      <c r="L642" s="9" t="n">
        <v>0.6</v>
      </c>
      <c r="M642" s="8" t="n">
        <v>1</v>
      </c>
      <c r="N642" s="8" t="inlineStr">
        <is>
          <t>1x I-220 ยาว 22 ม.</t>
        </is>
      </c>
      <c r="O642" s="8">
        <f>F642*G642*H642</f>
        <v/>
      </c>
      <c r="P642" s="8">
        <f>2*(F642+G642)*H642</f>
        <v/>
      </c>
      <c r="Q642" s="8">
        <f>IF(L642&gt;0,(F642+2*0.1)*(G642+2*0.1)*L642,0)</f>
        <v/>
      </c>
      <c r="R642" s="8">
        <f>(F642+0.2)*(G642+0.2)*0.1</f>
        <v/>
      </c>
      <c r="S642" s="8">
        <f>(F642+0.2)*(G642+0.2)*0.05</f>
        <v/>
      </c>
      <c r="T642" s="8">
        <f>INDEX('2-ฐานราก เหล็กเสริม'!$S:$S,MATCH(B642,'2-ฐานราก เหล็กเสริม'!$A:$A,0))</f>
        <v/>
      </c>
      <c r="U642" s="8" t="inlineStr">
        <is>
          <t>M41</t>
        </is>
      </c>
      <c r="V642" s="10" t="inlineStr">
        <is>
          <t>แบบ S201 (ตำแหน่ง) / ระดับรอยืนยัน</t>
        </is>
      </c>
    </row>
    <row r="643">
      <c r="A643" s="8" t="inlineStr">
        <is>
          <t>F1A-223</t>
        </is>
      </c>
      <c r="B643" s="8" t="inlineStr">
        <is>
          <t>F1A</t>
        </is>
      </c>
      <c r="C643" s="8" t="inlineStr">
        <is>
          <t>7-1.51/J+5.51</t>
        </is>
      </c>
      <c r="D643" s="9" t="n">
        <v>34.493</v>
      </c>
      <c r="E643" s="9" t="n">
        <v>59.514</v>
      </c>
      <c r="F643" s="9" t="n">
        <v>0.6</v>
      </c>
      <c r="G643" s="9" t="n">
        <v>0.6</v>
      </c>
      <c r="H643" s="9" t="n">
        <v>0.3</v>
      </c>
      <c r="I643" s="9" t="n">
        <v>-0.15</v>
      </c>
      <c r="J643" s="9" t="n">
        <v>-0.45</v>
      </c>
      <c r="K643" s="9" t="n">
        <v>-0.6</v>
      </c>
      <c r="L643" s="9" t="n">
        <v>0.6</v>
      </c>
      <c r="M643" s="8" t="n">
        <v>1</v>
      </c>
      <c r="N643" s="8" t="inlineStr">
        <is>
          <t>1x I-220 ยาว 22 ม.</t>
        </is>
      </c>
      <c r="O643" s="8">
        <f>F643*G643*H643</f>
        <v/>
      </c>
      <c r="P643" s="8">
        <f>2*(F643+G643)*H643</f>
        <v/>
      </c>
      <c r="Q643" s="8">
        <f>IF(L643&gt;0,(F643+2*0.1)*(G643+2*0.1)*L643,0)</f>
        <v/>
      </c>
      <c r="R643" s="8">
        <f>(F643+0.2)*(G643+0.2)*0.1</f>
        <v/>
      </c>
      <c r="S643" s="8">
        <f>(F643+0.2)*(G643+0.2)*0.05</f>
        <v/>
      </c>
      <c r="T643" s="8">
        <f>INDEX('2-ฐานราก เหล็กเสริม'!$S:$S,MATCH(B643,'2-ฐานราก เหล็กเสริม'!$A:$A,0))</f>
        <v/>
      </c>
      <c r="U643" s="8" t="inlineStr">
        <is>
          <t>M41</t>
        </is>
      </c>
      <c r="V643" s="10" t="inlineStr">
        <is>
          <t>แบบ S201 (ตำแหน่ง) / ระดับรอยืนยัน</t>
        </is>
      </c>
    </row>
    <row r="644">
      <c r="A644" s="8" t="inlineStr">
        <is>
          <t>F1A-224</t>
        </is>
      </c>
      <c r="B644" s="8" t="inlineStr">
        <is>
          <t>F1A</t>
        </is>
      </c>
      <c r="C644" s="8" t="inlineStr">
        <is>
          <t>10+2.99/J+6.51</t>
        </is>
      </c>
      <c r="D644" s="9" t="n">
        <v>56.994</v>
      </c>
      <c r="E644" s="9" t="n">
        <v>60.514</v>
      </c>
      <c r="F644" s="9" t="n">
        <v>0.6</v>
      </c>
      <c r="G644" s="9" t="n">
        <v>0.6</v>
      </c>
      <c r="H644" s="9" t="n">
        <v>0.3</v>
      </c>
      <c r="I644" s="9" t="n">
        <v>-0.15</v>
      </c>
      <c r="J644" s="9" t="n">
        <v>-0.45</v>
      </c>
      <c r="K644" s="9" t="n">
        <v>-0.6</v>
      </c>
      <c r="L644" s="9" t="n">
        <v>0.6</v>
      </c>
      <c r="M644" s="8" t="n">
        <v>1</v>
      </c>
      <c r="N644" s="8" t="inlineStr">
        <is>
          <t>1x I-220 ยาว 22 ม.</t>
        </is>
      </c>
      <c r="O644" s="8">
        <f>F644*G644*H644</f>
        <v/>
      </c>
      <c r="P644" s="8">
        <f>2*(F644+G644)*H644</f>
        <v/>
      </c>
      <c r="Q644" s="8">
        <f>IF(L644&gt;0,(F644+2*0.1)*(G644+2*0.1)*L644,0)</f>
        <v/>
      </c>
      <c r="R644" s="8">
        <f>(F644+0.2)*(G644+0.2)*0.1</f>
        <v/>
      </c>
      <c r="S644" s="8">
        <f>(F644+0.2)*(G644+0.2)*0.05</f>
        <v/>
      </c>
      <c r="T644" s="8">
        <f>INDEX('2-ฐานราก เหล็กเสริม'!$S:$S,MATCH(B644,'2-ฐานราก เหล็กเสริม'!$A:$A,0))</f>
        <v/>
      </c>
      <c r="U644" s="8" t="inlineStr">
        <is>
          <t>M41</t>
        </is>
      </c>
      <c r="V644" s="10" t="inlineStr">
        <is>
          <t>แบบ S201 (ตำแหน่ง) / ระดับรอยืนยัน</t>
        </is>
      </c>
    </row>
    <row r="645">
      <c r="A645" s="8" t="inlineStr">
        <is>
          <t>F1A-225</t>
        </is>
      </c>
      <c r="B645" s="8" t="inlineStr">
        <is>
          <t>F1A</t>
        </is>
      </c>
      <c r="C645" s="8" t="inlineStr">
        <is>
          <t>11+1.49/J+6.51</t>
        </is>
      </c>
      <c r="D645" s="9" t="n">
        <v>61.489</v>
      </c>
      <c r="E645" s="9" t="n">
        <v>60.514</v>
      </c>
      <c r="F645" s="9" t="n">
        <v>0.6</v>
      </c>
      <c r="G645" s="9" t="n">
        <v>0.6</v>
      </c>
      <c r="H645" s="9" t="n">
        <v>0.3</v>
      </c>
      <c r="I645" s="9" t="n">
        <v>-0.15</v>
      </c>
      <c r="J645" s="9" t="n">
        <v>-0.45</v>
      </c>
      <c r="K645" s="9" t="n">
        <v>-0.6</v>
      </c>
      <c r="L645" s="9" t="n">
        <v>0.6</v>
      </c>
      <c r="M645" s="8" t="n">
        <v>1</v>
      </c>
      <c r="N645" s="8" t="inlineStr">
        <is>
          <t>1x I-220 ยาว 22 ม.</t>
        </is>
      </c>
      <c r="O645" s="8">
        <f>F645*G645*H645</f>
        <v/>
      </c>
      <c r="P645" s="8">
        <f>2*(F645+G645)*H645</f>
        <v/>
      </c>
      <c r="Q645" s="8">
        <f>IF(L645&gt;0,(F645+2*0.1)*(G645+2*0.1)*L645,0)</f>
        <v/>
      </c>
      <c r="R645" s="8">
        <f>(F645+0.2)*(G645+0.2)*0.1</f>
        <v/>
      </c>
      <c r="S645" s="8">
        <f>(F645+0.2)*(G645+0.2)*0.05</f>
        <v/>
      </c>
      <c r="T645" s="8">
        <f>INDEX('2-ฐานราก เหล็กเสริม'!$S:$S,MATCH(B645,'2-ฐานราก เหล็กเสริม'!$A:$A,0))</f>
        <v/>
      </c>
      <c r="U645" s="8" t="inlineStr">
        <is>
          <t>M41</t>
        </is>
      </c>
      <c r="V645" s="10" t="inlineStr">
        <is>
          <t>แบบ S201 (ตำแหน่ง) / ระดับรอยืนยัน</t>
        </is>
      </c>
    </row>
    <row r="646">
      <c r="A646" s="8" t="inlineStr">
        <is>
          <t>F1A-226</t>
        </is>
      </c>
      <c r="B646" s="8" t="inlineStr">
        <is>
          <t>F1A</t>
        </is>
      </c>
      <c r="C646" s="8" t="inlineStr">
        <is>
          <t>7+1.49/J+6.72</t>
        </is>
      </c>
      <c r="D646" s="9" t="n">
        <v>37.492</v>
      </c>
      <c r="E646" s="9" t="n">
        <v>60.719</v>
      </c>
      <c r="F646" s="9" t="n">
        <v>0.6</v>
      </c>
      <c r="G646" s="9" t="n">
        <v>0.6</v>
      </c>
      <c r="H646" s="9" t="n">
        <v>0.3</v>
      </c>
      <c r="I646" s="9" t="n">
        <v>-0.15</v>
      </c>
      <c r="J646" s="9" t="n">
        <v>-0.45</v>
      </c>
      <c r="K646" s="9" t="n">
        <v>-0.6</v>
      </c>
      <c r="L646" s="9" t="n">
        <v>0.6</v>
      </c>
      <c r="M646" s="8" t="n">
        <v>1</v>
      </c>
      <c r="N646" s="8" t="inlineStr">
        <is>
          <t>1x I-220 ยาว 22 ม.</t>
        </is>
      </c>
      <c r="O646" s="8">
        <f>F646*G646*H646</f>
        <v/>
      </c>
      <c r="P646" s="8">
        <f>2*(F646+G646)*H646</f>
        <v/>
      </c>
      <c r="Q646" s="8">
        <f>IF(L646&gt;0,(F646+2*0.1)*(G646+2*0.1)*L646,0)</f>
        <v/>
      </c>
      <c r="R646" s="8">
        <f>(F646+0.2)*(G646+0.2)*0.1</f>
        <v/>
      </c>
      <c r="S646" s="8">
        <f>(F646+0.2)*(G646+0.2)*0.05</f>
        <v/>
      </c>
      <c r="T646" s="8">
        <f>INDEX('2-ฐานราก เหล็กเสริม'!$S:$S,MATCH(B646,'2-ฐานราก เหล็กเสริม'!$A:$A,0))</f>
        <v/>
      </c>
      <c r="U646" s="8" t="inlineStr">
        <is>
          <t>M41</t>
        </is>
      </c>
      <c r="V646" s="10" t="inlineStr">
        <is>
          <t>แบบ S201 (ตำแหน่ง) / ระดับรอยืนยัน</t>
        </is>
      </c>
    </row>
    <row r="647">
      <c r="A647" s="8" t="inlineStr">
        <is>
          <t>F1A-227</t>
        </is>
      </c>
      <c r="B647" s="8" t="inlineStr">
        <is>
          <t>F1A</t>
        </is>
      </c>
      <c r="C647" s="8" t="inlineStr">
        <is>
          <t>8-1.51/J+6.72</t>
        </is>
      </c>
      <c r="D647" s="9" t="n">
        <v>40.491</v>
      </c>
      <c r="E647" s="9" t="n">
        <v>60.719</v>
      </c>
      <c r="F647" s="9" t="n">
        <v>0.6</v>
      </c>
      <c r="G647" s="9" t="n">
        <v>0.6</v>
      </c>
      <c r="H647" s="9" t="n">
        <v>0.3</v>
      </c>
      <c r="I647" s="9" t="n">
        <v>-0.15</v>
      </c>
      <c r="J647" s="9" t="n">
        <v>-0.45</v>
      </c>
      <c r="K647" s="9" t="n">
        <v>-0.6</v>
      </c>
      <c r="L647" s="9" t="n">
        <v>0.6</v>
      </c>
      <c r="M647" s="8" t="n">
        <v>1</v>
      </c>
      <c r="N647" s="8" t="inlineStr">
        <is>
          <t>1x I-220 ยาว 22 ม.</t>
        </is>
      </c>
      <c r="O647" s="8">
        <f>F647*G647*H647</f>
        <v/>
      </c>
      <c r="P647" s="8">
        <f>2*(F647+G647)*H647</f>
        <v/>
      </c>
      <c r="Q647" s="8">
        <f>IF(L647&gt;0,(F647+2*0.1)*(G647+2*0.1)*L647,0)</f>
        <v/>
      </c>
      <c r="R647" s="8">
        <f>(F647+0.2)*(G647+0.2)*0.1</f>
        <v/>
      </c>
      <c r="S647" s="8">
        <f>(F647+0.2)*(G647+0.2)*0.05</f>
        <v/>
      </c>
      <c r="T647" s="8">
        <f>INDEX('2-ฐานราก เหล็กเสริม'!$S:$S,MATCH(B647,'2-ฐานราก เหล็กเสริม'!$A:$A,0))</f>
        <v/>
      </c>
      <c r="U647" s="8" t="inlineStr">
        <is>
          <t>M41</t>
        </is>
      </c>
      <c r="V647" s="10" t="inlineStr">
        <is>
          <t>แบบ S201 (ตำแหน่ง) / ระดับรอยืนยัน</t>
        </is>
      </c>
    </row>
    <row r="648">
      <c r="A648" s="8" t="inlineStr">
        <is>
          <t>F1A-228</t>
        </is>
      </c>
      <c r="B648" s="8" t="inlineStr">
        <is>
          <t>F1A</t>
        </is>
      </c>
      <c r="C648" s="8" t="inlineStr">
        <is>
          <t>8+1.49/J+6.72</t>
        </is>
      </c>
      <c r="D648" s="9" t="n">
        <v>43.49</v>
      </c>
      <c r="E648" s="9" t="n">
        <v>60.719</v>
      </c>
      <c r="F648" s="9" t="n">
        <v>0.6</v>
      </c>
      <c r="G648" s="9" t="n">
        <v>0.6</v>
      </c>
      <c r="H648" s="9" t="n">
        <v>0.3</v>
      </c>
      <c r="I648" s="9" t="n">
        <v>-0.15</v>
      </c>
      <c r="J648" s="9" t="n">
        <v>-0.45</v>
      </c>
      <c r="K648" s="9" t="n">
        <v>-0.6</v>
      </c>
      <c r="L648" s="9" t="n">
        <v>0.6</v>
      </c>
      <c r="M648" s="8" t="n">
        <v>1</v>
      </c>
      <c r="N648" s="8" t="inlineStr">
        <is>
          <t>1x I-220 ยาว 22 ม.</t>
        </is>
      </c>
      <c r="O648" s="8">
        <f>F648*G648*H648</f>
        <v/>
      </c>
      <c r="P648" s="8">
        <f>2*(F648+G648)*H648</f>
        <v/>
      </c>
      <c r="Q648" s="8">
        <f>IF(L648&gt;0,(F648+2*0.1)*(G648+2*0.1)*L648,0)</f>
        <v/>
      </c>
      <c r="R648" s="8">
        <f>(F648+0.2)*(G648+0.2)*0.1</f>
        <v/>
      </c>
      <c r="S648" s="8">
        <f>(F648+0.2)*(G648+0.2)*0.05</f>
        <v/>
      </c>
      <c r="T648" s="8">
        <f>INDEX('2-ฐานราก เหล็กเสริม'!$S:$S,MATCH(B648,'2-ฐานราก เหล็กเสริม'!$A:$A,0))</f>
        <v/>
      </c>
      <c r="U648" s="8" t="inlineStr">
        <is>
          <t>M41</t>
        </is>
      </c>
      <c r="V648" s="10" t="inlineStr">
        <is>
          <t>แบบ S201 (ตำแหน่ง) / ระดับรอยืนยัน</t>
        </is>
      </c>
    </row>
    <row r="649">
      <c r="A649" s="8" t="inlineStr">
        <is>
          <t>F1A-229</t>
        </is>
      </c>
      <c r="B649" s="8" t="inlineStr">
        <is>
          <t>F1A</t>
        </is>
      </c>
      <c r="C649" s="8" t="inlineStr">
        <is>
          <t>9-1.51/J+6.72</t>
        </is>
      </c>
      <c r="D649" s="9" t="n">
        <v>46.488</v>
      </c>
      <c r="E649" s="9" t="n">
        <v>60.719</v>
      </c>
      <c r="F649" s="9" t="n">
        <v>0.6</v>
      </c>
      <c r="G649" s="9" t="n">
        <v>0.6</v>
      </c>
      <c r="H649" s="9" t="n">
        <v>0.3</v>
      </c>
      <c r="I649" s="9" t="n">
        <v>-0.15</v>
      </c>
      <c r="J649" s="9" t="n">
        <v>-0.45</v>
      </c>
      <c r="K649" s="9" t="n">
        <v>-0.6</v>
      </c>
      <c r="L649" s="9" t="n">
        <v>0.6</v>
      </c>
      <c r="M649" s="8" t="n">
        <v>1</v>
      </c>
      <c r="N649" s="8" t="inlineStr">
        <is>
          <t>1x I-220 ยาว 22 ม.</t>
        </is>
      </c>
      <c r="O649" s="8">
        <f>F649*G649*H649</f>
        <v/>
      </c>
      <c r="P649" s="8">
        <f>2*(F649+G649)*H649</f>
        <v/>
      </c>
      <c r="Q649" s="8">
        <f>IF(L649&gt;0,(F649+2*0.1)*(G649+2*0.1)*L649,0)</f>
        <v/>
      </c>
      <c r="R649" s="8">
        <f>(F649+0.2)*(G649+0.2)*0.1</f>
        <v/>
      </c>
      <c r="S649" s="8">
        <f>(F649+0.2)*(G649+0.2)*0.05</f>
        <v/>
      </c>
      <c r="T649" s="8">
        <f>INDEX('2-ฐานราก เหล็กเสริม'!$S:$S,MATCH(B649,'2-ฐานราก เหล็กเสริม'!$A:$A,0))</f>
        <v/>
      </c>
      <c r="U649" s="8" t="inlineStr">
        <is>
          <t>M41</t>
        </is>
      </c>
      <c r="V649" s="10" t="inlineStr">
        <is>
          <t>แบบ S201 (ตำแหน่ง) / ระดับรอยืนยัน</t>
        </is>
      </c>
    </row>
    <row r="650">
      <c r="A650" s="8" t="inlineStr">
        <is>
          <t>F1A-230</t>
        </is>
      </c>
      <c r="B650" s="8" t="inlineStr">
        <is>
          <t>F1A</t>
        </is>
      </c>
      <c r="C650" s="8" t="inlineStr">
        <is>
          <t>11+4.50/J+7.51</t>
        </is>
      </c>
      <c r="D650" s="9" t="n">
        <v>64.495</v>
      </c>
      <c r="E650" s="9" t="n">
        <v>61.513</v>
      </c>
      <c r="F650" s="9" t="n">
        <v>0.6</v>
      </c>
      <c r="G650" s="9" t="n">
        <v>0.6</v>
      </c>
      <c r="H650" s="9" t="n">
        <v>0.3</v>
      </c>
      <c r="I650" s="9" t="n">
        <v>-0.15</v>
      </c>
      <c r="J650" s="9" t="n">
        <v>-0.45</v>
      </c>
      <c r="K650" s="9" t="n">
        <v>-0.6</v>
      </c>
      <c r="L650" s="9" t="n">
        <v>0.6</v>
      </c>
      <c r="M650" s="8" t="n">
        <v>1</v>
      </c>
      <c r="N650" s="8" t="inlineStr">
        <is>
          <t>1x I-220 ยาว 22 ม.</t>
        </is>
      </c>
      <c r="O650" s="8">
        <f>F650*G650*H650</f>
        <v/>
      </c>
      <c r="P650" s="8">
        <f>2*(F650+G650)*H650</f>
        <v/>
      </c>
      <c r="Q650" s="8">
        <f>IF(L650&gt;0,(F650+2*0.1)*(G650+2*0.1)*L650,0)</f>
        <v/>
      </c>
      <c r="R650" s="8">
        <f>(F650+0.2)*(G650+0.2)*0.1</f>
        <v/>
      </c>
      <c r="S650" s="8">
        <f>(F650+0.2)*(G650+0.2)*0.05</f>
        <v/>
      </c>
      <c r="T650" s="8">
        <f>INDEX('2-ฐานราก เหล็กเสริม'!$S:$S,MATCH(B650,'2-ฐานราก เหล็กเสริม'!$A:$A,0))</f>
        <v/>
      </c>
      <c r="U650" s="8" t="inlineStr">
        <is>
          <t>M41</t>
        </is>
      </c>
      <c r="V650" s="10" t="inlineStr">
        <is>
          <t>แบบ S201 (ตำแหน่ง) / ระดับรอยืนยัน</t>
        </is>
      </c>
    </row>
    <row r="651">
      <c r="A651" s="8" t="inlineStr">
        <is>
          <t>F1A-231</t>
        </is>
      </c>
      <c r="B651" s="8" t="inlineStr">
        <is>
          <t>F1A</t>
        </is>
      </c>
      <c r="C651" s="8" t="inlineStr">
        <is>
          <t>11+7.49/J+7.51</t>
        </is>
      </c>
      <c r="D651" s="9" t="n">
        <v>67.49299999999999</v>
      </c>
      <c r="E651" s="9" t="n">
        <v>61.513</v>
      </c>
      <c r="F651" s="9" t="n">
        <v>0.6</v>
      </c>
      <c r="G651" s="9" t="n">
        <v>0.6</v>
      </c>
      <c r="H651" s="9" t="n">
        <v>0.3</v>
      </c>
      <c r="I651" s="9" t="n">
        <v>-0.15</v>
      </c>
      <c r="J651" s="9" t="n">
        <v>-0.45</v>
      </c>
      <c r="K651" s="9" t="n">
        <v>-0.6</v>
      </c>
      <c r="L651" s="9" t="n">
        <v>0.6</v>
      </c>
      <c r="M651" s="8" t="n">
        <v>1</v>
      </c>
      <c r="N651" s="8" t="inlineStr">
        <is>
          <t>1x I-220 ยาว 22 ม.</t>
        </is>
      </c>
      <c r="O651" s="8">
        <f>F651*G651*H651</f>
        <v/>
      </c>
      <c r="P651" s="8">
        <f>2*(F651+G651)*H651</f>
        <v/>
      </c>
      <c r="Q651" s="8">
        <f>IF(L651&gt;0,(F651+2*0.1)*(G651+2*0.1)*L651,0)</f>
        <v/>
      </c>
      <c r="R651" s="8">
        <f>(F651+0.2)*(G651+0.2)*0.1</f>
        <v/>
      </c>
      <c r="S651" s="8">
        <f>(F651+0.2)*(G651+0.2)*0.05</f>
        <v/>
      </c>
      <c r="T651" s="8">
        <f>INDEX('2-ฐานราก เหล็กเสริม'!$S:$S,MATCH(B651,'2-ฐานราก เหล็กเสริม'!$A:$A,0))</f>
        <v/>
      </c>
      <c r="U651" s="8" t="inlineStr">
        <is>
          <t>M41</t>
        </is>
      </c>
      <c r="V651" s="10" t="inlineStr">
        <is>
          <t>แบบ S201 (ตำแหน่ง) / ระดับรอยืนยัน</t>
        </is>
      </c>
    </row>
    <row r="652">
      <c r="A652" s="8" t="inlineStr">
        <is>
          <t>F1A-232</t>
        </is>
      </c>
      <c r="B652" s="8" t="inlineStr">
        <is>
          <t>F1A</t>
        </is>
      </c>
      <c r="C652" s="8" t="inlineStr">
        <is>
          <t>11+10.49/J+7.51</t>
        </is>
      </c>
      <c r="D652" s="9" t="n">
        <v>70.492</v>
      </c>
      <c r="E652" s="9" t="n">
        <v>61.513</v>
      </c>
      <c r="F652" s="9" t="n">
        <v>0.6</v>
      </c>
      <c r="G652" s="9" t="n">
        <v>0.6</v>
      </c>
      <c r="H652" s="9" t="n">
        <v>0.3</v>
      </c>
      <c r="I652" s="9" t="n">
        <v>-0.15</v>
      </c>
      <c r="J652" s="9" t="n">
        <v>-0.45</v>
      </c>
      <c r="K652" s="9" t="n">
        <v>-0.6</v>
      </c>
      <c r="L652" s="9" t="n">
        <v>0.6</v>
      </c>
      <c r="M652" s="8" t="n">
        <v>1</v>
      </c>
      <c r="N652" s="8" t="inlineStr">
        <is>
          <t>1x I-220 ยาว 22 ม.</t>
        </is>
      </c>
      <c r="O652" s="8">
        <f>F652*G652*H652</f>
        <v/>
      </c>
      <c r="P652" s="8">
        <f>2*(F652+G652)*H652</f>
        <v/>
      </c>
      <c r="Q652" s="8">
        <f>IF(L652&gt;0,(F652+2*0.1)*(G652+2*0.1)*L652,0)</f>
        <v/>
      </c>
      <c r="R652" s="8">
        <f>(F652+0.2)*(G652+0.2)*0.1</f>
        <v/>
      </c>
      <c r="S652" s="8">
        <f>(F652+0.2)*(G652+0.2)*0.05</f>
        <v/>
      </c>
      <c r="T652" s="8">
        <f>INDEX('2-ฐานราก เหล็กเสริม'!$S:$S,MATCH(B652,'2-ฐานราก เหล็กเสริม'!$A:$A,0))</f>
        <v/>
      </c>
      <c r="U652" s="8" t="inlineStr">
        <is>
          <t>M41</t>
        </is>
      </c>
      <c r="V652" s="10" t="inlineStr">
        <is>
          <t>แบบ S201 (ตำแหน่ง) / ระดับรอยืนยัน</t>
        </is>
      </c>
    </row>
    <row r="653">
      <c r="A653" s="8" t="inlineStr">
        <is>
          <t>SQ66-001</t>
        </is>
      </c>
      <c r="B653" s="8" t="inlineStr">
        <is>
          <t>SQ66</t>
        </is>
      </c>
      <c r="C653" s="8" t="inlineStr">
        <is>
          <t>11+8.06/E+1.46</t>
        </is>
      </c>
      <c r="D653" s="9" t="n">
        <v>68.063</v>
      </c>
      <c r="E653" s="9" t="n">
        <v>25.461</v>
      </c>
      <c r="F653" s="9" t="n">
        <v>0.66</v>
      </c>
      <c r="G653" s="9" t="n">
        <v>0.66</v>
      </c>
      <c r="H653" s="9" t="n">
        <v>0.3</v>
      </c>
      <c r="I653" s="9" t="n">
        <v>-0.15</v>
      </c>
      <c r="J653" s="9" t="n">
        <v>-0.45</v>
      </c>
      <c r="K653" s="9" t="n">
        <v>-0.6</v>
      </c>
      <c r="L653" s="9" t="n">
        <v>0.6</v>
      </c>
      <c r="M653" s="8" t="n">
        <v>1</v>
      </c>
      <c r="N653" s="8" t="inlineStr">
        <is>
          <t>1x I-260 ยาว 22 ม.</t>
        </is>
      </c>
      <c r="O653" s="8">
        <f>F653*G653*H653</f>
        <v/>
      </c>
      <c r="P653" s="8">
        <f>2*(F653+G653)*H653</f>
        <v/>
      </c>
      <c r="Q653" s="8">
        <f>IF(L653&gt;0,(F653+2*0.1)*(G653+2*0.1)*L653,0)</f>
        <v/>
      </c>
      <c r="R653" s="8">
        <f>(F653+0.2)*(G653+0.2)*0.1</f>
        <v/>
      </c>
      <c r="S653" s="8">
        <f>(F653+0.2)*(G653+0.2)*0.05</f>
        <v/>
      </c>
      <c r="T653" s="8">
        <f>INDEX('2-ฐานราก เหล็กเสริม'!$S:$S,MATCH(B653,'2-ฐานราก เหล็กเสริม'!$A:$A,0))</f>
        <v/>
      </c>
      <c r="U653" s="8" t="inlineStr">
        <is>
          <t>M41</t>
        </is>
      </c>
      <c r="V653" s="10" t="inlineStr">
        <is>
          <t>แบบ S201 (ตำแหน่ง) / หน้าที่+ระดับรอยืนยัน</t>
        </is>
      </c>
    </row>
    <row r="654">
      <c r="A654" s="8" t="inlineStr">
        <is>
          <t>SQ66-002</t>
        </is>
      </c>
      <c r="B654" s="8" t="inlineStr">
        <is>
          <t>SQ66</t>
        </is>
      </c>
      <c r="C654" s="8" t="inlineStr">
        <is>
          <t>11+8.36/F-1.51</t>
        </is>
      </c>
      <c r="D654" s="9" t="n">
        <v>68.361</v>
      </c>
      <c r="E654" s="9" t="n">
        <v>28.487</v>
      </c>
      <c r="F654" s="9" t="n">
        <v>0.66</v>
      </c>
      <c r="G654" s="9" t="n">
        <v>0.66</v>
      </c>
      <c r="H654" s="9" t="n">
        <v>0.3</v>
      </c>
      <c r="I654" s="9" t="n">
        <v>-0.15</v>
      </c>
      <c r="J654" s="9" t="n">
        <v>-0.45</v>
      </c>
      <c r="K654" s="9" t="n">
        <v>-0.6</v>
      </c>
      <c r="L654" s="9" t="n">
        <v>0.6</v>
      </c>
      <c r="M654" s="8" t="n">
        <v>1</v>
      </c>
      <c r="N654" s="8" t="inlineStr">
        <is>
          <t>1x I-260 ยาว 22 ม.</t>
        </is>
      </c>
      <c r="O654" s="8">
        <f>F654*G654*H654</f>
        <v/>
      </c>
      <c r="P654" s="8">
        <f>2*(F654+G654)*H654</f>
        <v/>
      </c>
      <c r="Q654" s="8">
        <f>IF(L654&gt;0,(F654+2*0.1)*(G654+2*0.1)*L654,0)</f>
        <v/>
      </c>
      <c r="R654" s="8">
        <f>(F654+0.2)*(G654+0.2)*0.1</f>
        <v/>
      </c>
      <c r="S654" s="8">
        <f>(F654+0.2)*(G654+0.2)*0.05</f>
        <v/>
      </c>
      <c r="T654" s="8">
        <f>INDEX('2-ฐานราก เหล็กเสริม'!$S:$S,MATCH(B654,'2-ฐานราก เหล็กเสริม'!$A:$A,0))</f>
        <v/>
      </c>
      <c r="U654" s="8" t="inlineStr">
        <is>
          <t>M41</t>
        </is>
      </c>
      <c r="V654" s="10" t="inlineStr">
        <is>
          <t>แบบ S201 (ตำแหน่ง) / หน้าที่+ระดับรอยืนยัน</t>
        </is>
      </c>
    </row>
    <row r="655">
      <c r="A655" s="8" t="inlineStr">
        <is>
          <t>SQ66-003</t>
        </is>
      </c>
      <c r="B655" s="8" t="inlineStr">
        <is>
          <t>SQ66</t>
        </is>
      </c>
      <c r="C655" s="8" t="inlineStr">
        <is>
          <t>11+8.65/F+1.52</t>
        </is>
      </c>
      <c r="D655" s="9" t="n">
        <v>68.652</v>
      </c>
      <c r="E655" s="9" t="n">
        <v>31.525</v>
      </c>
      <c r="F655" s="9" t="n">
        <v>0.66</v>
      </c>
      <c r="G655" s="9" t="n">
        <v>0.66</v>
      </c>
      <c r="H655" s="9" t="n">
        <v>0.3</v>
      </c>
      <c r="I655" s="9" t="n">
        <v>-0.15</v>
      </c>
      <c r="J655" s="9" t="n">
        <v>-0.45</v>
      </c>
      <c r="K655" s="9" t="n">
        <v>-0.6</v>
      </c>
      <c r="L655" s="9" t="n">
        <v>0.6</v>
      </c>
      <c r="M655" s="8" t="n">
        <v>1</v>
      </c>
      <c r="N655" s="8" t="inlineStr">
        <is>
          <t>1x I-260 ยาว 22 ม.</t>
        </is>
      </c>
      <c r="O655" s="8">
        <f>F655*G655*H655</f>
        <v/>
      </c>
      <c r="P655" s="8">
        <f>2*(F655+G655)*H655</f>
        <v/>
      </c>
      <c r="Q655" s="8">
        <f>IF(L655&gt;0,(F655+2*0.1)*(G655+2*0.1)*L655,0)</f>
        <v/>
      </c>
      <c r="R655" s="8">
        <f>(F655+0.2)*(G655+0.2)*0.1</f>
        <v/>
      </c>
      <c r="S655" s="8">
        <f>(F655+0.2)*(G655+0.2)*0.05</f>
        <v/>
      </c>
      <c r="T655" s="8">
        <f>INDEX('2-ฐานราก เหล็กเสริม'!$S:$S,MATCH(B655,'2-ฐานราก เหล็กเสริม'!$A:$A,0))</f>
        <v/>
      </c>
      <c r="U655" s="8" t="inlineStr">
        <is>
          <t>M41</t>
        </is>
      </c>
      <c r="V655" s="10" t="inlineStr">
        <is>
          <t>แบบ S201 (ตำแหน่ง) / หน้าที่+ระดับรอยืนยัน</t>
        </is>
      </c>
    </row>
    <row r="656">
      <c r="A656" s="8" t="inlineStr">
        <is>
          <t>SQ66-004</t>
        </is>
      </c>
      <c r="B656" s="8" t="inlineStr">
        <is>
          <t>SQ66</t>
        </is>
      </c>
      <c r="C656" s="8" t="inlineStr">
        <is>
          <t>11+8.94/G-1.49</t>
        </is>
      </c>
      <c r="D656" s="9" t="n">
        <v>68.943</v>
      </c>
      <c r="E656" s="9" t="n">
        <v>34.511</v>
      </c>
      <c r="F656" s="9" t="n">
        <v>0.66</v>
      </c>
      <c r="G656" s="9" t="n">
        <v>0.66</v>
      </c>
      <c r="H656" s="9" t="n">
        <v>0.3</v>
      </c>
      <c r="I656" s="9" t="n">
        <v>-0.15</v>
      </c>
      <c r="J656" s="9" t="n">
        <v>-0.45</v>
      </c>
      <c r="K656" s="9" t="n">
        <v>-0.6</v>
      </c>
      <c r="L656" s="9" t="n">
        <v>0.6</v>
      </c>
      <c r="M656" s="8" t="n">
        <v>1</v>
      </c>
      <c r="N656" s="8" t="inlineStr">
        <is>
          <t>1x I-260 ยาว 22 ม.</t>
        </is>
      </c>
      <c r="O656" s="8">
        <f>F656*G656*H656</f>
        <v/>
      </c>
      <c r="P656" s="8">
        <f>2*(F656+G656)*H656</f>
        <v/>
      </c>
      <c r="Q656" s="8">
        <f>IF(L656&gt;0,(F656+2*0.1)*(G656+2*0.1)*L656,0)</f>
        <v/>
      </c>
      <c r="R656" s="8">
        <f>(F656+0.2)*(G656+0.2)*0.1</f>
        <v/>
      </c>
      <c r="S656" s="8">
        <f>(F656+0.2)*(G656+0.2)*0.05</f>
        <v/>
      </c>
      <c r="T656" s="8">
        <f>INDEX('2-ฐานราก เหล็กเสริม'!$S:$S,MATCH(B656,'2-ฐานราก เหล็กเสริม'!$A:$A,0))</f>
        <v/>
      </c>
      <c r="U656" s="8" t="inlineStr">
        <is>
          <t>M41</t>
        </is>
      </c>
      <c r="V656" s="10" t="inlineStr">
        <is>
          <t>แบบ S201 (ตำแหน่ง) / หน้าที่+ระดับรอยืนยัน</t>
        </is>
      </c>
    </row>
    <row r="657">
      <c r="A657" s="8" t="inlineStr">
        <is>
          <t>SQ66-005</t>
        </is>
      </c>
      <c r="B657" s="8" t="inlineStr">
        <is>
          <t>SQ66</t>
        </is>
      </c>
      <c r="C657" s="8" t="inlineStr">
        <is>
          <t>11+9.24/G+1.50</t>
        </is>
      </c>
      <c r="D657" s="9" t="n">
        <v>69.241</v>
      </c>
      <c r="E657" s="9" t="n">
        <v>37.496</v>
      </c>
      <c r="F657" s="9" t="n">
        <v>0.66</v>
      </c>
      <c r="G657" s="9" t="n">
        <v>0.66</v>
      </c>
      <c r="H657" s="9" t="n">
        <v>0.3</v>
      </c>
      <c r="I657" s="9" t="n">
        <v>-0.15</v>
      </c>
      <c r="J657" s="9" t="n">
        <v>-0.45</v>
      </c>
      <c r="K657" s="9" t="n">
        <v>-0.6</v>
      </c>
      <c r="L657" s="9" t="n">
        <v>0.6</v>
      </c>
      <c r="M657" s="8" t="n">
        <v>1</v>
      </c>
      <c r="N657" s="8" t="inlineStr">
        <is>
          <t>1x I-260 ยาว 22 ม.</t>
        </is>
      </c>
      <c r="O657" s="8">
        <f>F657*G657*H657</f>
        <v/>
      </c>
      <c r="P657" s="8">
        <f>2*(F657+G657)*H657</f>
        <v/>
      </c>
      <c r="Q657" s="8">
        <f>IF(L657&gt;0,(F657+2*0.1)*(G657+2*0.1)*L657,0)</f>
        <v/>
      </c>
      <c r="R657" s="8">
        <f>(F657+0.2)*(G657+0.2)*0.1</f>
        <v/>
      </c>
      <c r="S657" s="8">
        <f>(F657+0.2)*(G657+0.2)*0.05</f>
        <v/>
      </c>
      <c r="T657" s="8">
        <f>INDEX('2-ฐานราก เหล็กเสริม'!$S:$S,MATCH(B657,'2-ฐานราก เหล็กเสริม'!$A:$A,0))</f>
        <v/>
      </c>
      <c r="U657" s="8" t="inlineStr">
        <is>
          <t>M41</t>
        </is>
      </c>
      <c r="V657" s="10" t="inlineStr">
        <is>
          <t>แบบ S201 (ตำแหน่ง) / หน้าที่+ระดับรอยืนยัน</t>
        </is>
      </c>
    </row>
    <row r="658">
      <c r="A658" s="8" t="inlineStr">
        <is>
          <t>SQ66-006</t>
        </is>
      </c>
      <c r="B658" s="8" t="inlineStr">
        <is>
          <t>SQ66</t>
        </is>
      </c>
      <c r="C658" s="8" t="inlineStr">
        <is>
          <t>11+9.53/H-1.52</t>
        </is>
      </c>
      <c r="D658" s="9" t="n">
        <v>69.532</v>
      </c>
      <c r="E658" s="9" t="n">
        <v>40.482</v>
      </c>
      <c r="F658" s="9" t="n">
        <v>0.66</v>
      </c>
      <c r="G658" s="9" t="n">
        <v>0.66</v>
      </c>
      <c r="H658" s="9" t="n">
        <v>0.3</v>
      </c>
      <c r="I658" s="9" t="n">
        <v>-0.15</v>
      </c>
      <c r="J658" s="9" t="n">
        <v>-0.45</v>
      </c>
      <c r="K658" s="9" t="n">
        <v>-0.6</v>
      </c>
      <c r="L658" s="9" t="n">
        <v>0.6</v>
      </c>
      <c r="M658" s="8" t="n">
        <v>1</v>
      </c>
      <c r="N658" s="8" t="inlineStr">
        <is>
          <t>1x I-260 ยาว 22 ม.</t>
        </is>
      </c>
      <c r="O658" s="8">
        <f>F658*G658*H658</f>
        <v/>
      </c>
      <c r="P658" s="8">
        <f>2*(F658+G658)*H658</f>
        <v/>
      </c>
      <c r="Q658" s="8">
        <f>IF(L658&gt;0,(F658+2*0.1)*(G658+2*0.1)*L658,0)</f>
        <v/>
      </c>
      <c r="R658" s="8">
        <f>(F658+0.2)*(G658+0.2)*0.1</f>
        <v/>
      </c>
      <c r="S658" s="8">
        <f>(F658+0.2)*(G658+0.2)*0.05</f>
        <v/>
      </c>
      <c r="T658" s="8">
        <f>INDEX('2-ฐานราก เหล็กเสริม'!$S:$S,MATCH(B658,'2-ฐานราก เหล็กเสริม'!$A:$A,0))</f>
        <v/>
      </c>
      <c r="U658" s="8" t="inlineStr">
        <is>
          <t>M41</t>
        </is>
      </c>
      <c r="V658" s="10" t="inlineStr">
        <is>
          <t>แบบ S201 (ตำแหน่ง) / หน้าที่+ระดับรอยืนยัน</t>
        </is>
      </c>
    </row>
    <row r="659">
      <c r="A659" s="8" t="inlineStr">
        <is>
          <t>SQ66-007</t>
        </is>
      </c>
      <c r="B659" s="8" t="inlineStr">
        <is>
          <t>SQ66</t>
        </is>
      </c>
      <c r="C659" s="8" t="inlineStr">
        <is>
          <t>11+9.83/H+1.55</t>
        </is>
      </c>
      <c r="D659" s="9" t="n">
        <v>69.83</v>
      </c>
      <c r="E659" s="9" t="n">
        <v>43.547</v>
      </c>
      <c r="F659" s="9" t="n">
        <v>0.66</v>
      </c>
      <c r="G659" s="9" t="n">
        <v>0.66</v>
      </c>
      <c r="H659" s="9" t="n">
        <v>0.3</v>
      </c>
      <c r="I659" s="9" t="n">
        <v>-0.15</v>
      </c>
      <c r="J659" s="9" t="n">
        <v>-0.45</v>
      </c>
      <c r="K659" s="9" t="n">
        <v>-0.6</v>
      </c>
      <c r="L659" s="9" t="n">
        <v>0.6</v>
      </c>
      <c r="M659" s="8" t="n">
        <v>1</v>
      </c>
      <c r="N659" s="8" t="inlineStr">
        <is>
          <t>1x I-260 ยาว 22 ม.</t>
        </is>
      </c>
      <c r="O659" s="8">
        <f>F659*G659*H659</f>
        <v/>
      </c>
      <c r="P659" s="8">
        <f>2*(F659+G659)*H659</f>
        <v/>
      </c>
      <c r="Q659" s="8">
        <f>IF(L659&gt;0,(F659+2*0.1)*(G659+2*0.1)*L659,0)</f>
        <v/>
      </c>
      <c r="R659" s="8">
        <f>(F659+0.2)*(G659+0.2)*0.1</f>
        <v/>
      </c>
      <c r="S659" s="8">
        <f>(F659+0.2)*(G659+0.2)*0.05</f>
        <v/>
      </c>
      <c r="T659" s="8">
        <f>INDEX('2-ฐานราก เหล็กเสริม'!$S:$S,MATCH(B659,'2-ฐานราก เหล็กเสริม'!$A:$A,0))</f>
        <v/>
      </c>
      <c r="U659" s="8" t="inlineStr">
        <is>
          <t>M41</t>
        </is>
      </c>
      <c r="V659" s="10" t="inlineStr">
        <is>
          <t>แบบ S201 (ตำแหน่ง) / หน้าที่+ระดับรอยืนยัน</t>
        </is>
      </c>
    </row>
    <row r="660">
      <c r="A660" s="8" t="inlineStr">
        <is>
          <t>SQ66-008</t>
        </is>
      </c>
      <c r="B660" s="8" t="inlineStr">
        <is>
          <t>SQ66</t>
        </is>
      </c>
      <c r="C660" s="8" t="inlineStr">
        <is>
          <t>11+10.12/I-1.47</t>
        </is>
      </c>
      <c r="D660" s="9" t="n">
        <v>70.121</v>
      </c>
      <c r="E660" s="9" t="n">
        <v>46.532</v>
      </c>
      <c r="F660" s="9" t="n">
        <v>0.66</v>
      </c>
      <c r="G660" s="9" t="n">
        <v>0.66</v>
      </c>
      <c r="H660" s="9" t="n">
        <v>0.3</v>
      </c>
      <c r="I660" s="9" t="n">
        <v>-0.15</v>
      </c>
      <c r="J660" s="9" t="n">
        <v>-0.45</v>
      </c>
      <c r="K660" s="9" t="n">
        <v>-0.6</v>
      </c>
      <c r="L660" s="9" t="n">
        <v>0.6</v>
      </c>
      <c r="M660" s="8" t="n">
        <v>1</v>
      </c>
      <c r="N660" s="8" t="inlineStr">
        <is>
          <t>1x I-260 ยาว 22 ม.</t>
        </is>
      </c>
      <c r="O660" s="8">
        <f>F660*G660*H660</f>
        <v/>
      </c>
      <c r="P660" s="8">
        <f>2*(F660+G660)*H660</f>
        <v/>
      </c>
      <c r="Q660" s="8">
        <f>IF(L660&gt;0,(F660+2*0.1)*(G660+2*0.1)*L660,0)</f>
        <v/>
      </c>
      <c r="R660" s="8">
        <f>(F660+0.2)*(G660+0.2)*0.1</f>
        <v/>
      </c>
      <c r="S660" s="8">
        <f>(F660+0.2)*(G660+0.2)*0.05</f>
        <v/>
      </c>
      <c r="T660" s="8">
        <f>INDEX('2-ฐานราก เหล็กเสริม'!$S:$S,MATCH(B660,'2-ฐานราก เหล็กเสริม'!$A:$A,0))</f>
        <v/>
      </c>
      <c r="U660" s="8" t="inlineStr">
        <is>
          <t>M41</t>
        </is>
      </c>
      <c r="V660" s="10" t="inlineStr">
        <is>
          <t>แบบ S201 (ตำแหน่ง) / หน้าที่+ระดับรอยืนยัน</t>
        </is>
      </c>
    </row>
    <row r="661">
      <c r="A661" s="8" t="inlineStr">
        <is>
          <t>SQ66-009</t>
        </is>
      </c>
      <c r="B661" s="8" t="inlineStr">
        <is>
          <t>SQ66</t>
        </is>
      </c>
      <c r="C661" s="8" t="inlineStr">
        <is>
          <t>11+10.41/I+1.52</t>
        </is>
      </c>
      <c r="D661" s="9" t="n">
        <v>70.413</v>
      </c>
      <c r="E661" s="9" t="n">
        <v>49.518</v>
      </c>
      <c r="F661" s="9" t="n">
        <v>0.66</v>
      </c>
      <c r="G661" s="9" t="n">
        <v>0.66</v>
      </c>
      <c r="H661" s="9" t="n">
        <v>0.3</v>
      </c>
      <c r="I661" s="9" t="n">
        <v>-0.15</v>
      </c>
      <c r="J661" s="9" t="n">
        <v>-0.45</v>
      </c>
      <c r="K661" s="9" t="n">
        <v>-0.6</v>
      </c>
      <c r="L661" s="9" t="n">
        <v>0.6</v>
      </c>
      <c r="M661" s="8" t="n">
        <v>1</v>
      </c>
      <c r="N661" s="8" t="inlineStr">
        <is>
          <t>1x I-260 ยาว 22 ม.</t>
        </is>
      </c>
      <c r="O661" s="8">
        <f>F661*G661*H661</f>
        <v/>
      </c>
      <c r="P661" s="8">
        <f>2*(F661+G661)*H661</f>
        <v/>
      </c>
      <c r="Q661" s="8">
        <f>IF(L661&gt;0,(F661+2*0.1)*(G661+2*0.1)*L661,0)</f>
        <v/>
      </c>
      <c r="R661" s="8">
        <f>(F661+0.2)*(G661+0.2)*0.1</f>
        <v/>
      </c>
      <c r="S661" s="8">
        <f>(F661+0.2)*(G661+0.2)*0.05</f>
        <v/>
      </c>
      <c r="T661" s="8">
        <f>INDEX('2-ฐานราก เหล็กเสริม'!$S:$S,MATCH(B661,'2-ฐานราก เหล็กเสริม'!$A:$A,0))</f>
        <v/>
      </c>
      <c r="U661" s="8" t="inlineStr">
        <is>
          <t>M41</t>
        </is>
      </c>
      <c r="V661" s="10" t="inlineStr">
        <is>
          <t>แบบ S201 (ตำแหน่ง) / หน้าที่+ระดับรอยืนยัน</t>
        </is>
      </c>
    </row>
    <row r="662">
      <c r="A662" s="8" t="inlineStr">
        <is>
          <t>SQ66-010</t>
        </is>
      </c>
      <c r="B662" s="8" t="inlineStr">
        <is>
          <t>SQ66</t>
        </is>
      </c>
      <c r="C662" s="8" t="inlineStr">
        <is>
          <t>9+1.45/J+7.45</t>
        </is>
      </c>
      <c r="D662" s="9" t="n">
        <v>49.454</v>
      </c>
      <c r="E662" s="9" t="n">
        <v>61.454</v>
      </c>
      <c r="F662" s="9" t="n">
        <v>0.66</v>
      </c>
      <c r="G662" s="9" t="n">
        <v>0.66</v>
      </c>
      <c r="H662" s="9" t="n">
        <v>0.3</v>
      </c>
      <c r="I662" s="9" t="n">
        <v>-0.15</v>
      </c>
      <c r="J662" s="9" t="n">
        <v>-0.45</v>
      </c>
      <c r="K662" s="9" t="n">
        <v>-0.6</v>
      </c>
      <c r="L662" s="9" t="n">
        <v>0.6</v>
      </c>
      <c r="M662" s="8" t="n">
        <v>1</v>
      </c>
      <c r="N662" s="8" t="inlineStr">
        <is>
          <t>1x I-260 ยาว 22 ม.</t>
        </is>
      </c>
      <c r="O662" s="8">
        <f>F662*G662*H662</f>
        <v/>
      </c>
      <c r="P662" s="8">
        <f>2*(F662+G662)*H662</f>
        <v/>
      </c>
      <c r="Q662" s="8">
        <f>IF(L662&gt;0,(F662+2*0.1)*(G662+2*0.1)*L662,0)</f>
        <v/>
      </c>
      <c r="R662" s="8">
        <f>(F662+0.2)*(G662+0.2)*0.1</f>
        <v/>
      </c>
      <c r="S662" s="8">
        <f>(F662+0.2)*(G662+0.2)*0.05</f>
        <v/>
      </c>
      <c r="T662" s="8">
        <f>INDEX('2-ฐานราก เหล็กเสริม'!$S:$S,MATCH(B662,'2-ฐานราก เหล็กเสริม'!$A:$A,0))</f>
        <v/>
      </c>
      <c r="U662" s="8" t="inlineStr">
        <is>
          <t>M41</t>
        </is>
      </c>
      <c r="V662" s="10" t="inlineStr">
        <is>
          <t>แบบ S201 (ตำแหน่ง) / หน้าที่+ระดับรอยืนยัน</t>
        </is>
      </c>
    </row>
    <row r="663">
      <c r="A663" s="8" t="inlineStr">
        <is>
          <t>SQ66-011</t>
        </is>
      </c>
      <c r="B663" s="8" t="inlineStr">
        <is>
          <t>SQ66</t>
        </is>
      </c>
      <c r="C663" s="8" t="inlineStr">
        <is>
          <t>10-1.61/J+7.76</t>
        </is>
      </c>
      <c r="D663" s="9" t="n">
        <v>52.387</v>
      </c>
      <c r="E663" s="9" t="n">
        <v>61.758</v>
      </c>
      <c r="F663" s="9" t="n">
        <v>0.66</v>
      </c>
      <c r="G663" s="9" t="n">
        <v>0.66</v>
      </c>
      <c r="H663" s="9" t="n">
        <v>0.3</v>
      </c>
      <c r="I663" s="9" t="n">
        <v>-0.15</v>
      </c>
      <c r="J663" s="9" t="n">
        <v>-0.45</v>
      </c>
      <c r="K663" s="9" t="n">
        <v>-0.6</v>
      </c>
      <c r="L663" s="9" t="n">
        <v>0.6</v>
      </c>
      <c r="M663" s="8" t="n">
        <v>1</v>
      </c>
      <c r="N663" s="8" t="inlineStr">
        <is>
          <t>1x I-260 ยาว 22 ม.</t>
        </is>
      </c>
      <c r="O663" s="8">
        <f>F663*G663*H663</f>
        <v/>
      </c>
      <c r="P663" s="8">
        <f>2*(F663+G663)*H663</f>
        <v/>
      </c>
      <c r="Q663" s="8">
        <f>IF(L663&gt;0,(F663+2*0.1)*(G663+2*0.1)*L663,0)</f>
        <v/>
      </c>
      <c r="R663" s="8">
        <f>(F663+0.2)*(G663+0.2)*0.1</f>
        <v/>
      </c>
      <c r="S663" s="8">
        <f>(F663+0.2)*(G663+0.2)*0.05</f>
        <v/>
      </c>
      <c r="T663" s="8">
        <f>INDEX('2-ฐานราก เหล็กเสริม'!$S:$S,MATCH(B663,'2-ฐานราก เหล็กเสริม'!$A:$A,0))</f>
        <v/>
      </c>
      <c r="U663" s="8" t="inlineStr">
        <is>
          <t>M41</t>
        </is>
      </c>
      <c r="V663" s="10" t="inlineStr">
        <is>
          <t>แบบ S201 (ตำแหน่ง) / หน้าที่+ระดับรอยืนยัน</t>
        </is>
      </c>
    </row>
    <row r="664">
      <c r="A664" s="8" t="inlineStr">
        <is>
          <t>SQ66-012</t>
        </is>
      </c>
      <c r="B664" s="8" t="inlineStr">
        <is>
          <t>SQ66</t>
        </is>
      </c>
      <c r="C664" s="8" t="inlineStr">
        <is>
          <t>10+1.42/J+8.08</t>
        </is>
      </c>
      <c r="D664" s="9" t="n">
        <v>55.419</v>
      </c>
      <c r="E664" s="9" t="n">
        <v>62.076</v>
      </c>
      <c r="F664" s="9" t="n">
        <v>0.66</v>
      </c>
      <c r="G664" s="9" t="n">
        <v>0.66</v>
      </c>
      <c r="H664" s="9" t="n">
        <v>0.3</v>
      </c>
      <c r="I664" s="9" t="n">
        <v>-0.15</v>
      </c>
      <c r="J664" s="9" t="n">
        <v>-0.45</v>
      </c>
      <c r="K664" s="9" t="n">
        <v>-0.6</v>
      </c>
      <c r="L664" s="9" t="n">
        <v>0.6</v>
      </c>
      <c r="M664" s="8" t="n">
        <v>1</v>
      </c>
      <c r="N664" s="8" t="inlineStr">
        <is>
          <t>1x I-260 ยาว 22 ม.</t>
        </is>
      </c>
      <c r="O664" s="8">
        <f>F664*G664*H664</f>
        <v/>
      </c>
      <c r="P664" s="8">
        <f>2*(F664+G664)*H664</f>
        <v/>
      </c>
      <c r="Q664" s="8">
        <f>IF(L664&gt;0,(F664+2*0.1)*(G664+2*0.1)*L664,0)</f>
        <v/>
      </c>
      <c r="R664" s="8">
        <f>(F664+0.2)*(G664+0.2)*0.1</f>
        <v/>
      </c>
      <c r="S664" s="8">
        <f>(F664+0.2)*(G664+0.2)*0.05</f>
        <v/>
      </c>
      <c r="T664" s="8">
        <f>INDEX('2-ฐานราก เหล็กเสริม'!$S:$S,MATCH(B664,'2-ฐานราก เหล็กเสริม'!$A:$A,0))</f>
        <v/>
      </c>
      <c r="U664" s="8" t="inlineStr">
        <is>
          <t>M41</t>
        </is>
      </c>
      <c r="V664" s="10" t="inlineStr">
        <is>
          <t>แบบ S201 (ตำแหน่ง) / หน้าที่+ระดับรอยืนยัน</t>
        </is>
      </c>
    </row>
    <row r="665">
      <c r="A665" s="8" t="inlineStr">
        <is>
          <t>SQ66-013</t>
        </is>
      </c>
      <c r="B665" s="8" t="inlineStr">
        <is>
          <t>SQ66</t>
        </is>
      </c>
      <c r="C665" s="8" t="inlineStr">
        <is>
          <t>11-1.68/J+8.38</t>
        </is>
      </c>
      <c r="D665" s="9" t="n">
        <v>58.318</v>
      </c>
      <c r="E665" s="9" t="n">
        <v>62.38</v>
      </c>
      <c r="F665" s="9" t="n">
        <v>0.66</v>
      </c>
      <c r="G665" s="9" t="n">
        <v>0.66</v>
      </c>
      <c r="H665" s="9" t="n">
        <v>0.3</v>
      </c>
      <c r="I665" s="9" t="n">
        <v>-0.15</v>
      </c>
      <c r="J665" s="9" t="n">
        <v>-0.45</v>
      </c>
      <c r="K665" s="9" t="n">
        <v>-0.6</v>
      </c>
      <c r="L665" s="9" t="n">
        <v>0.6</v>
      </c>
      <c r="M665" s="8" t="n">
        <v>1</v>
      </c>
      <c r="N665" s="8" t="inlineStr">
        <is>
          <t>1x I-260 ยาว 22 ม.</t>
        </is>
      </c>
      <c r="O665" s="8">
        <f>F665*G665*H665</f>
        <v/>
      </c>
      <c r="P665" s="8">
        <f>2*(F665+G665)*H665</f>
        <v/>
      </c>
      <c r="Q665" s="8">
        <f>IF(L665&gt;0,(F665+2*0.1)*(G665+2*0.1)*L665,0)</f>
        <v/>
      </c>
      <c r="R665" s="8">
        <f>(F665+0.2)*(G665+0.2)*0.1</f>
        <v/>
      </c>
      <c r="S665" s="8">
        <f>(F665+0.2)*(G665+0.2)*0.05</f>
        <v/>
      </c>
      <c r="T665" s="8">
        <f>INDEX('2-ฐานราก เหล็กเสริม'!$S:$S,MATCH(B665,'2-ฐานราก เหล็กเสริม'!$A:$A,0))</f>
        <v/>
      </c>
      <c r="U665" s="8" t="inlineStr">
        <is>
          <t>M41</t>
        </is>
      </c>
      <c r="V665" s="10" t="inlineStr">
        <is>
          <t>แบบ S201 (ตำแหน่ง) / หน้าที่+ระดับรอยืนยัน</t>
        </is>
      </c>
    </row>
    <row r="666">
      <c r="A666" s="8" t="inlineStr">
        <is>
          <t>SQ66-014</t>
        </is>
      </c>
      <c r="B666" s="8" t="inlineStr">
        <is>
          <t>SQ66</t>
        </is>
      </c>
      <c r="C666" s="8" t="inlineStr">
        <is>
          <t>11+1.39/J+8.70</t>
        </is>
      </c>
      <c r="D666" s="9" t="n">
        <v>61.39</v>
      </c>
      <c r="E666" s="9" t="n">
        <v>62.705</v>
      </c>
      <c r="F666" s="9" t="n">
        <v>0.66</v>
      </c>
      <c r="G666" s="9" t="n">
        <v>0.66</v>
      </c>
      <c r="H666" s="9" t="n">
        <v>0.3</v>
      </c>
      <c r="I666" s="9" t="n">
        <v>-0.15</v>
      </c>
      <c r="J666" s="9" t="n">
        <v>-0.45</v>
      </c>
      <c r="K666" s="9" t="n">
        <v>-0.6</v>
      </c>
      <c r="L666" s="9" t="n">
        <v>0.6</v>
      </c>
      <c r="M666" s="8" t="n">
        <v>1</v>
      </c>
      <c r="N666" s="8" t="inlineStr">
        <is>
          <t>1x I-260 ยาว 22 ม.</t>
        </is>
      </c>
      <c r="O666" s="8">
        <f>F666*G666*H666</f>
        <v/>
      </c>
      <c r="P666" s="8">
        <f>2*(F666+G666)*H666</f>
        <v/>
      </c>
      <c r="Q666" s="8">
        <f>IF(L666&gt;0,(F666+2*0.1)*(G666+2*0.1)*L666,0)</f>
        <v/>
      </c>
      <c r="R666" s="8">
        <f>(F666+0.2)*(G666+0.2)*0.1</f>
        <v/>
      </c>
      <c r="S666" s="8">
        <f>(F666+0.2)*(G666+0.2)*0.05</f>
        <v/>
      </c>
      <c r="T666" s="8">
        <f>INDEX('2-ฐานราก เหล็กเสริม'!$S:$S,MATCH(B666,'2-ฐานราก เหล็กเสริม'!$A:$A,0))</f>
        <v/>
      </c>
      <c r="U666" s="8" t="inlineStr">
        <is>
          <t>M41</t>
        </is>
      </c>
      <c r="V666" s="10" t="inlineStr">
        <is>
          <t>แบบ S201 (ตำแหน่ง) / หน้าที่+ระดับรอยืนยัน</t>
        </is>
      </c>
    </row>
    <row r="667">
      <c r="A667" s="8" t="inlineStr">
        <is>
          <t>SQ66-015</t>
        </is>
      </c>
      <c r="B667" s="8" t="inlineStr">
        <is>
          <t>SQ66</t>
        </is>
      </c>
      <c r="C667" s="8" t="inlineStr">
        <is>
          <t>11+5.42/J+9.12</t>
        </is>
      </c>
      <c r="D667" s="9" t="n">
        <v>65.41500000000001</v>
      </c>
      <c r="E667" s="9" t="n">
        <v>63.122</v>
      </c>
      <c r="F667" s="9" t="n">
        <v>0.66</v>
      </c>
      <c r="G667" s="9" t="n">
        <v>0.66</v>
      </c>
      <c r="H667" s="9" t="n">
        <v>0.3</v>
      </c>
      <c r="I667" s="9" t="n">
        <v>-0.15</v>
      </c>
      <c r="J667" s="9" t="n">
        <v>-0.45</v>
      </c>
      <c r="K667" s="9" t="n">
        <v>-0.6</v>
      </c>
      <c r="L667" s="9" t="n">
        <v>0.6</v>
      </c>
      <c r="M667" s="8" t="n">
        <v>1</v>
      </c>
      <c r="N667" s="8" t="inlineStr">
        <is>
          <t>1x I-260 ยาว 22 ม.</t>
        </is>
      </c>
      <c r="O667" s="8">
        <f>F667*G667*H667</f>
        <v/>
      </c>
      <c r="P667" s="8">
        <f>2*(F667+G667)*H667</f>
        <v/>
      </c>
      <c r="Q667" s="8">
        <f>IF(L667&gt;0,(F667+2*0.1)*(G667+2*0.1)*L667,0)</f>
        <v/>
      </c>
      <c r="R667" s="8">
        <f>(F667+0.2)*(G667+0.2)*0.1</f>
        <v/>
      </c>
      <c r="S667" s="8">
        <f>(F667+0.2)*(G667+0.2)*0.05</f>
        <v/>
      </c>
      <c r="T667" s="8">
        <f>INDEX('2-ฐานราก เหล็กเสริม'!$S:$S,MATCH(B667,'2-ฐานราก เหล็กเสริม'!$A:$A,0))</f>
        <v/>
      </c>
      <c r="U667" s="8" t="inlineStr">
        <is>
          <t>M41</t>
        </is>
      </c>
      <c r="V667" s="10" t="inlineStr">
        <is>
          <t>แบบ S201 (ตำแหน่ง) / หน้าที่+ระดับรอยืนยัน</t>
        </is>
      </c>
    </row>
    <row r="668">
      <c r="A668" s="8" t="inlineStr">
        <is>
          <t>SQ66-016</t>
        </is>
      </c>
      <c r="B668" s="8" t="inlineStr">
        <is>
          <t>SQ66</t>
        </is>
      </c>
      <c r="C668" s="8" t="inlineStr">
        <is>
          <t>11+9.43/J+9.55</t>
        </is>
      </c>
      <c r="D668" s="9" t="n">
        <v>69.426</v>
      </c>
      <c r="E668" s="9" t="n">
        <v>63.545</v>
      </c>
      <c r="F668" s="9" t="n">
        <v>0.66</v>
      </c>
      <c r="G668" s="9" t="n">
        <v>0.66</v>
      </c>
      <c r="H668" s="9" t="n">
        <v>0.3</v>
      </c>
      <c r="I668" s="9" t="n">
        <v>-0.15</v>
      </c>
      <c r="J668" s="9" t="n">
        <v>-0.45</v>
      </c>
      <c r="K668" s="9" t="n">
        <v>-0.6</v>
      </c>
      <c r="L668" s="9" t="n">
        <v>0.6</v>
      </c>
      <c r="M668" s="8" t="n">
        <v>1</v>
      </c>
      <c r="N668" s="8" t="inlineStr">
        <is>
          <t>1x I-260 ยาว 22 ม.</t>
        </is>
      </c>
      <c r="O668" s="8">
        <f>F668*G668*H668</f>
        <v/>
      </c>
      <c r="P668" s="8">
        <f>2*(F668+G668)*H668</f>
        <v/>
      </c>
      <c r="Q668" s="8">
        <f>IF(L668&gt;0,(F668+2*0.1)*(G668+2*0.1)*L668,0)</f>
        <v/>
      </c>
      <c r="R668" s="8">
        <f>(F668+0.2)*(G668+0.2)*0.1</f>
        <v/>
      </c>
      <c r="S668" s="8">
        <f>(F668+0.2)*(G668+0.2)*0.05</f>
        <v/>
      </c>
      <c r="T668" s="8">
        <f>INDEX('2-ฐานราก เหล็กเสริม'!$S:$S,MATCH(B668,'2-ฐานราก เหล็กเสริม'!$A:$A,0))</f>
        <v/>
      </c>
      <c r="U668" s="8" t="inlineStr">
        <is>
          <t>M41</t>
        </is>
      </c>
      <c r="V668" s="10" t="inlineStr">
        <is>
          <t>แบบ S201 (ตำแหน่ง) / หน้าที่+ระดับรอยืนยัน</t>
        </is>
      </c>
    </row>
    <row r="669">
      <c r="A669" s="8" t="inlineStr">
        <is>
          <t>TRP-001</t>
        </is>
      </c>
      <c r="B669" s="8" t="inlineStr">
        <is>
          <t>TRP</t>
        </is>
      </c>
      <c r="C669" s="8" t="inlineStr">
        <is>
          <t>11+4.90/A-7.16</t>
        </is>
      </c>
      <c r="D669" s="9" t="n">
        <v>64.90000000000001</v>
      </c>
      <c r="E669" s="9" t="n">
        <v>-7.165</v>
      </c>
      <c r="F669" s="9" t="n">
        <v>5</v>
      </c>
      <c r="G669" s="9" t="n">
        <v>3</v>
      </c>
      <c r="H669" s="9" t="n">
        <v>0.4</v>
      </c>
      <c r="I669" s="9" t="n">
        <v>0</v>
      </c>
      <c r="J669" s="9" t="n">
        <v>-0.4</v>
      </c>
      <c r="K669" s="9" t="n">
        <v>-0.55</v>
      </c>
      <c r="L669" s="9" t="n">
        <v>0.55</v>
      </c>
      <c r="M669" s="8" t="n">
        <v>6</v>
      </c>
      <c r="N669" s="8" t="inlineStr">
        <is>
          <t>6x I-220 ยาว 22 ม.</t>
        </is>
      </c>
      <c r="O669" s="8">
        <f>F669*G669*H669</f>
        <v/>
      </c>
      <c r="P669" s="8">
        <f>2*(F669+G669)*H669</f>
        <v/>
      </c>
      <c r="Q669" s="8">
        <f>IF(L669&gt;0,(F669+2*0.1)*(G669+2*0.1)*L669,0)</f>
        <v/>
      </c>
      <c r="R669" s="8">
        <f>(F669+0.2)*(G669+0.2)*0.1</f>
        <v/>
      </c>
      <c r="S669" s="8">
        <f>(F669+0.2)*(G669+0.2)*0.05</f>
        <v/>
      </c>
      <c r="T669" s="8">
        <f>INDEX('2-ฐานราก เหล็กเสริม'!$S:$S,MATCH(B669,'2-ฐานราก เหล็กเสริม'!$A:$A,0))</f>
        <v/>
      </c>
      <c r="U669" s="8" t="inlineStr">
        <is>
          <t>M45</t>
        </is>
      </c>
      <c r="V669" s="8" t="inlineStr">
        <is>
          <t>แบบ A104</t>
        </is>
      </c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</row>
    <row r="671">
      <c r="A671" s="11" t="inlineStr">
        <is>
          <t>รวม</t>
        </is>
      </c>
      <c r="B671" s="11" t="inlineStr"/>
      <c r="C671" s="11" t="inlineStr"/>
      <c r="D671" s="11" t="inlineStr"/>
      <c r="E671" s="11" t="inlineStr"/>
      <c r="F671" s="11" t="inlineStr"/>
      <c r="G671" s="11" t="inlineStr"/>
      <c r="H671" s="11" t="inlineStr"/>
      <c r="I671" s="11" t="inlineStr"/>
      <c r="J671" s="11" t="inlineStr"/>
      <c r="K671" s="11" t="inlineStr"/>
      <c r="L671" s="11" t="inlineStr"/>
      <c r="M671" s="11">
        <f>SUM(M4:M669)</f>
        <v/>
      </c>
      <c r="N671" s="11" t="inlineStr"/>
      <c r="O671" s="11">
        <f>SUM(O4:O669)</f>
        <v/>
      </c>
      <c r="P671" s="11">
        <f>SUM(P4:P669)</f>
        <v/>
      </c>
      <c r="Q671" s="11">
        <f>SUM(Q4:Q669)</f>
        <v/>
      </c>
      <c r="R671" s="11">
        <f>SUM(R4:R669)</f>
        <v/>
      </c>
      <c r="S671" s="11">
        <f>SUM(S4:S669)</f>
        <v/>
      </c>
      <c r="T671" s="11">
        <f>SUM(T4:T669)</f>
        <v/>
      </c>
      <c r="U671" s="11" t="n"/>
      <c r="V671" s="11" t="n"/>
    </row>
    <row r="672">
      <c r="A672" s="8" t="inlineStr">
        <is>
          <t>หมายเหตุ: ระดับท้องฐานตามที่ใช้ในโมเดล (F2P -1.20 จากความยาวเสา C1 4.90 ม. ตาราง S4.1, F1P +0.10 ชิดท้องพื้น S1, F1A -0.45 ชิดท้องพื้น S2, F1P-1 -1.00, แท่นหม้อแปลง -0.40 ตาม A104) ยังรอยืนยันจากแบบขยายฐานราก; ดินขุดคิดจากระดับดินเดิม ±0.00 เผื่อข้าง 0.1 ม. ใต้ฐานมีคอนกรีตหยาบ 0.05 + ทราย 0.1 ม.</t>
        </is>
      </c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8" customWidth="1" min="4" max="4"/>
    <col width="7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8" customWidth="1" min="17" max="17"/>
    <col width="8" customWidth="1" min="18" max="18"/>
    <col width="11" customWidth="1" min="19" max="19"/>
    <col width="12" customWidth="1" min="20" max="20"/>
    <col width="22" customWidth="1" min="21" max="21"/>
  </cols>
  <sheetData>
    <row r="1">
      <c r="A1" s="1" t="inlineStr">
        <is>
          <t>เหล็กเสริมฐานราก แยกตามชนิด (กรอกช่องสีเหลืองตามเอกสารออกแบบ ระบบคำนวณน้ำหนักทุกฐานอัตโนมัติ)</t>
        </is>
      </c>
    </row>
    <row r="2">
      <c r="A2" t="inlineStr">
        <is>
          <t>งานก่อสร้างอาคารโกดังและงานบริเวณ บริษัท ตงเฉิน อีเล็คทริค เคเบิ้ล แอนด์ไวร์ จำกัด | WEC-TC-6901</t>
        </is>
      </c>
    </row>
    <row r="3" ht="42" customHeight="1">
      <c r="A3" s="7" t="inlineStr">
        <is>
          <t>ชนิด</t>
        </is>
      </c>
      <c r="B3" s="7" t="inlineStr">
        <is>
          <t>รายละเอียด</t>
        </is>
      </c>
      <c r="C3" s="7" t="inlineStr">
        <is>
          <t>ด้านยาว (ม.)</t>
        </is>
      </c>
      <c r="D3" s="7" t="inlineStr">
        <is>
          <t>ด้านสั้น (ม.)</t>
        </is>
      </c>
      <c r="E3" s="7" t="inlineStr">
        <is>
          <t>หนา (ม.)</t>
        </is>
      </c>
      <c r="F3" s="7" t="inlineStr">
        <is>
          <t>ระยะหุ้ม (ม.)</t>
        </is>
      </c>
      <c r="G3" s="7" t="inlineStr">
        <is>
          <t>ตะแกรงล่าง แนวยาว: จำนวน</t>
        </is>
      </c>
      <c r="H3" s="7" t="inlineStr">
        <is>
          <t>Ø (มม.)</t>
        </is>
      </c>
      <c r="I3" s="7" t="inlineStr">
        <is>
          <t>ตะแกรงล่าง แนวสั้น: จำนวน</t>
        </is>
      </c>
      <c r="J3" s="7" t="inlineStr">
        <is>
          <t>Ø (มม.)</t>
        </is>
      </c>
      <c r="K3" s="7" t="inlineStr">
        <is>
          <t>ตะแกรงบน แนวยาว: จำนวน</t>
        </is>
      </c>
      <c r="L3" s="7" t="inlineStr">
        <is>
          <t>Ø (มม.)</t>
        </is>
      </c>
      <c r="M3" s="7" t="inlineStr">
        <is>
          <t>ตะแกรงบน แนวสั้น: จำนวน</t>
        </is>
      </c>
      <c r="N3" s="7" t="inlineStr">
        <is>
          <t>Ø (มม.)</t>
        </is>
      </c>
      <c r="O3" s="7" t="inlineStr">
        <is>
          <t>เหล็กรัดรอบข้าง: จำนวนชั้น</t>
        </is>
      </c>
      <c r="P3" s="7" t="inlineStr">
        <is>
          <t>Ø (มม.)</t>
        </is>
      </c>
      <c r="Q3" s="7" t="inlineStr">
        <is>
          <t>งอปลาย (เท่าของ Ø)</t>
        </is>
      </c>
      <c r="R3" s="7" t="inlineStr">
        <is>
          <t>จำนวนฐาน</t>
        </is>
      </c>
      <c r="S3" s="7" t="inlineStr">
        <is>
          <t>เหล็กเสริม/ฐาน (กก.)</t>
        </is>
      </c>
      <c r="T3" s="7" t="inlineStr">
        <is>
          <t>เหล็กเสริมรวม (กก.)</t>
        </is>
      </c>
      <c r="U3" s="7" t="inlineStr">
        <is>
          <t>สถานะ</t>
        </is>
      </c>
    </row>
    <row r="4">
      <c r="A4" s="8" t="inlineStr">
        <is>
          <t>F2P</t>
        </is>
      </c>
      <c r="B4" s="8" t="inlineStr">
        <is>
          <t>ฐานราก F2P 0.60x1.50x0.80 (เข็ม 2 ต้น) รับเสา C1/C2</t>
        </is>
      </c>
      <c r="C4" s="9" t="n">
        <v>1.5</v>
      </c>
      <c r="D4" s="9" t="n">
        <v>0.6</v>
      </c>
      <c r="E4" s="9" t="n">
        <v>0.8</v>
      </c>
      <c r="F4" s="9" t="n">
        <v>0.075</v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>
        <v>12</v>
      </c>
      <c r="R4" s="8">
        <f>COUNTIF('1-ฐานราก รายจุด'!$B:$B,A4)</f>
        <v/>
      </c>
      <c r="S4" s="8">
        <f>G4*(C4-2*F4+2*Q4*H4/1000)*H4^2/162 + I4*(D4-2*F4+2*Q4*J4/1000)*J4^2/162 + K4*(C4-2*F4+2*Q4*L4/1000)*L4^2/162 + M4*(D4-2*F4+2*Q4*N4/1000)*N4^2/162 + O4*(2*(C4+D4)-8*F4+0.3)*P4^2/162</f>
        <v/>
      </c>
      <c r="T4" s="8">
        <f>R4*S4</f>
        <v/>
      </c>
      <c r="U4" s="10" t="inlineStr">
        <is>
          <t>รอเอกสารออกแบบเหล็กเสริม</t>
        </is>
      </c>
    </row>
    <row r="5">
      <c r="A5" s="8" t="inlineStr">
        <is>
          <t>F1P</t>
        </is>
      </c>
      <c r="B5" s="8" t="inlineStr">
        <is>
          <t>Drop panel F1P 1.00x1.00x0.20 ใต้พื้น S1 (เข็ม I35 1 ต้น)</t>
        </is>
      </c>
      <c r="C5" s="9" t="n">
        <v>1</v>
      </c>
      <c r="D5" s="9" t="n">
        <v>1</v>
      </c>
      <c r="E5" s="9" t="n">
        <v>0.2</v>
      </c>
      <c r="F5" s="9" t="n">
        <v>0.05</v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>
        <v>12</v>
      </c>
      <c r="R5" s="8">
        <f>COUNTIF('1-ฐานราก รายจุด'!$B:$B,A5)</f>
        <v/>
      </c>
      <c r="S5" s="8">
        <f>G5*(C5-2*F5+2*Q5*H5/1000)*H5^2/162 + I5*(D5-2*F5+2*Q5*J5/1000)*J5^2/162 + K5*(C5-2*F5+2*Q5*L5/1000)*L5^2/162 + M5*(D5-2*F5+2*Q5*N5/1000)*N5^2/162 + O5*(2*(C5+D5)-8*F5+0.3)*P5^2/162</f>
        <v/>
      </c>
      <c r="T5" s="8">
        <f>R5*S5</f>
        <v/>
      </c>
      <c r="U5" s="10" t="inlineStr">
        <is>
          <t>รอเอกสารออกแบบเหล็กเสริม</t>
        </is>
      </c>
    </row>
    <row r="6">
      <c r="A6" s="8" t="inlineStr">
        <is>
          <t>F1P-1</t>
        </is>
      </c>
      <c r="B6" s="8" t="inlineStr">
        <is>
          <t>ฐาน F1P-1 0.60x0.60x0.60 อาคารประกอบ (เข็ม 1 ต้น)</t>
        </is>
      </c>
      <c r="C6" s="9" t="n">
        <v>0.6</v>
      </c>
      <c r="D6" s="9" t="n">
        <v>0.6</v>
      </c>
      <c r="E6" s="9" t="n">
        <v>0.6</v>
      </c>
      <c r="F6" s="9" t="n">
        <v>0.075</v>
      </c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>
        <v>12</v>
      </c>
      <c r="R6" s="8">
        <f>COUNTIF('1-ฐานราก รายจุด'!$B:$B,A6)</f>
        <v/>
      </c>
      <c r="S6" s="8">
        <f>G6*(C6-2*F6+2*Q6*H6/1000)*H6^2/162 + I6*(D6-2*F6+2*Q6*J6/1000)*J6^2/162 + K6*(C6-2*F6+2*Q6*L6/1000)*L6^2/162 + M6*(D6-2*F6+2*Q6*N6/1000)*N6^2/162 + O6*(2*(C6+D6)-8*F6+0.3)*P6^2/162</f>
        <v/>
      </c>
      <c r="T6" s="8">
        <f>R6*S6</f>
        <v/>
      </c>
      <c r="U6" s="10" t="inlineStr">
        <is>
          <t>รอเอกสารออกแบบเหล็กเสริม</t>
        </is>
      </c>
    </row>
    <row r="7">
      <c r="A7" s="8" t="inlineStr">
        <is>
          <t>F1A</t>
        </is>
      </c>
      <c r="B7" s="8" t="inlineStr">
        <is>
          <t>ฐาน F1A 0.60x0.60x0.30 ใต้พื้นถนน S2 (เข็ม I22 1 ต้น)</t>
        </is>
      </c>
      <c r="C7" s="9" t="n">
        <v>0.6</v>
      </c>
      <c r="D7" s="9" t="n">
        <v>0.6</v>
      </c>
      <c r="E7" s="9" t="n">
        <v>0.3</v>
      </c>
      <c r="F7" s="9" t="n">
        <v>0.05</v>
      </c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>
        <v>12</v>
      </c>
      <c r="R7" s="8">
        <f>COUNTIF('1-ฐานราก รายจุด'!$B:$B,A7)</f>
        <v/>
      </c>
      <c r="S7" s="8">
        <f>G7*(C7-2*F7+2*Q7*H7/1000)*H7^2/162 + I7*(D7-2*F7+2*Q7*J7/1000)*J7^2/162 + K7*(C7-2*F7+2*Q7*L7/1000)*L7^2/162 + M7*(D7-2*F7+2*Q7*N7/1000)*N7^2/162 + O7*(2*(C7+D7)-8*F7+0.3)*P7^2/162</f>
        <v/>
      </c>
      <c r="T7" s="8">
        <f>R7*S7</f>
        <v/>
      </c>
      <c r="U7" s="10" t="inlineStr">
        <is>
          <t>รอเอกสารออกแบบเหล็กเสริม</t>
        </is>
      </c>
    </row>
    <row r="8">
      <c r="A8" s="8" t="inlineStr">
        <is>
          <t>SQ66</t>
        </is>
      </c>
      <c r="B8" s="8" t="inlineStr">
        <is>
          <t>ฐาน 0.66x0.66 แนวเขตที่ดิน (หน้าที่รอยืนยัน)</t>
        </is>
      </c>
      <c r="C8" s="9" t="n">
        <v>0.66</v>
      </c>
      <c r="D8" s="9" t="n">
        <v>0.66</v>
      </c>
      <c r="E8" s="9" t="n">
        <v>0.3</v>
      </c>
      <c r="F8" s="9" t="n">
        <v>0.05</v>
      </c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>
        <v>12</v>
      </c>
      <c r="R8" s="8">
        <f>COUNTIF('1-ฐานราก รายจุด'!$B:$B,A8)</f>
        <v/>
      </c>
      <c r="S8" s="8">
        <f>G8*(C8-2*F8+2*Q8*H8/1000)*H8^2/162 + I8*(D8-2*F8+2*Q8*J8/1000)*J8^2/162 + K8*(C8-2*F8+2*Q8*L8/1000)*L8^2/162 + M8*(D8-2*F8+2*Q8*N8/1000)*N8^2/162 + O8*(2*(C8+D8)-8*F8+0.3)*P8^2/162</f>
        <v/>
      </c>
      <c r="T8" s="8">
        <f>R8*S8</f>
        <v/>
      </c>
      <c r="U8" s="10" t="inlineStr">
        <is>
          <t>รอเอกสารออกแบบเหล็กเสริม</t>
        </is>
      </c>
    </row>
    <row r="9">
      <c r="A9" s="8" t="inlineStr">
        <is>
          <t>TRP</t>
        </is>
      </c>
      <c r="B9" s="8" t="inlineStr">
        <is>
          <t>แท่นหม้อแปลง 750 kVA (A104) ฐาน 5.00x3.00x0.40 + แท่น 3.50x1.75x0.15</t>
        </is>
      </c>
      <c r="C9" s="9" t="n">
        <v>5</v>
      </c>
      <c r="D9" s="9" t="n">
        <v>3</v>
      </c>
      <c r="E9" s="9" t="n">
        <v>0.4</v>
      </c>
      <c r="F9" s="9" t="n">
        <v>0.075</v>
      </c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>
        <v>12</v>
      </c>
      <c r="R9" s="8">
        <f>COUNTIF('1-ฐานราก รายจุด'!$B:$B,A9)</f>
        <v/>
      </c>
      <c r="S9" s="8">
        <f>G9*(C9-2*F9+2*Q9*H9/1000)*H9^2/162 + I9*(D9-2*F9+2*Q9*J9/1000)*J9^2/162 + K9*(C9-2*F9+2*Q9*L9/1000)*L9^2/162 + M9*(D9-2*F9+2*Q9*N9/1000)*N9^2/162 + O9*(2*(C9+D9)-8*F9+0.3)*P9^2/162</f>
        <v/>
      </c>
      <c r="T9" s="8">
        <f>R9*S9</f>
        <v/>
      </c>
      <c r="U9" s="10" t="inlineStr">
        <is>
          <t>รอเอกสารออกแบบเหล็กเสริม</t>
        </is>
      </c>
    </row>
    <row r="10">
      <c r="A10" s="8" t="inlineStr">
        <is>
          <t>รวม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>
        <f>SUM(T4:T9)</f>
        <v/>
      </c>
      <c r="U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8" t="inlineStr">
        <is>
          <t>ตัวอย่างการกรอก: F2P ตะแกรงล่างแนวยาว 6 เส้น Ø16 → ช่อง G=6, H=16; ตะแกรงล่างแนวสั้น 10 เส้น Ø12 → I=10, J=12 (ระบุจำนวนเส้นจริงตามแบบ ไม่ใช่ระยะห่าง)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8" t="inlineStr">
        <is>
          <t>เหล็กยืนของเสาที่ฝังในฐานราก คิดในชีต 4 (เสา) ไม่ซ้ำในชีตนี้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12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0" customWidth="1" min="12" max="12"/>
    <col width="10" customWidth="1" min="13" max="13"/>
    <col width="11" customWidth="1" min="14" max="14"/>
    <col width="28" customWidth="1" min="15" max="15"/>
  </cols>
  <sheetData>
    <row r="1">
      <c r="A1" s="1" t="inlineStr">
        <is>
          <t>ตารางเสา คสล. รายต้น (โคนเสา = หลังฐานราก, หัวเสา = +4.50 / อาคารประกอบ +3.00)</t>
        </is>
      </c>
    </row>
    <row r="2">
      <c r="A2" t="inlineStr">
        <is>
          <t>งานก่อสร้างอาคารโกดังและงานบริเวณ บริษัท ตงเฉิน อีเล็คทริค เคเบิ้ล แอนด์ไวร์ จำกัด | WEC-TC-6901</t>
        </is>
      </c>
    </row>
    <row r="3" ht="42" customHeight="1">
      <c r="A3" s="7" t="inlineStr">
        <is>
          <t>รหัส</t>
        </is>
      </c>
      <c r="B3" s="7" t="inlineStr">
        <is>
          <t>ชนิด</t>
        </is>
      </c>
      <c r="C3" s="7" t="inlineStr">
        <is>
          <t>ตำแหน่งกริด</t>
        </is>
      </c>
      <c r="D3" s="7" t="inlineStr">
        <is>
          <t>พิกัด x</t>
        </is>
      </c>
      <c r="E3" s="7" t="inlineStr">
        <is>
          <t>พิกัด y</t>
        </is>
      </c>
      <c r="F3" s="7" t="inlineStr">
        <is>
          <t>หน้าตัด X (ม.)</t>
        </is>
      </c>
      <c r="G3" s="7" t="inlineStr">
        <is>
          <t>หน้าตัด Y (ม.)</t>
        </is>
      </c>
      <c r="H3" s="7" t="inlineStr">
        <is>
          <t>ระดับโคนเสา</t>
        </is>
      </c>
      <c r="I3" s="7" t="inlineStr">
        <is>
          <t>ระดับหัวเสา</t>
        </is>
      </c>
      <c r="J3" s="7" t="inlineStr">
        <is>
          <t>ความสูง (ม.)</t>
        </is>
      </c>
      <c r="K3" s="7" t="inlineStr">
        <is>
          <t>ฐานรากรองรับ</t>
        </is>
      </c>
      <c r="L3" s="7" t="inlineStr">
        <is>
          <t>คอนกรีต (ลบ.ม.)</t>
        </is>
      </c>
      <c r="M3" s="7" t="inlineStr">
        <is>
          <t>ไม้แบบ (ตร.ม.)</t>
        </is>
      </c>
      <c r="N3" s="7" t="inlineStr">
        <is>
          <t>เหล็กเสริม (กก.)</t>
        </is>
      </c>
      <c r="O3" s="7" t="inlineStr">
        <is>
          <t>สถานะ</t>
        </is>
      </c>
    </row>
    <row r="4">
      <c r="A4" s="8" t="inlineStr">
        <is>
          <t>C1-001</t>
        </is>
      </c>
      <c r="B4" s="8" t="inlineStr">
        <is>
          <t>C1</t>
        </is>
      </c>
      <c r="C4" s="8" t="inlineStr">
        <is>
          <t>1/A</t>
        </is>
      </c>
      <c r="D4" s="9" t="n">
        <v>-0.016</v>
      </c>
      <c r="E4" s="9" t="n">
        <v>0.008</v>
      </c>
      <c r="F4" s="9" t="n">
        <v>0.5</v>
      </c>
      <c r="G4" s="9" t="n">
        <v>0.3</v>
      </c>
      <c r="H4" s="9" t="n">
        <v>-0.4</v>
      </c>
      <c r="I4" s="9" t="n">
        <v>4.5</v>
      </c>
      <c r="J4" s="8">
        <f>I4-H4</f>
        <v/>
      </c>
      <c r="K4" s="8" t="inlineStr">
        <is>
          <t>F2P-001</t>
        </is>
      </c>
      <c r="L4" s="8">
        <f>F4*G4*J4</f>
        <v/>
      </c>
      <c r="M4" s="8">
        <f>2*(F4+G4)*J4</f>
        <v/>
      </c>
      <c r="N4" s="8">
        <f>INDEX('4-เสา เหล็กเสริม'!$O:$O,MATCH(B4,'4-เสา เหล็กเสริม'!$A:$A,0))</f>
        <v/>
      </c>
      <c r="O4" s="8" t="inlineStr">
        <is>
          <t>แบบ S201 (ตำแหน่ง) / ระดับรอยืนยัน</t>
        </is>
      </c>
    </row>
    <row r="5">
      <c r="A5" s="8" t="inlineStr">
        <is>
          <t>C1-002</t>
        </is>
      </c>
      <c r="B5" s="8" t="inlineStr">
        <is>
          <t>C1</t>
        </is>
      </c>
      <c r="C5" s="8" t="inlineStr">
        <is>
          <t>2/A</t>
        </is>
      </c>
      <c r="D5" s="9" t="n">
        <v>5.988</v>
      </c>
      <c r="E5" s="9" t="n">
        <v>0.008</v>
      </c>
      <c r="F5" s="9" t="n">
        <v>0.3</v>
      </c>
      <c r="G5" s="9" t="n">
        <v>0.5</v>
      </c>
      <c r="H5" s="9" t="n">
        <v>-0.4</v>
      </c>
      <c r="I5" s="9" t="n">
        <v>4.5</v>
      </c>
      <c r="J5" s="8">
        <f>I5-H5</f>
        <v/>
      </c>
      <c r="K5" s="8" t="inlineStr">
        <is>
          <t>F2P-002</t>
        </is>
      </c>
      <c r="L5" s="8">
        <f>F5*G5*J5</f>
        <v/>
      </c>
      <c r="M5" s="8">
        <f>2*(F5+G5)*J5</f>
        <v/>
      </c>
      <c r="N5" s="8">
        <f>INDEX('4-เสา เหล็กเสริม'!$O:$O,MATCH(B5,'4-เสา เหล็กเสริม'!$A:$A,0))</f>
        <v/>
      </c>
      <c r="O5" s="8" t="inlineStr">
        <is>
          <t>แบบ S201 (ตำแหน่ง) / ระดับรอยืนยัน</t>
        </is>
      </c>
    </row>
    <row r="6">
      <c r="A6" s="8" t="inlineStr">
        <is>
          <t>C1-003</t>
        </is>
      </c>
      <c r="B6" s="8" t="inlineStr">
        <is>
          <t>C1</t>
        </is>
      </c>
      <c r="C6" s="8" t="inlineStr">
        <is>
          <t>3/A</t>
        </is>
      </c>
      <c r="D6" s="9" t="n">
        <v>11.986</v>
      </c>
      <c r="E6" s="9" t="n">
        <v>0.008</v>
      </c>
      <c r="F6" s="9" t="n">
        <v>0.3</v>
      </c>
      <c r="G6" s="9" t="n">
        <v>0.5</v>
      </c>
      <c r="H6" s="9" t="n">
        <v>-0.4</v>
      </c>
      <c r="I6" s="9" t="n">
        <v>4.5</v>
      </c>
      <c r="J6" s="8">
        <f>I6-H6</f>
        <v/>
      </c>
      <c r="K6" s="8" t="inlineStr">
        <is>
          <t>F2P-003</t>
        </is>
      </c>
      <c r="L6" s="8">
        <f>F6*G6*J6</f>
        <v/>
      </c>
      <c r="M6" s="8">
        <f>2*(F6+G6)*J6</f>
        <v/>
      </c>
      <c r="N6" s="8">
        <f>INDEX('4-เสา เหล็กเสริม'!$O:$O,MATCH(B6,'4-เสา เหล็กเสริม'!$A:$A,0))</f>
        <v/>
      </c>
      <c r="O6" s="8" t="inlineStr">
        <is>
          <t>แบบ S201 (ตำแหน่ง) / ระดับรอยืนยัน</t>
        </is>
      </c>
    </row>
    <row r="7">
      <c r="A7" s="8" t="inlineStr">
        <is>
          <t>C1-004</t>
        </is>
      </c>
      <c r="B7" s="8" t="inlineStr">
        <is>
          <t>C1</t>
        </is>
      </c>
      <c r="C7" s="8" t="inlineStr">
        <is>
          <t>4/A</t>
        </is>
      </c>
      <c r="D7" s="9" t="n">
        <v>17.99</v>
      </c>
      <c r="E7" s="9" t="n">
        <v>0.008</v>
      </c>
      <c r="F7" s="9" t="n">
        <v>0.3</v>
      </c>
      <c r="G7" s="9" t="n">
        <v>0.5</v>
      </c>
      <c r="H7" s="9" t="n">
        <v>-0.4</v>
      </c>
      <c r="I7" s="9" t="n">
        <v>4.5</v>
      </c>
      <c r="J7" s="8">
        <f>I7-H7</f>
        <v/>
      </c>
      <c r="K7" s="8" t="inlineStr">
        <is>
          <t>F2P-004</t>
        </is>
      </c>
      <c r="L7" s="8">
        <f>F7*G7*J7</f>
        <v/>
      </c>
      <c r="M7" s="8">
        <f>2*(F7+G7)*J7</f>
        <v/>
      </c>
      <c r="N7" s="8">
        <f>INDEX('4-เสา เหล็กเสริม'!$O:$O,MATCH(B7,'4-เสา เหล็กเสริม'!$A:$A,0))</f>
        <v/>
      </c>
      <c r="O7" s="8" t="inlineStr">
        <is>
          <t>แบบ S201 (ตำแหน่ง) / ระดับรอยืนยัน</t>
        </is>
      </c>
    </row>
    <row r="8">
      <c r="A8" s="8" t="inlineStr">
        <is>
          <t>C1-005</t>
        </is>
      </c>
      <c r="B8" s="8" t="inlineStr">
        <is>
          <t>C1</t>
        </is>
      </c>
      <c r="C8" s="8" t="inlineStr">
        <is>
          <t>5/A</t>
        </is>
      </c>
      <c r="D8" s="9" t="n">
        <v>23.994</v>
      </c>
      <c r="E8" s="9" t="n">
        <v>0.008</v>
      </c>
      <c r="F8" s="9" t="n">
        <v>0.3</v>
      </c>
      <c r="G8" s="9" t="n">
        <v>0.5</v>
      </c>
      <c r="H8" s="9" t="n">
        <v>-0.4</v>
      </c>
      <c r="I8" s="9" t="n">
        <v>4.5</v>
      </c>
      <c r="J8" s="8">
        <f>I8-H8</f>
        <v/>
      </c>
      <c r="K8" s="8" t="inlineStr">
        <is>
          <t>F2P-005</t>
        </is>
      </c>
      <c r="L8" s="8">
        <f>F8*G8*J8</f>
        <v/>
      </c>
      <c r="M8" s="8">
        <f>2*(F8+G8)*J8</f>
        <v/>
      </c>
      <c r="N8" s="8">
        <f>INDEX('4-เสา เหล็กเสริม'!$O:$O,MATCH(B8,'4-เสา เหล็กเสริม'!$A:$A,0))</f>
        <v/>
      </c>
      <c r="O8" s="8" t="inlineStr">
        <is>
          <t>แบบ S201 (ตำแหน่ง) / ระดับรอยืนยัน</t>
        </is>
      </c>
    </row>
    <row r="9">
      <c r="A9" s="8" t="inlineStr">
        <is>
          <t>C1-006</t>
        </is>
      </c>
      <c r="B9" s="8" t="inlineStr">
        <is>
          <t>C1</t>
        </is>
      </c>
      <c r="C9" s="8" t="inlineStr">
        <is>
          <t>6/A</t>
        </is>
      </c>
      <c r="D9" s="9" t="n">
        <v>29.992</v>
      </c>
      <c r="E9" s="9" t="n">
        <v>0.008</v>
      </c>
      <c r="F9" s="9" t="n">
        <v>0.3</v>
      </c>
      <c r="G9" s="9" t="n">
        <v>0.5</v>
      </c>
      <c r="H9" s="9" t="n">
        <v>-0.4</v>
      </c>
      <c r="I9" s="9" t="n">
        <v>4.5</v>
      </c>
      <c r="J9" s="8">
        <f>I9-H9</f>
        <v/>
      </c>
      <c r="K9" s="8" t="inlineStr">
        <is>
          <t>F2P-006</t>
        </is>
      </c>
      <c r="L9" s="8">
        <f>F9*G9*J9</f>
        <v/>
      </c>
      <c r="M9" s="8">
        <f>2*(F9+G9)*J9</f>
        <v/>
      </c>
      <c r="N9" s="8">
        <f>INDEX('4-เสา เหล็กเสริม'!$O:$O,MATCH(B9,'4-เสา เหล็กเสริม'!$A:$A,0))</f>
        <v/>
      </c>
      <c r="O9" s="8" t="inlineStr">
        <is>
          <t>แบบ S201 (ตำแหน่ง) / ระดับรอยืนยัน</t>
        </is>
      </c>
    </row>
    <row r="10">
      <c r="A10" s="8" t="inlineStr">
        <is>
          <t>C1-007</t>
        </is>
      </c>
      <c r="B10" s="8" t="inlineStr">
        <is>
          <t>C1</t>
        </is>
      </c>
      <c r="C10" s="8" t="inlineStr">
        <is>
          <t>7/A</t>
        </is>
      </c>
      <c r="D10" s="9" t="n">
        <v>35.989</v>
      </c>
      <c r="E10" s="9" t="n">
        <v>0.008</v>
      </c>
      <c r="F10" s="9" t="n">
        <v>0.3</v>
      </c>
      <c r="G10" s="9" t="n">
        <v>0.5</v>
      </c>
      <c r="H10" s="9" t="n">
        <v>-0.4</v>
      </c>
      <c r="I10" s="9" t="n">
        <v>4.5</v>
      </c>
      <c r="J10" s="8">
        <f>I10-H10</f>
        <v/>
      </c>
      <c r="K10" s="8" t="inlineStr">
        <is>
          <t>F2P-007</t>
        </is>
      </c>
      <c r="L10" s="8">
        <f>F10*G10*J10</f>
        <v/>
      </c>
      <c r="M10" s="8">
        <f>2*(F10+G10)*J10</f>
        <v/>
      </c>
      <c r="N10" s="8">
        <f>INDEX('4-เสา เหล็กเสริม'!$O:$O,MATCH(B10,'4-เสา เหล็กเสริม'!$A:$A,0))</f>
        <v/>
      </c>
      <c r="O10" s="8" t="inlineStr">
        <is>
          <t>แบบ S201 (ตำแหน่ง) / ระดับรอยืนยัน</t>
        </is>
      </c>
    </row>
    <row r="11">
      <c r="A11" s="8" t="inlineStr">
        <is>
          <t>C1-008</t>
        </is>
      </c>
      <c r="B11" s="8" t="inlineStr">
        <is>
          <t>C1</t>
        </is>
      </c>
      <c r="C11" s="8" t="inlineStr">
        <is>
          <t>8/A</t>
        </is>
      </c>
      <c r="D11" s="9" t="n">
        <v>41.994</v>
      </c>
      <c r="E11" s="9" t="n">
        <v>0.008</v>
      </c>
      <c r="F11" s="9" t="n">
        <v>0.3</v>
      </c>
      <c r="G11" s="9" t="n">
        <v>0.5</v>
      </c>
      <c r="H11" s="9" t="n">
        <v>-0.4</v>
      </c>
      <c r="I11" s="9" t="n">
        <v>4.5</v>
      </c>
      <c r="J11" s="8">
        <f>I11-H11</f>
        <v/>
      </c>
      <c r="K11" s="8" t="inlineStr">
        <is>
          <t>F2P-008</t>
        </is>
      </c>
      <c r="L11" s="8">
        <f>F11*G11*J11</f>
        <v/>
      </c>
      <c r="M11" s="8">
        <f>2*(F11+G11)*J11</f>
        <v/>
      </c>
      <c r="N11" s="8">
        <f>INDEX('4-เสา เหล็กเสริม'!$O:$O,MATCH(B11,'4-เสา เหล็กเสริม'!$A:$A,0))</f>
        <v/>
      </c>
      <c r="O11" s="8" t="inlineStr">
        <is>
          <t>แบบ S201 (ตำแหน่ง) / ระดับรอยืนยัน</t>
        </is>
      </c>
    </row>
    <row r="12">
      <c r="A12" s="8" t="inlineStr">
        <is>
          <t>C1-009</t>
        </is>
      </c>
      <c r="B12" s="8" t="inlineStr">
        <is>
          <t>C1</t>
        </is>
      </c>
      <c r="C12" s="8" t="inlineStr">
        <is>
          <t>9/A</t>
        </is>
      </c>
      <c r="D12" s="9" t="n">
        <v>47.991</v>
      </c>
      <c r="E12" s="9" t="n">
        <v>0.008</v>
      </c>
      <c r="F12" s="9" t="n">
        <v>0.3</v>
      </c>
      <c r="G12" s="9" t="n">
        <v>0.5</v>
      </c>
      <c r="H12" s="9" t="n">
        <v>-0.4</v>
      </c>
      <c r="I12" s="9" t="n">
        <v>4.5</v>
      </c>
      <c r="J12" s="8">
        <f>I12-H12</f>
        <v/>
      </c>
      <c r="K12" s="8" t="inlineStr">
        <is>
          <t>F2P-009</t>
        </is>
      </c>
      <c r="L12" s="8">
        <f>F12*G12*J12</f>
        <v/>
      </c>
      <c r="M12" s="8">
        <f>2*(F12+G12)*J12</f>
        <v/>
      </c>
      <c r="N12" s="8">
        <f>INDEX('4-เสา เหล็กเสริม'!$O:$O,MATCH(B12,'4-เสา เหล็กเสริม'!$A:$A,0))</f>
        <v/>
      </c>
      <c r="O12" s="8" t="inlineStr">
        <is>
          <t>แบบ S201 (ตำแหน่ง) / ระดับรอยืนยัน</t>
        </is>
      </c>
    </row>
    <row r="13">
      <c r="A13" s="8" t="inlineStr">
        <is>
          <t>C1-010</t>
        </is>
      </c>
      <c r="B13" s="8" t="inlineStr">
        <is>
          <t>C1</t>
        </is>
      </c>
      <c r="C13" s="8" t="inlineStr">
        <is>
          <t>10/A</t>
        </is>
      </c>
      <c r="D13" s="9" t="n">
        <v>53.995</v>
      </c>
      <c r="E13" s="9" t="n">
        <v>0.008</v>
      </c>
      <c r="F13" s="9" t="n">
        <v>0.3</v>
      </c>
      <c r="G13" s="9" t="n">
        <v>0.5</v>
      </c>
      <c r="H13" s="9" t="n">
        <v>-0.4</v>
      </c>
      <c r="I13" s="9" t="n">
        <v>4.5</v>
      </c>
      <c r="J13" s="8">
        <f>I13-H13</f>
        <v/>
      </c>
      <c r="K13" s="8" t="inlineStr">
        <is>
          <t>F2P-010</t>
        </is>
      </c>
      <c r="L13" s="8">
        <f>F13*G13*J13</f>
        <v/>
      </c>
      <c r="M13" s="8">
        <f>2*(F13+G13)*J13</f>
        <v/>
      </c>
      <c r="N13" s="8">
        <f>INDEX('4-เสา เหล็กเสริม'!$O:$O,MATCH(B13,'4-เสา เหล็กเสริม'!$A:$A,0))</f>
        <v/>
      </c>
      <c r="O13" s="8" t="inlineStr">
        <is>
          <t>แบบ S201 (ตำแหน่ง) / ระดับรอยืนยัน</t>
        </is>
      </c>
    </row>
    <row r="14">
      <c r="A14" s="8" t="inlineStr">
        <is>
          <t>C1-011</t>
        </is>
      </c>
      <c r="B14" s="8" t="inlineStr">
        <is>
          <t>C1</t>
        </is>
      </c>
      <c r="C14" s="8" t="inlineStr">
        <is>
          <t>11/A</t>
        </is>
      </c>
      <c r="D14" s="9" t="n">
        <v>59.993</v>
      </c>
      <c r="E14" s="9" t="n">
        <v>0.008</v>
      </c>
      <c r="F14" s="9" t="n">
        <v>0.5</v>
      </c>
      <c r="G14" s="9" t="n">
        <v>0.3</v>
      </c>
      <c r="H14" s="9" t="n">
        <v>-0.4</v>
      </c>
      <c r="I14" s="9" t="n">
        <v>4.5</v>
      </c>
      <c r="J14" s="8">
        <f>I14-H14</f>
        <v/>
      </c>
      <c r="K14" s="8" t="inlineStr">
        <is>
          <t>F2P-011</t>
        </is>
      </c>
      <c r="L14" s="8">
        <f>F14*G14*J14</f>
        <v/>
      </c>
      <c r="M14" s="8">
        <f>2*(F14+G14)*J14</f>
        <v/>
      </c>
      <c r="N14" s="8">
        <f>INDEX('4-เสา เหล็กเสริม'!$O:$O,MATCH(B14,'4-เสา เหล็กเสริม'!$A:$A,0))</f>
        <v/>
      </c>
      <c r="O14" s="8" t="inlineStr">
        <is>
          <t>แบบ S201 (ตำแหน่ง) / ระดับรอยืนยัน</t>
        </is>
      </c>
    </row>
    <row r="15">
      <c r="A15" s="8" t="inlineStr">
        <is>
          <t>C1-012</t>
        </is>
      </c>
      <c r="B15" s="8" t="inlineStr">
        <is>
          <t>C1</t>
        </is>
      </c>
      <c r="C15" s="8" t="inlineStr">
        <is>
          <t>1/B</t>
        </is>
      </c>
      <c r="D15" s="9" t="n">
        <v>-0.016</v>
      </c>
      <c r="E15" s="9" t="n">
        <v>6.012</v>
      </c>
      <c r="F15" s="9" t="n">
        <v>0.5</v>
      </c>
      <c r="G15" s="9" t="n">
        <v>0.3</v>
      </c>
      <c r="H15" s="9" t="n">
        <v>-0.4</v>
      </c>
      <c r="I15" s="9" t="n">
        <v>4.5</v>
      </c>
      <c r="J15" s="8">
        <f>I15-H15</f>
        <v/>
      </c>
      <c r="K15" s="8" t="inlineStr">
        <is>
          <t>F2P-012</t>
        </is>
      </c>
      <c r="L15" s="8">
        <f>F15*G15*J15</f>
        <v/>
      </c>
      <c r="M15" s="8">
        <f>2*(F15+G15)*J15</f>
        <v/>
      </c>
      <c r="N15" s="8">
        <f>INDEX('4-เสา เหล็กเสริม'!$O:$O,MATCH(B15,'4-เสา เหล็กเสริม'!$A:$A,0))</f>
        <v/>
      </c>
      <c r="O15" s="8" t="inlineStr">
        <is>
          <t>แบบ S201 (ตำแหน่ง) / ระดับรอยืนยัน</t>
        </is>
      </c>
    </row>
    <row r="16">
      <c r="A16" s="8" t="inlineStr">
        <is>
          <t>C1-013</t>
        </is>
      </c>
      <c r="B16" s="8" t="inlineStr">
        <is>
          <t>C1</t>
        </is>
      </c>
      <c r="C16" s="8" t="inlineStr">
        <is>
          <t>6/B</t>
        </is>
      </c>
      <c r="D16" s="9" t="n">
        <v>29.992</v>
      </c>
      <c r="E16" s="9" t="n">
        <v>6.012</v>
      </c>
      <c r="F16" s="9" t="n">
        <v>0.5</v>
      </c>
      <c r="G16" s="9" t="n">
        <v>0.3</v>
      </c>
      <c r="H16" s="9" t="n">
        <v>-0.4</v>
      </c>
      <c r="I16" s="9" t="n">
        <v>4.5</v>
      </c>
      <c r="J16" s="8">
        <f>I16-H16</f>
        <v/>
      </c>
      <c r="K16" s="8" t="inlineStr">
        <is>
          <t>F2P-013</t>
        </is>
      </c>
      <c r="L16" s="8">
        <f>F16*G16*J16</f>
        <v/>
      </c>
      <c r="M16" s="8">
        <f>2*(F16+G16)*J16</f>
        <v/>
      </c>
      <c r="N16" s="8">
        <f>INDEX('4-เสา เหล็กเสริม'!$O:$O,MATCH(B16,'4-เสา เหล็กเสริม'!$A:$A,0))</f>
        <v/>
      </c>
      <c r="O16" s="8" t="inlineStr">
        <is>
          <t>แบบ S201 (ตำแหน่ง) / ระดับรอยืนยัน</t>
        </is>
      </c>
    </row>
    <row r="17">
      <c r="A17" s="8" t="inlineStr">
        <is>
          <t>C1-014</t>
        </is>
      </c>
      <c r="B17" s="8" t="inlineStr">
        <is>
          <t>C1</t>
        </is>
      </c>
      <c r="C17" s="8" t="inlineStr">
        <is>
          <t>11/B</t>
        </is>
      </c>
      <c r="D17" s="9" t="n">
        <v>59.993</v>
      </c>
      <c r="E17" s="9" t="n">
        <v>6.012</v>
      </c>
      <c r="F17" s="9" t="n">
        <v>0.5</v>
      </c>
      <c r="G17" s="9" t="n">
        <v>0.3</v>
      </c>
      <c r="H17" s="9" t="n">
        <v>-0.4</v>
      </c>
      <c r="I17" s="9" t="n">
        <v>4.5</v>
      </c>
      <c r="J17" s="8">
        <f>I17-H17</f>
        <v/>
      </c>
      <c r="K17" s="8" t="inlineStr">
        <is>
          <t>F2P-014</t>
        </is>
      </c>
      <c r="L17" s="8">
        <f>F17*G17*J17</f>
        <v/>
      </c>
      <c r="M17" s="8">
        <f>2*(F17+G17)*J17</f>
        <v/>
      </c>
      <c r="N17" s="8">
        <f>INDEX('4-เสา เหล็กเสริม'!$O:$O,MATCH(B17,'4-เสา เหล็กเสริม'!$A:$A,0))</f>
        <v/>
      </c>
      <c r="O17" s="8" t="inlineStr">
        <is>
          <t>แบบ S201 (ตำแหน่ง) / ระดับรอยืนยัน</t>
        </is>
      </c>
    </row>
    <row r="18">
      <c r="A18" s="8" t="inlineStr">
        <is>
          <t>C1-015</t>
        </is>
      </c>
      <c r="B18" s="8" t="inlineStr">
        <is>
          <t>C1</t>
        </is>
      </c>
      <c r="C18" s="8" t="inlineStr">
        <is>
          <t>1/C</t>
        </is>
      </c>
      <c r="D18" s="9" t="n">
        <v>-0.016</v>
      </c>
      <c r="E18" s="9" t="n">
        <v>12.01</v>
      </c>
      <c r="F18" s="9" t="n">
        <v>0.5</v>
      </c>
      <c r="G18" s="9" t="n">
        <v>0.3</v>
      </c>
      <c r="H18" s="9" t="n">
        <v>-0.4</v>
      </c>
      <c r="I18" s="9" t="n">
        <v>4.5</v>
      </c>
      <c r="J18" s="8">
        <f>I18-H18</f>
        <v/>
      </c>
      <c r="K18" s="8" t="inlineStr">
        <is>
          <t>F2P-015</t>
        </is>
      </c>
      <c r="L18" s="8">
        <f>F18*G18*J18</f>
        <v/>
      </c>
      <c r="M18" s="8">
        <f>2*(F18+G18)*J18</f>
        <v/>
      </c>
      <c r="N18" s="8">
        <f>INDEX('4-เสา เหล็กเสริม'!$O:$O,MATCH(B18,'4-เสา เหล็กเสริม'!$A:$A,0))</f>
        <v/>
      </c>
      <c r="O18" s="8" t="inlineStr">
        <is>
          <t>แบบ S201 (ตำแหน่ง) / ระดับรอยืนยัน</t>
        </is>
      </c>
    </row>
    <row r="19">
      <c r="A19" s="8" t="inlineStr">
        <is>
          <t>C1-016</t>
        </is>
      </c>
      <c r="B19" s="8" t="inlineStr">
        <is>
          <t>C1</t>
        </is>
      </c>
      <c r="C19" s="8" t="inlineStr">
        <is>
          <t>6/C</t>
        </is>
      </c>
      <c r="D19" s="9" t="n">
        <v>29.992</v>
      </c>
      <c r="E19" s="9" t="n">
        <v>12.01</v>
      </c>
      <c r="F19" s="9" t="n">
        <v>0.5</v>
      </c>
      <c r="G19" s="9" t="n">
        <v>0.3</v>
      </c>
      <c r="H19" s="9" t="n">
        <v>-0.4</v>
      </c>
      <c r="I19" s="9" t="n">
        <v>4.5</v>
      </c>
      <c r="J19" s="8">
        <f>I19-H19</f>
        <v/>
      </c>
      <c r="K19" s="8" t="inlineStr">
        <is>
          <t>F2P-016</t>
        </is>
      </c>
      <c r="L19" s="8">
        <f>F19*G19*J19</f>
        <v/>
      </c>
      <c r="M19" s="8">
        <f>2*(F19+G19)*J19</f>
        <v/>
      </c>
      <c r="N19" s="8">
        <f>INDEX('4-เสา เหล็กเสริม'!$O:$O,MATCH(B19,'4-เสา เหล็กเสริม'!$A:$A,0))</f>
        <v/>
      </c>
      <c r="O19" s="8" t="inlineStr">
        <is>
          <t>แบบ S201 (ตำแหน่ง) / ระดับรอยืนยัน</t>
        </is>
      </c>
    </row>
    <row r="20">
      <c r="A20" s="8" t="inlineStr">
        <is>
          <t>C1-017</t>
        </is>
      </c>
      <c r="B20" s="8" t="inlineStr">
        <is>
          <t>C1</t>
        </is>
      </c>
      <c r="C20" s="8" t="inlineStr">
        <is>
          <t>11/C</t>
        </is>
      </c>
      <c r="D20" s="9" t="n">
        <v>59.993</v>
      </c>
      <c r="E20" s="9" t="n">
        <v>12.01</v>
      </c>
      <c r="F20" s="9" t="n">
        <v>0.5</v>
      </c>
      <c r="G20" s="9" t="n">
        <v>0.3</v>
      </c>
      <c r="H20" s="9" t="n">
        <v>-0.4</v>
      </c>
      <c r="I20" s="9" t="n">
        <v>4.5</v>
      </c>
      <c r="J20" s="8">
        <f>I20-H20</f>
        <v/>
      </c>
      <c r="K20" s="8" t="inlineStr">
        <is>
          <t>F2P-017</t>
        </is>
      </c>
      <c r="L20" s="8">
        <f>F20*G20*J20</f>
        <v/>
      </c>
      <c r="M20" s="8">
        <f>2*(F20+G20)*J20</f>
        <v/>
      </c>
      <c r="N20" s="8">
        <f>INDEX('4-เสา เหล็กเสริม'!$O:$O,MATCH(B20,'4-เสา เหล็กเสริม'!$A:$A,0))</f>
        <v/>
      </c>
      <c r="O20" s="8" t="inlineStr">
        <is>
          <t>แบบ S201 (ตำแหน่ง) / ระดับรอยืนยัน</t>
        </is>
      </c>
    </row>
    <row r="21">
      <c r="A21" s="8" t="inlineStr">
        <is>
          <t>C1-018</t>
        </is>
      </c>
      <c r="B21" s="8" t="inlineStr">
        <is>
          <t>C1</t>
        </is>
      </c>
      <c r="C21" s="8" t="inlineStr">
        <is>
          <t>1/D</t>
        </is>
      </c>
      <c r="D21" s="9" t="n">
        <v>-0.016</v>
      </c>
      <c r="E21" s="9" t="n">
        <v>18.007</v>
      </c>
      <c r="F21" s="9" t="n">
        <v>0.5</v>
      </c>
      <c r="G21" s="9" t="n">
        <v>0.3</v>
      </c>
      <c r="H21" s="9" t="n">
        <v>-0.4</v>
      </c>
      <c r="I21" s="9" t="n">
        <v>4.5</v>
      </c>
      <c r="J21" s="8">
        <f>I21-H21</f>
        <v/>
      </c>
      <c r="K21" s="8" t="inlineStr">
        <is>
          <t>F2P-018</t>
        </is>
      </c>
      <c r="L21" s="8">
        <f>F21*G21*J21</f>
        <v/>
      </c>
      <c r="M21" s="8">
        <f>2*(F21+G21)*J21</f>
        <v/>
      </c>
      <c r="N21" s="8">
        <f>INDEX('4-เสา เหล็กเสริม'!$O:$O,MATCH(B21,'4-เสา เหล็กเสริม'!$A:$A,0))</f>
        <v/>
      </c>
      <c r="O21" s="8" t="inlineStr">
        <is>
          <t>แบบ S201 (ตำแหน่ง) / ระดับรอยืนยัน</t>
        </is>
      </c>
    </row>
    <row r="22">
      <c r="A22" s="8" t="inlineStr">
        <is>
          <t>C1-019</t>
        </is>
      </c>
      <c r="B22" s="8" t="inlineStr">
        <is>
          <t>C1</t>
        </is>
      </c>
      <c r="C22" s="8" t="inlineStr">
        <is>
          <t>6/D</t>
        </is>
      </c>
      <c r="D22" s="9" t="n">
        <v>29.992</v>
      </c>
      <c r="E22" s="9" t="n">
        <v>18.007</v>
      </c>
      <c r="F22" s="9" t="n">
        <v>0.5</v>
      </c>
      <c r="G22" s="9" t="n">
        <v>0.3</v>
      </c>
      <c r="H22" s="9" t="n">
        <v>-0.4</v>
      </c>
      <c r="I22" s="9" t="n">
        <v>4.5</v>
      </c>
      <c r="J22" s="8">
        <f>I22-H22</f>
        <v/>
      </c>
      <c r="K22" s="8" t="inlineStr">
        <is>
          <t>F2P-019</t>
        </is>
      </c>
      <c r="L22" s="8">
        <f>F22*G22*J22</f>
        <v/>
      </c>
      <c r="M22" s="8">
        <f>2*(F22+G22)*J22</f>
        <v/>
      </c>
      <c r="N22" s="8">
        <f>INDEX('4-เสา เหล็กเสริม'!$O:$O,MATCH(B22,'4-เสา เหล็กเสริม'!$A:$A,0))</f>
        <v/>
      </c>
      <c r="O22" s="8" t="inlineStr">
        <is>
          <t>แบบ S201 (ตำแหน่ง) / ระดับรอยืนยัน</t>
        </is>
      </c>
    </row>
    <row r="23">
      <c r="A23" s="8" t="inlineStr">
        <is>
          <t>C1-020</t>
        </is>
      </c>
      <c r="B23" s="8" t="inlineStr">
        <is>
          <t>C1</t>
        </is>
      </c>
      <c r="C23" s="8" t="inlineStr">
        <is>
          <t>11/D</t>
        </is>
      </c>
      <c r="D23" s="9" t="n">
        <v>59.993</v>
      </c>
      <c r="E23" s="9" t="n">
        <v>18.007</v>
      </c>
      <c r="F23" s="9" t="n">
        <v>0.5</v>
      </c>
      <c r="G23" s="9" t="n">
        <v>0.3</v>
      </c>
      <c r="H23" s="9" t="n">
        <v>-0.4</v>
      </c>
      <c r="I23" s="9" t="n">
        <v>4.5</v>
      </c>
      <c r="J23" s="8">
        <f>I23-H23</f>
        <v/>
      </c>
      <c r="K23" s="8" t="inlineStr">
        <is>
          <t>F2P-020</t>
        </is>
      </c>
      <c r="L23" s="8">
        <f>F23*G23*J23</f>
        <v/>
      </c>
      <c r="M23" s="8">
        <f>2*(F23+G23)*J23</f>
        <v/>
      </c>
      <c r="N23" s="8">
        <f>INDEX('4-เสา เหล็กเสริม'!$O:$O,MATCH(B23,'4-เสา เหล็กเสริม'!$A:$A,0))</f>
        <v/>
      </c>
      <c r="O23" s="8" t="inlineStr">
        <is>
          <t>แบบ S201 (ตำแหน่ง) / ระดับรอยืนยัน</t>
        </is>
      </c>
    </row>
    <row r="24">
      <c r="A24" s="8" t="inlineStr">
        <is>
          <t>C1-021</t>
        </is>
      </c>
      <c r="B24" s="8" t="inlineStr">
        <is>
          <t>C1</t>
        </is>
      </c>
      <c r="C24" s="8" t="inlineStr">
        <is>
          <t>1/E</t>
        </is>
      </c>
      <c r="D24" s="9" t="n">
        <v>-0.016</v>
      </c>
      <c r="E24" s="9" t="n">
        <v>24.012</v>
      </c>
      <c r="F24" s="9" t="n">
        <v>0.5</v>
      </c>
      <c r="G24" s="9" t="n">
        <v>0.3</v>
      </c>
      <c r="H24" s="9" t="n">
        <v>-0.4</v>
      </c>
      <c r="I24" s="9" t="n">
        <v>4.5</v>
      </c>
      <c r="J24" s="8">
        <f>I24-H24</f>
        <v/>
      </c>
      <c r="K24" s="8" t="inlineStr">
        <is>
          <t>F2P-021</t>
        </is>
      </c>
      <c r="L24" s="8">
        <f>F24*G24*J24</f>
        <v/>
      </c>
      <c r="M24" s="8">
        <f>2*(F24+G24)*J24</f>
        <v/>
      </c>
      <c r="N24" s="8">
        <f>INDEX('4-เสา เหล็กเสริม'!$O:$O,MATCH(B24,'4-เสา เหล็กเสริม'!$A:$A,0))</f>
        <v/>
      </c>
      <c r="O24" s="8" t="inlineStr">
        <is>
          <t>แบบ S201 (ตำแหน่ง) / ระดับรอยืนยัน</t>
        </is>
      </c>
    </row>
    <row r="25">
      <c r="A25" s="8" t="inlineStr">
        <is>
          <t>C1-022</t>
        </is>
      </c>
      <c r="B25" s="8" t="inlineStr">
        <is>
          <t>C1</t>
        </is>
      </c>
      <c r="C25" s="8" t="inlineStr">
        <is>
          <t>6/E</t>
        </is>
      </c>
      <c r="D25" s="9" t="n">
        <v>29.992</v>
      </c>
      <c r="E25" s="9" t="n">
        <v>24.012</v>
      </c>
      <c r="F25" s="9" t="n">
        <v>0.5</v>
      </c>
      <c r="G25" s="9" t="n">
        <v>0.3</v>
      </c>
      <c r="H25" s="9" t="n">
        <v>-0.4</v>
      </c>
      <c r="I25" s="9" t="n">
        <v>4.5</v>
      </c>
      <c r="J25" s="8">
        <f>I25-H25</f>
        <v/>
      </c>
      <c r="K25" s="8" t="inlineStr">
        <is>
          <t>F2P-022</t>
        </is>
      </c>
      <c r="L25" s="8">
        <f>F25*G25*J25</f>
        <v/>
      </c>
      <c r="M25" s="8">
        <f>2*(F25+G25)*J25</f>
        <v/>
      </c>
      <c r="N25" s="8">
        <f>INDEX('4-เสา เหล็กเสริม'!$O:$O,MATCH(B25,'4-เสา เหล็กเสริม'!$A:$A,0))</f>
        <v/>
      </c>
      <c r="O25" s="8" t="inlineStr">
        <is>
          <t>แบบ S201 (ตำแหน่ง) / ระดับรอยืนยัน</t>
        </is>
      </c>
    </row>
    <row r="26">
      <c r="A26" s="8" t="inlineStr">
        <is>
          <t>C1-023</t>
        </is>
      </c>
      <c r="B26" s="8" t="inlineStr">
        <is>
          <t>C1</t>
        </is>
      </c>
      <c r="C26" s="8" t="inlineStr">
        <is>
          <t>11/E</t>
        </is>
      </c>
      <c r="D26" s="9" t="n">
        <v>59.993</v>
      </c>
      <c r="E26" s="9" t="n">
        <v>24.012</v>
      </c>
      <c r="F26" s="9" t="n">
        <v>0.5</v>
      </c>
      <c r="G26" s="9" t="n">
        <v>0.3</v>
      </c>
      <c r="H26" s="9" t="n">
        <v>-0.4</v>
      </c>
      <c r="I26" s="9" t="n">
        <v>4.5</v>
      </c>
      <c r="J26" s="8">
        <f>I26-H26</f>
        <v/>
      </c>
      <c r="K26" s="8" t="inlineStr">
        <is>
          <t>F2P-023</t>
        </is>
      </c>
      <c r="L26" s="8">
        <f>F26*G26*J26</f>
        <v/>
      </c>
      <c r="M26" s="8">
        <f>2*(F26+G26)*J26</f>
        <v/>
      </c>
      <c r="N26" s="8">
        <f>INDEX('4-เสา เหล็กเสริม'!$O:$O,MATCH(B26,'4-เสา เหล็กเสริม'!$A:$A,0))</f>
        <v/>
      </c>
      <c r="O26" s="8" t="inlineStr">
        <is>
          <t>แบบ S201 (ตำแหน่ง) / ระดับรอยืนยัน</t>
        </is>
      </c>
    </row>
    <row r="27">
      <c r="A27" s="8" t="inlineStr">
        <is>
          <t>C1-024</t>
        </is>
      </c>
      <c r="B27" s="8" t="inlineStr">
        <is>
          <t>C1</t>
        </is>
      </c>
      <c r="C27" s="8" t="inlineStr">
        <is>
          <t>1/F</t>
        </is>
      </c>
      <c r="D27" s="9" t="n">
        <v>-0.016</v>
      </c>
      <c r="E27" s="9" t="n">
        <v>30.016</v>
      </c>
      <c r="F27" s="9" t="n">
        <v>0.5</v>
      </c>
      <c r="G27" s="9" t="n">
        <v>0.3</v>
      </c>
      <c r="H27" s="9" t="n">
        <v>-0.4</v>
      </c>
      <c r="I27" s="9" t="n">
        <v>4.5</v>
      </c>
      <c r="J27" s="8">
        <f>I27-H27</f>
        <v/>
      </c>
      <c r="K27" s="8" t="inlineStr">
        <is>
          <t>F2P-024</t>
        </is>
      </c>
      <c r="L27" s="8">
        <f>F27*G27*J27</f>
        <v/>
      </c>
      <c r="M27" s="8">
        <f>2*(F27+G27)*J27</f>
        <v/>
      </c>
      <c r="N27" s="8">
        <f>INDEX('4-เสา เหล็กเสริม'!$O:$O,MATCH(B27,'4-เสา เหล็กเสริม'!$A:$A,0))</f>
        <v/>
      </c>
      <c r="O27" s="8" t="inlineStr">
        <is>
          <t>แบบ S201 (ตำแหน่ง) / ระดับรอยืนยัน</t>
        </is>
      </c>
    </row>
    <row r="28">
      <c r="A28" s="8" t="inlineStr">
        <is>
          <t>C1-025</t>
        </is>
      </c>
      <c r="B28" s="8" t="inlineStr">
        <is>
          <t>C1</t>
        </is>
      </c>
      <c r="C28" s="8" t="inlineStr">
        <is>
          <t>6/F</t>
        </is>
      </c>
      <c r="D28" s="9" t="n">
        <v>29.992</v>
      </c>
      <c r="E28" s="9" t="n">
        <v>30.016</v>
      </c>
      <c r="F28" s="9" t="n">
        <v>0.5</v>
      </c>
      <c r="G28" s="9" t="n">
        <v>0.3</v>
      </c>
      <c r="H28" s="9" t="n">
        <v>-0.4</v>
      </c>
      <c r="I28" s="9" t="n">
        <v>4.5</v>
      </c>
      <c r="J28" s="8">
        <f>I28-H28</f>
        <v/>
      </c>
      <c r="K28" s="8" t="inlineStr">
        <is>
          <t>F2P-025</t>
        </is>
      </c>
      <c r="L28" s="8">
        <f>F28*G28*J28</f>
        <v/>
      </c>
      <c r="M28" s="8">
        <f>2*(F28+G28)*J28</f>
        <v/>
      </c>
      <c r="N28" s="8">
        <f>INDEX('4-เสา เหล็กเสริม'!$O:$O,MATCH(B28,'4-เสา เหล็กเสริม'!$A:$A,0))</f>
        <v/>
      </c>
      <c r="O28" s="8" t="inlineStr">
        <is>
          <t>แบบ S201 (ตำแหน่ง) / ระดับรอยืนยัน</t>
        </is>
      </c>
    </row>
    <row r="29">
      <c r="A29" s="8" t="inlineStr">
        <is>
          <t>C1-026</t>
        </is>
      </c>
      <c r="B29" s="8" t="inlineStr">
        <is>
          <t>C1</t>
        </is>
      </c>
      <c r="C29" s="8" t="inlineStr">
        <is>
          <t>11/F</t>
        </is>
      </c>
      <c r="D29" s="9" t="n">
        <v>59.993</v>
      </c>
      <c r="E29" s="9" t="n">
        <v>30.016</v>
      </c>
      <c r="F29" s="9" t="n">
        <v>0.5</v>
      </c>
      <c r="G29" s="9" t="n">
        <v>0.3</v>
      </c>
      <c r="H29" s="9" t="n">
        <v>-0.4</v>
      </c>
      <c r="I29" s="9" t="n">
        <v>4.5</v>
      </c>
      <c r="J29" s="8">
        <f>I29-H29</f>
        <v/>
      </c>
      <c r="K29" s="8" t="inlineStr">
        <is>
          <t>F2P-026</t>
        </is>
      </c>
      <c r="L29" s="8">
        <f>F29*G29*J29</f>
        <v/>
      </c>
      <c r="M29" s="8">
        <f>2*(F29+G29)*J29</f>
        <v/>
      </c>
      <c r="N29" s="8">
        <f>INDEX('4-เสา เหล็กเสริม'!$O:$O,MATCH(B29,'4-เสา เหล็กเสริม'!$A:$A,0))</f>
        <v/>
      </c>
      <c r="O29" s="8" t="inlineStr">
        <is>
          <t>แบบ S201 (ตำแหน่ง) / ระดับรอยืนยัน</t>
        </is>
      </c>
    </row>
    <row r="30">
      <c r="A30" s="8" t="inlineStr">
        <is>
          <t>C1-027</t>
        </is>
      </c>
      <c r="B30" s="8" t="inlineStr">
        <is>
          <t>C1</t>
        </is>
      </c>
      <c r="C30" s="8" t="inlineStr">
        <is>
          <t>1/G</t>
        </is>
      </c>
      <c r="D30" s="9" t="n">
        <v>-0.016</v>
      </c>
      <c r="E30" s="9" t="n">
        <v>36.013</v>
      </c>
      <c r="F30" s="9" t="n">
        <v>0.5</v>
      </c>
      <c r="G30" s="9" t="n">
        <v>0.3</v>
      </c>
      <c r="H30" s="9" t="n">
        <v>-0.4</v>
      </c>
      <c r="I30" s="9" t="n">
        <v>4.5</v>
      </c>
      <c r="J30" s="8">
        <f>I30-H30</f>
        <v/>
      </c>
      <c r="K30" s="8" t="inlineStr">
        <is>
          <t>F2P-027</t>
        </is>
      </c>
      <c r="L30" s="8">
        <f>F30*G30*J30</f>
        <v/>
      </c>
      <c r="M30" s="8">
        <f>2*(F30+G30)*J30</f>
        <v/>
      </c>
      <c r="N30" s="8">
        <f>INDEX('4-เสา เหล็กเสริม'!$O:$O,MATCH(B30,'4-เสา เหล็กเสริม'!$A:$A,0))</f>
        <v/>
      </c>
      <c r="O30" s="8" t="inlineStr">
        <is>
          <t>แบบ S201 (ตำแหน่ง) / ระดับรอยืนยัน</t>
        </is>
      </c>
    </row>
    <row r="31">
      <c r="A31" s="8" t="inlineStr">
        <is>
          <t>C1-028</t>
        </is>
      </c>
      <c r="B31" s="8" t="inlineStr">
        <is>
          <t>C1</t>
        </is>
      </c>
      <c r="C31" s="8" t="inlineStr">
        <is>
          <t>6/G</t>
        </is>
      </c>
      <c r="D31" s="9" t="n">
        <v>29.992</v>
      </c>
      <c r="E31" s="9" t="n">
        <v>36.013</v>
      </c>
      <c r="F31" s="9" t="n">
        <v>0.5</v>
      </c>
      <c r="G31" s="9" t="n">
        <v>0.3</v>
      </c>
      <c r="H31" s="9" t="n">
        <v>-0.4</v>
      </c>
      <c r="I31" s="9" t="n">
        <v>4.5</v>
      </c>
      <c r="J31" s="8">
        <f>I31-H31</f>
        <v/>
      </c>
      <c r="K31" s="8" t="inlineStr">
        <is>
          <t>F2P-028</t>
        </is>
      </c>
      <c r="L31" s="8">
        <f>F31*G31*J31</f>
        <v/>
      </c>
      <c r="M31" s="8">
        <f>2*(F31+G31)*J31</f>
        <v/>
      </c>
      <c r="N31" s="8">
        <f>INDEX('4-เสา เหล็กเสริม'!$O:$O,MATCH(B31,'4-เสา เหล็กเสริม'!$A:$A,0))</f>
        <v/>
      </c>
      <c r="O31" s="8" t="inlineStr">
        <is>
          <t>แบบ S201 (ตำแหน่ง) / ระดับรอยืนยัน</t>
        </is>
      </c>
    </row>
    <row r="32">
      <c r="A32" s="8" t="inlineStr">
        <is>
          <t>C1-029</t>
        </is>
      </c>
      <c r="B32" s="8" t="inlineStr">
        <is>
          <t>C1</t>
        </is>
      </c>
      <c r="C32" s="8" t="inlineStr">
        <is>
          <t>11/G</t>
        </is>
      </c>
      <c r="D32" s="9" t="n">
        <v>59.993</v>
      </c>
      <c r="E32" s="9" t="n">
        <v>36.013</v>
      </c>
      <c r="F32" s="9" t="n">
        <v>0.5</v>
      </c>
      <c r="G32" s="9" t="n">
        <v>0.3</v>
      </c>
      <c r="H32" s="9" t="n">
        <v>-0.4</v>
      </c>
      <c r="I32" s="9" t="n">
        <v>4.5</v>
      </c>
      <c r="J32" s="8">
        <f>I32-H32</f>
        <v/>
      </c>
      <c r="K32" s="8" t="inlineStr">
        <is>
          <t>F2P-029</t>
        </is>
      </c>
      <c r="L32" s="8">
        <f>F32*G32*J32</f>
        <v/>
      </c>
      <c r="M32" s="8">
        <f>2*(F32+G32)*J32</f>
        <v/>
      </c>
      <c r="N32" s="8">
        <f>INDEX('4-เสา เหล็กเสริม'!$O:$O,MATCH(B32,'4-เสา เหล็กเสริม'!$A:$A,0))</f>
        <v/>
      </c>
      <c r="O32" s="8" t="inlineStr">
        <is>
          <t>แบบ S201 (ตำแหน่ง) / ระดับรอยืนยัน</t>
        </is>
      </c>
    </row>
    <row r="33">
      <c r="A33" s="8" t="inlineStr">
        <is>
          <t>C1-030</t>
        </is>
      </c>
      <c r="B33" s="8" t="inlineStr">
        <is>
          <t>C1</t>
        </is>
      </c>
      <c r="C33" s="8" t="inlineStr">
        <is>
          <t>1/H</t>
        </is>
      </c>
      <c r="D33" s="9" t="n">
        <v>-0.016</v>
      </c>
      <c r="E33" s="9" t="n">
        <v>42.011</v>
      </c>
      <c r="F33" s="9" t="n">
        <v>0.5</v>
      </c>
      <c r="G33" s="9" t="n">
        <v>0.3</v>
      </c>
      <c r="H33" s="9" t="n">
        <v>-0.4</v>
      </c>
      <c r="I33" s="9" t="n">
        <v>4.5</v>
      </c>
      <c r="J33" s="8">
        <f>I33-H33</f>
        <v/>
      </c>
      <c r="K33" s="8" t="inlineStr">
        <is>
          <t>F2P-030</t>
        </is>
      </c>
      <c r="L33" s="8">
        <f>F33*G33*J33</f>
        <v/>
      </c>
      <c r="M33" s="8">
        <f>2*(F33+G33)*J33</f>
        <v/>
      </c>
      <c r="N33" s="8">
        <f>INDEX('4-เสา เหล็กเสริม'!$O:$O,MATCH(B33,'4-เสา เหล็กเสริม'!$A:$A,0))</f>
        <v/>
      </c>
      <c r="O33" s="8" t="inlineStr">
        <is>
          <t>แบบ S201 (ตำแหน่ง) / ระดับรอยืนยัน</t>
        </is>
      </c>
    </row>
    <row r="34">
      <c r="A34" s="8" t="inlineStr">
        <is>
          <t>C1-031</t>
        </is>
      </c>
      <c r="B34" s="8" t="inlineStr">
        <is>
          <t>C1</t>
        </is>
      </c>
      <c r="C34" s="8" t="inlineStr">
        <is>
          <t>6/H</t>
        </is>
      </c>
      <c r="D34" s="9" t="n">
        <v>29.992</v>
      </c>
      <c r="E34" s="9" t="n">
        <v>42.011</v>
      </c>
      <c r="F34" s="9" t="n">
        <v>0.5</v>
      </c>
      <c r="G34" s="9" t="n">
        <v>0.3</v>
      </c>
      <c r="H34" s="9" t="n">
        <v>-0.4</v>
      </c>
      <c r="I34" s="9" t="n">
        <v>4.5</v>
      </c>
      <c r="J34" s="8">
        <f>I34-H34</f>
        <v/>
      </c>
      <c r="K34" s="8" t="inlineStr">
        <is>
          <t>F2P-031</t>
        </is>
      </c>
      <c r="L34" s="8">
        <f>F34*G34*J34</f>
        <v/>
      </c>
      <c r="M34" s="8">
        <f>2*(F34+G34)*J34</f>
        <v/>
      </c>
      <c r="N34" s="8">
        <f>INDEX('4-เสา เหล็กเสริม'!$O:$O,MATCH(B34,'4-เสา เหล็กเสริม'!$A:$A,0))</f>
        <v/>
      </c>
      <c r="O34" s="8" t="inlineStr">
        <is>
          <t>แบบ S201 (ตำแหน่ง) / ระดับรอยืนยัน</t>
        </is>
      </c>
    </row>
    <row r="35">
      <c r="A35" s="8" t="inlineStr">
        <is>
          <t>C1-032</t>
        </is>
      </c>
      <c r="B35" s="8" t="inlineStr">
        <is>
          <t>C1</t>
        </is>
      </c>
      <c r="C35" s="8" t="inlineStr">
        <is>
          <t>11/H</t>
        </is>
      </c>
      <c r="D35" s="9" t="n">
        <v>59.993</v>
      </c>
      <c r="E35" s="9" t="n">
        <v>42.011</v>
      </c>
      <c r="F35" s="9" t="n">
        <v>0.5</v>
      </c>
      <c r="G35" s="9" t="n">
        <v>0.3</v>
      </c>
      <c r="H35" s="9" t="n">
        <v>-0.4</v>
      </c>
      <c r="I35" s="9" t="n">
        <v>4.5</v>
      </c>
      <c r="J35" s="8">
        <f>I35-H35</f>
        <v/>
      </c>
      <c r="K35" s="8" t="inlineStr">
        <is>
          <t>F2P-032</t>
        </is>
      </c>
      <c r="L35" s="8">
        <f>F35*G35*J35</f>
        <v/>
      </c>
      <c r="M35" s="8">
        <f>2*(F35+G35)*J35</f>
        <v/>
      </c>
      <c r="N35" s="8">
        <f>INDEX('4-เสา เหล็กเสริม'!$O:$O,MATCH(B35,'4-เสา เหล็กเสริม'!$A:$A,0))</f>
        <v/>
      </c>
      <c r="O35" s="8" t="inlineStr">
        <is>
          <t>แบบ S201 (ตำแหน่ง) / ระดับรอยืนยัน</t>
        </is>
      </c>
    </row>
    <row r="36">
      <c r="A36" s="8" t="inlineStr">
        <is>
          <t>C1-033</t>
        </is>
      </c>
      <c r="B36" s="8" t="inlineStr">
        <is>
          <t>C1</t>
        </is>
      </c>
      <c r="C36" s="8" t="inlineStr">
        <is>
          <t>1/I</t>
        </is>
      </c>
      <c r="D36" s="9" t="n">
        <v>-0.016</v>
      </c>
      <c r="E36" s="9" t="n">
        <v>48.015</v>
      </c>
      <c r="F36" s="9" t="n">
        <v>0.5</v>
      </c>
      <c r="G36" s="9" t="n">
        <v>0.3</v>
      </c>
      <c r="H36" s="9" t="n">
        <v>-0.4</v>
      </c>
      <c r="I36" s="9" t="n">
        <v>4.5</v>
      </c>
      <c r="J36" s="8">
        <f>I36-H36</f>
        <v/>
      </c>
      <c r="K36" s="8" t="inlineStr">
        <is>
          <t>F2P-033</t>
        </is>
      </c>
      <c r="L36" s="8">
        <f>F36*G36*J36</f>
        <v/>
      </c>
      <c r="M36" s="8">
        <f>2*(F36+G36)*J36</f>
        <v/>
      </c>
      <c r="N36" s="8">
        <f>INDEX('4-เสา เหล็กเสริม'!$O:$O,MATCH(B36,'4-เสา เหล็กเสริม'!$A:$A,0))</f>
        <v/>
      </c>
      <c r="O36" s="8" t="inlineStr">
        <is>
          <t>แบบ S201 (ตำแหน่ง) / ระดับรอยืนยัน</t>
        </is>
      </c>
    </row>
    <row r="37">
      <c r="A37" s="8" t="inlineStr">
        <is>
          <t>C1-034</t>
        </is>
      </c>
      <c r="B37" s="8" t="inlineStr">
        <is>
          <t>C1</t>
        </is>
      </c>
      <c r="C37" s="8" t="inlineStr">
        <is>
          <t>6/I</t>
        </is>
      </c>
      <c r="D37" s="9" t="n">
        <v>29.992</v>
      </c>
      <c r="E37" s="9" t="n">
        <v>48.015</v>
      </c>
      <c r="F37" s="9" t="n">
        <v>0.5</v>
      </c>
      <c r="G37" s="9" t="n">
        <v>0.3</v>
      </c>
      <c r="H37" s="9" t="n">
        <v>-0.4</v>
      </c>
      <c r="I37" s="9" t="n">
        <v>4.5</v>
      </c>
      <c r="J37" s="8">
        <f>I37-H37</f>
        <v/>
      </c>
      <c r="K37" s="8" t="inlineStr">
        <is>
          <t>F2P-034</t>
        </is>
      </c>
      <c r="L37" s="8">
        <f>F37*G37*J37</f>
        <v/>
      </c>
      <c r="M37" s="8">
        <f>2*(F37+G37)*J37</f>
        <v/>
      </c>
      <c r="N37" s="8">
        <f>INDEX('4-เสา เหล็กเสริม'!$O:$O,MATCH(B37,'4-เสา เหล็กเสริม'!$A:$A,0))</f>
        <v/>
      </c>
      <c r="O37" s="8" t="inlineStr">
        <is>
          <t>แบบ S201 (ตำแหน่ง) / ระดับรอยืนยัน</t>
        </is>
      </c>
    </row>
    <row r="38">
      <c r="A38" s="8" t="inlineStr">
        <is>
          <t>C1-035</t>
        </is>
      </c>
      <c r="B38" s="8" t="inlineStr">
        <is>
          <t>C1</t>
        </is>
      </c>
      <c r="C38" s="8" t="inlineStr">
        <is>
          <t>11/I</t>
        </is>
      </c>
      <c r="D38" s="9" t="n">
        <v>59.993</v>
      </c>
      <c r="E38" s="9" t="n">
        <v>48.015</v>
      </c>
      <c r="F38" s="9" t="n">
        <v>0.5</v>
      </c>
      <c r="G38" s="9" t="n">
        <v>0.3</v>
      </c>
      <c r="H38" s="9" t="n">
        <v>-0.4</v>
      </c>
      <c r="I38" s="9" t="n">
        <v>4.5</v>
      </c>
      <c r="J38" s="8">
        <f>I38-H38</f>
        <v/>
      </c>
      <c r="K38" s="8" t="inlineStr">
        <is>
          <t>F2P-035</t>
        </is>
      </c>
      <c r="L38" s="8">
        <f>F38*G38*J38</f>
        <v/>
      </c>
      <c r="M38" s="8">
        <f>2*(F38+G38)*J38</f>
        <v/>
      </c>
      <c r="N38" s="8">
        <f>INDEX('4-เสา เหล็กเสริม'!$O:$O,MATCH(B38,'4-เสา เหล็กเสริม'!$A:$A,0))</f>
        <v/>
      </c>
      <c r="O38" s="8" t="inlineStr">
        <is>
          <t>แบบ S201 (ตำแหน่ง) / ระดับรอยืนยัน</t>
        </is>
      </c>
    </row>
    <row r="39">
      <c r="A39" s="8" t="inlineStr">
        <is>
          <t>C1-036</t>
        </is>
      </c>
      <c r="B39" s="8" t="inlineStr">
        <is>
          <t>C1</t>
        </is>
      </c>
      <c r="C39" s="8" t="inlineStr">
        <is>
          <t>1/J</t>
        </is>
      </c>
      <c r="D39" s="9" t="n">
        <v>-0.016</v>
      </c>
      <c r="E39" s="9" t="n">
        <v>54.013</v>
      </c>
      <c r="F39" s="9" t="n">
        <v>0.5</v>
      </c>
      <c r="G39" s="9" t="n">
        <v>0.3</v>
      </c>
      <c r="H39" s="9" t="n">
        <v>-0.4</v>
      </c>
      <c r="I39" s="9" t="n">
        <v>4.5</v>
      </c>
      <c r="J39" s="8">
        <f>I39-H39</f>
        <v/>
      </c>
      <c r="K39" s="8" t="inlineStr">
        <is>
          <t>F2P-036</t>
        </is>
      </c>
      <c r="L39" s="8">
        <f>F39*G39*J39</f>
        <v/>
      </c>
      <c r="M39" s="8">
        <f>2*(F39+G39)*J39</f>
        <v/>
      </c>
      <c r="N39" s="8">
        <f>INDEX('4-เสา เหล็กเสริม'!$O:$O,MATCH(B39,'4-เสา เหล็กเสริม'!$A:$A,0))</f>
        <v/>
      </c>
      <c r="O39" s="8" t="inlineStr">
        <is>
          <t>แบบ S201 (ตำแหน่ง) / ระดับรอยืนยัน</t>
        </is>
      </c>
    </row>
    <row r="40">
      <c r="A40" s="8" t="inlineStr">
        <is>
          <t>C1-037</t>
        </is>
      </c>
      <c r="B40" s="8" t="inlineStr">
        <is>
          <t>C1</t>
        </is>
      </c>
      <c r="C40" s="8" t="inlineStr">
        <is>
          <t>2/J</t>
        </is>
      </c>
      <c r="D40" s="9" t="n">
        <v>5.988</v>
      </c>
      <c r="E40" s="9" t="n">
        <v>54.013</v>
      </c>
      <c r="F40" s="9" t="n">
        <v>0.3</v>
      </c>
      <c r="G40" s="9" t="n">
        <v>0.5</v>
      </c>
      <c r="H40" s="9" t="n">
        <v>-0.4</v>
      </c>
      <c r="I40" s="9" t="n">
        <v>4.5</v>
      </c>
      <c r="J40" s="8">
        <f>I40-H40</f>
        <v/>
      </c>
      <c r="K40" s="8" t="inlineStr">
        <is>
          <t>F2P-037</t>
        </is>
      </c>
      <c r="L40" s="8">
        <f>F40*G40*J40</f>
        <v/>
      </c>
      <c r="M40" s="8">
        <f>2*(F40+G40)*J40</f>
        <v/>
      </c>
      <c r="N40" s="8">
        <f>INDEX('4-เสา เหล็กเสริม'!$O:$O,MATCH(B40,'4-เสา เหล็กเสริม'!$A:$A,0))</f>
        <v/>
      </c>
      <c r="O40" s="8" t="inlineStr">
        <is>
          <t>แบบ S201 (ตำแหน่ง) / ระดับรอยืนยัน</t>
        </is>
      </c>
    </row>
    <row r="41">
      <c r="A41" s="8" t="inlineStr">
        <is>
          <t>C1-038</t>
        </is>
      </c>
      <c r="B41" s="8" t="inlineStr">
        <is>
          <t>C1</t>
        </is>
      </c>
      <c r="C41" s="8" t="inlineStr">
        <is>
          <t>3/J</t>
        </is>
      </c>
      <c r="D41" s="9" t="n">
        <v>11.986</v>
      </c>
      <c r="E41" s="9" t="n">
        <v>54.013</v>
      </c>
      <c r="F41" s="9" t="n">
        <v>0.3</v>
      </c>
      <c r="G41" s="9" t="n">
        <v>0.5</v>
      </c>
      <c r="H41" s="9" t="n">
        <v>-0.4</v>
      </c>
      <c r="I41" s="9" t="n">
        <v>4.5</v>
      </c>
      <c r="J41" s="8">
        <f>I41-H41</f>
        <v/>
      </c>
      <c r="K41" s="8" t="inlineStr">
        <is>
          <t>F2P-038</t>
        </is>
      </c>
      <c r="L41" s="8">
        <f>F41*G41*J41</f>
        <v/>
      </c>
      <c r="M41" s="8">
        <f>2*(F41+G41)*J41</f>
        <v/>
      </c>
      <c r="N41" s="8">
        <f>INDEX('4-เสา เหล็กเสริม'!$O:$O,MATCH(B41,'4-เสา เหล็กเสริม'!$A:$A,0))</f>
        <v/>
      </c>
      <c r="O41" s="8" t="inlineStr">
        <is>
          <t>แบบ S201 (ตำแหน่ง) / ระดับรอยืนยัน</t>
        </is>
      </c>
    </row>
    <row r="42">
      <c r="A42" s="8" t="inlineStr">
        <is>
          <t>C1-039</t>
        </is>
      </c>
      <c r="B42" s="8" t="inlineStr">
        <is>
          <t>C1</t>
        </is>
      </c>
      <c r="C42" s="8" t="inlineStr">
        <is>
          <t>4/J</t>
        </is>
      </c>
      <c r="D42" s="9" t="n">
        <v>17.99</v>
      </c>
      <c r="E42" s="9" t="n">
        <v>54.013</v>
      </c>
      <c r="F42" s="9" t="n">
        <v>0.3</v>
      </c>
      <c r="G42" s="9" t="n">
        <v>0.5</v>
      </c>
      <c r="H42" s="9" t="n">
        <v>-0.4</v>
      </c>
      <c r="I42" s="9" t="n">
        <v>4.5</v>
      </c>
      <c r="J42" s="8">
        <f>I42-H42</f>
        <v/>
      </c>
      <c r="K42" s="8" t="inlineStr">
        <is>
          <t>F2P-039</t>
        </is>
      </c>
      <c r="L42" s="8">
        <f>F42*G42*J42</f>
        <v/>
      </c>
      <c r="M42" s="8">
        <f>2*(F42+G42)*J42</f>
        <v/>
      </c>
      <c r="N42" s="8">
        <f>INDEX('4-เสา เหล็กเสริม'!$O:$O,MATCH(B42,'4-เสา เหล็กเสริม'!$A:$A,0))</f>
        <v/>
      </c>
      <c r="O42" s="8" t="inlineStr">
        <is>
          <t>แบบ S201 (ตำแหน่ง) / ระดับรอยืนยัน</t>
        </is>
      </c>
    </row>
    <row r="43">
      <c r="A43" s="8" t="inlineStr">
        <is>
          <t>C1-040</t>
        </is>
      </c>
      <c r="B43" s="8" t="inlineStr">
        <is>
          <t>C1</t>
        </is>
      </c>
      <c r="C43" s="8" t="inlineStr">
        <is>
          <t>5/J</t>
        </is>
      </c>
      <c r="D43" s="9" t="n">
        <v>23.994</v>
      </c>
      <c r="E43" s="9" t="n">
        <v>54.013</v>
      </c>
      <c r="F43" s="9" t="n">
        <v>0.3</v>
      </c>
      <c r="G43" s="9" t="n">
        <v>0.5</v>
      </c>
      <c r="H43" s="9" t="n">
        <v>-0.4</v>
      </c>
      <c r="I43" s="9" t="n">
        <v>4.5</v>
      </c>
      <c r="J43" s="8">
        <f>I43-H43</f>
        <v/>
      </c>
      <c r="K43" s="8" t="inlineStr">
        <is>
          <t>F2P-040</t>
        </is>
      </c>
      <c r="L43" s="8">
        <f>F43*G43*J43</f>
        <v/>
      </c>
      <c r="M43" s="8">
        <f>2*(F43+G43)*J43</f>
        <v/>
      </c>
      <c r="N43" s="8">
        <f>INDEX('4-เสา เหล็กเสริม'!$O:$O,MATCH(B43,'4-เสา เหล็กเสริม'!$A:$A,0))</f>
        <v/>
      </c>
      <c r="O43" s="8" t="inlineStr">
        <is>
          <t>แบบ S201 (ตำแหน่ง) / ระดับรอยืนยัน</t>
        </is>
      </c>
    </row>
    <row r="44">
      <c r="A44" s="8" t="inlineStr">
        <is>
          <t>C1-041</t>
        </is>
      </c>
      <c r="B44" s="8" t="inlineStr">
        <is>
          <t>C1</t>
        </is>
      </c>
      <c r="C44" s="8" t="inlineStr">
        <is>
          <t>7/J</t>
        </is>
      </c>
      <c r="D44" s="9" t="n">
        <v>35.989</v>
      </c>
      <c r="E44" s="9" t="n">
        <v>54.013</v>
      </c>
      <c r="F44" s="9" t="n">
        <v>0.3</v>
      </c>
      <c r="G44" s="9" t="n">
        <v>0.5</v>
      </c>
      <c r="H44" s="9" t="n">
        <v>-0.4</v>
      </c>
      <c r="I44" s="9" t="n">
        <v>4.5</v>
      </c>
      <c r="J44" s="8">
        <f>I44-H44</f>
        <v/>
      </c>
      <c r="K44" s="8" t="inlineStr">
        <is>
          <t>F2P-042</t>
        </is>
      </c>
      <c r="L44" s="8">
        <f>F44*G44*J44</f>
        <v/>
      </c>
      <c r="M44" s="8">
        <f>2*(F44+G44)*J44</f>
        <v/>
      </c>
      <c r="N44" s="8">
        <f>INDEX('4-เสา เหล็กเสริม'!$O:$O,MATCH(B44,'4-เสา เหล็กเสริม'!$A:$A,0))</f>
        <v/>
      </c>
      <c r="O44" s="8" t="inlineStr">
        <is>
          <t>แบบ S201 (ตำแหน่ง) / ระดับรอยืนยัน</t>
        </is>
      </c>
    </row>
    <row r="45">
      <c r="A45" s="8" t="inlineStr">
        <is>
          <t>C1-042</t>
        </is>
      </c>
      <c r="B45" s="8" t="inlineStr">
        <is>
          <t>C1</t>
        </is>
      </c>
      <c r="C45" s="8" t="inlineStr">
        <is>
          <t>8/J</t>
        </is>
      </c>
      <c r="D45" s="9" t="n">
        <v>41.994</v>
      </c>
      <c r="E45" s="9" t="n">
        <v>54.013</v>
      </c>
      <c r="F45" s="9" t="n">
        <v>0.3</v>
      </c>
      <c r="G45" s="9" t="n">
        <v>0.5</v>
      </c>
      <c r="H45" s="9" t="n">
        <v>-0.4</v>
      </c>
      <c r="I45" s="9" t="n">
        <v>4.5</v>
      </c>
      <c r="J45" s="8">
        <f>I45-H45</f>
        <v/>
      </c>
      <c r="K45" s="8" t="inlineStr">
        <is>
          <t>F2P-043</t>
        </is>
      </c>
      <c r="L45" s="8">
        <f>F45*G45*J45</f>
        <v/>
      </c>
      <c r="M45" s="8">
        <f>2*(F45+G45)*J45</f>
        <v/>
      </c>
      <c r="N45" s="8">
        <f>INDEX('4-เสา เหล็กเสริม'!$O:$O,MATCH(B45,'4-เสา เหล็กเสริม'!$A:$A,0))</f>
        <v/>
      </c>
      <c r="O45" s="8" t="inlineStr">
        <is>
          <t>แบบ S201 (ตำแหน่ง) / ระดับรอยืนยัน</t>
        </is>
      </c>
    </row>
    <row r="46">
      <c r="A46" s="8" t="inlineStr">
        <is>
          <t>C1-043</t>
        </is>
      </c>
      <c r="B46" s="8" t="inlineStr">
        <is>
          <t>C1</t>
        </is>
      </c>
      <c r="C46" s="8" t="inlineStr">
        <is>
          <t>9/J</t>
        </is>
      </c>
      <c r="D46" s="9" t="n">
        <v>47.991</v>
      </c>
      <c r="E46" s="9" t="n">
        <v>54.013</v>
      </c>
      <c r="F46" s="9" t="n">
        <v>0.3</v>
      </c>
      <c r="G46" s="9" t="n">
        <v>0.5</v>
      </c>
      <c r="H46" s="9" t="n">
        <v>-0.4</v>
      </c>
      <c r="I46" s="9" t="n">
        <v>4.5</v>
      </c>
      <c r="J46" s="8">
        <f>I46-H46</f>
        <v/>
      </c>
      <c r="K46" s="8" t="inlineStr">
        <is>
          <t>F2P-044</t>
        </is>
      </c>
      <c r="L46" s="8">
        <f>F46*G46*J46</f>
        <v/>
      </c>
      <c r="M46" s="8">
        <f>2*(F46+G46)*J46</f>
        <v/>
      </c>
      <c r="N46" s="8">
        <f>INDEX('4-เสา เหล็กเสริม'!$O:$O,MATCH(B46,'4-เสา เหล็กเสริม'!$A:$A,0))</f>
        <v/>
      </c>
      <c r="O46" s="8" t="inlineStr">
        <is>
          <t>แบบ S201 (ตำแหน่ง) / ระดับรอยืนยัน</t>
        </is>
      </c>
    </row>
    <row r="47">
      <c r="A47" s="8" t="inlineStr">
        <is>
          <t>C1-044</t>
        </is>
      </c>
      <c r="B47" s="8" t="inlineStr">
        <is>
          <t>C1</t>
        </is>
      </c>
      <c r="C47" s="8" t="inlineStr">
        <is>
          <t>10/J</t>
        </is>
      </c>
      <c r="D47" s="9" t="n">
        <v>53.995</v>
      </c>
      <c r="E47" s="9" t="n">
        <v>54.013</v>
      </c>
      <c r="F47" s="9" t="n">
        <v>0.3</v>
      </c>
      <c r="G47" s="9" t="n">
        <v>0.5</v>
      </c>
      <c r="H47" s="9" t="n">
        <v>-0.4</v>
      </c>
      <c r="I47" s="9" t="n">
        <v>4.5</v>
      </c>
      <c r="J47" s="8">
        <f>I47-H47</f>
        <v/>
      </c>
      <c r="K47" s="8" t="inlineStr">
        <is>
          <t>F2P-045</t>
        </is>
      </c>
      <c r="L47" s="8">
        <f>F47*G47*J47</f>
        <v/>
      </c>
      <c r="M47" s="8">
        <f>2*(F47+G47)*J47</f>
        <v/>
      </c>
      <c r="N47" s="8">
        <f>INDEX('4-เสา เหล็กเสริม'!$O:$O,MATCH(B47,'4-เสา เหล็กเสริม'!$A:$A,0))</f>
        <v/>
      </c>
      <c r="O47" s="8" t="inlineStr">
        <is>
          <t>แบบ S201 (ตำแหน่ง) / ระดับรอยืนยัน</t>
        </is>
      </c>
    </row>
    <row r="48">
      <c r="A48" s="8" t="inlineStr">
        <is>
          <t>C1-045</t>
        </is>
      </c>
      <c r="B48" s="8" t="inlineStr">
        <is>
          <t>C1</t>
        </is>
      </c>
      <c r="C48" s="8" t="inlineStr">
        <is>
          <t>11/J</t>
        </is>
      </c>
      <c r="D48" s="9" t="n">
        <v>59.993</v>
      </c>
      <c r="E48" s="9" t="n">
        <v>54.013</v>
      </c>
      <c r="F48" s="9" t="n">
        <v>0.5</v>
      </c>
      <c r="G48" s="9" t="n">
        <v>0.3</v>
      </c>
      <c r="H48" s="9" t="n">
        <v>-0.4</v>
      </c>
      <c r="I48" s="9" t="n">
        <v>4.5</v>
      </c>
      <c r="J48" s="8">
        <f>I48-H48</f>
        <v/>
      </c>
      <c r="K48" s="8" t="inlineStr">
        <is>
          <t>F2P-046</t>
        </is>
      </c>
      <c r="L48" s="8">
        <f>F48*G48*J48</f>
        <v/>
      </c>
      <c r="M48" s="8">
        <f>2*(F48+G48)*J48</f>
        <v/>
      </c>
      <c r="N48" s="8">
        <f>INDEX('4-เสา เหล็กเสริม'!$O:$O,MATCH(B48,'4-เสา เหล็กเสริม'!$A:$A,0))</f>
        <v/>
      </c>
      <c r="O48" s="8" t="inlineStr">
        <is>
          <t>แบบ S201 (ตำแหน่ง) / ระดับรอยืนยัน</t>
        </is>
      </c>
    </row>
    <row r="49">
      <c r="A49" s="8" t="inlineStr">
        <is>
          <t>C2-001</t>
        </is>
      </c>
      <c r="B49" s="8" t="inlineStr">
        <is>
          <t>C2</t>
        </is>
      </c>
      <c r="C49" s="8" t="inlineStr">
        <is>
          <t>6/J</t>
        </is>
      </c>
      <c r="D49" s="9" t="n">
        <v>29.992</v>
      </c>
      <c r="E49" s="9" t="n">
        <v>54.013</v>
      </c>
      <c r="F49" s="9" t="n">
        <v>0.5</v>
      </c>
      <c r="G49" s="9" t="n">
        <v>0.5</v>
      </c>
      <c r="H49" s="9" t="n">
        <v>-0.4</v>
      </c>
      <c r="I49" s="9" t="n">
        <v>4.5</v>
      </c>
      <c r="J49" s="8">
        <f>I49-H49</f>
        <v/>
      </c>
      <c r="K49" s="8" t="inlineStr">
        <is>
          <t>F2P-041</t>
        </is>
      </c>
      <c r="L49" s="8">
        <f>F49*G49*J49</f>
        <v/>
      </c>
      <c r="M49" s="8">
        <f>2*(F49+G49)*J49</f>
        <v/>
      </c>
      <c r="N49" s="8">
        <f>INDEX('4-เสา เหล็กเสริม'!$O:$O,MATCH(B49,'4-เสา เหล็กเสริม'!$A:$A,0))</f>
        <v/>
      </c>
      <c r="O49" s="8" t="inlineStr">
        <is>
          <t>แบบ S201 (ตำแหน่ง) / ระดับรอยืนยัน</t>
        </is>
      </c>
    </row>
    <row r="50">
      <c r="A50" s="8" t="inlineStr">
        <is>
          <t>C3-001</t>
        </is>
      </c>
      <c r="B50" s="8" t="inlineStr">
        <is>
          <t>C3</t>
        </is>
      </c>
      <c r="C50" s="8" t="inlineStr">
        <is>
          <t>1-4.01/B</t>
        </is>
      </c>
      <c r="D50" s="9" t="n">
        <v>-4.008</v>
      </c>
      <c r="E50" s="9" t="n">
        <v>6.012</v>
      </c>
      <c r="F50" s="9" t="n">
        <v>0.2</v>
      </c>
      <c r="G50" s="9" t="n">
        <v>0.2</v>
      </c>
      <c r="H50" s="9" t="n">
        <v>-0.4</v>
      </c>
      <c r="I50" s="9" t="n">
        <v>3</v>
      </c>
      <c r="J50" s="8">
        <f>I50-H50</f>
        <v/>
      </c>
      <c r="K50" s="8" t="inlineStr">
        <is>
          <t>F1P-1-004</t>
        </is>
      </c>
      <c r="L50" s="8">
        <f>F50*G50*J50</f>
        <v/>
      </c>
      <c r="M50" s="8">
        <f>2*(F50+G50)*J50</f>
        <v/>
      </c>
      <c r="N50" s="8">
        <f>INDEX('4-เสา เหล็กเสริม'!$O:$O,MATCH(B50,'4-เสา เหล็กเสริม'!$A:$A,0))</f>
        <v/>
      </c>
      <c r="O50" s="8" t="inlineStr">
        <is>
          <t>แบบ S201 (ตำแหน่ง) / ระดับรอยืนยัน</t>
        </is>
      </c>
    </row>
    <row r="51">
      <c r="A51" s="8" t="inlineStr">
        <is>
          <t>C3-002</t>
        </is>
      </c>
      <c r="B51" s="8" t="inlineStr">
        <is>
          <t>C3</t>
        </is>
      </c>
      <c r="C51" s="8" t="inlineStr">
        <is>
          <t>1-7.36/D</t>
        </is>
      </c>
      <c r="D51" s="9" t="n">
        <v>-7.358</v>
      </c>
      <c r="E51" s="9" t="n">
        <v>18.007</v>
      </c>
      <c r="F51" s="9" t="n">
        <v>0.2</v>
      </c>
      <c r="G51" s="9" t="n">
        <v>0.2</v>
      </c>
      <c r="H51" s="9" t="n">
        <v>-0.4</v>
      </c>
      <c r="I51" s="9" t="n">
        <v>3</v>
      </c>
      <c r="J51" s="8">
        <f>I51-H51</f>
        <v/>
      </c>
      <c r="K51" s="8" t="inlineStr">
        <is>
          <t>F1P-1-006</t>
        </is>
      </c>
      <c r="L51" s="8">
        <f>F51*G51*J51</f>
        <v/>
      </c>
      <c r="M51" s="8">
        <f>2*(F51+G51)*J51</f>
        <v/>
      </c>
      <c r="N51" s="8">
        <f>INDEX('4-เสา เหล็กเสริม'!$O:$O,MATCH(B51,'4-เสา เหล็กเสริม'!$A:$A,0))</f>
        <v/>
      </c>
      <c r="O51" s="8" t="inlineStr">
        <is>
          <t>แบบ S201 (ตำแหน่ง) / ระดับรอยืนยัน</t>
        </is>
      </c>
    </row>
    <row r="52">
      <c r="A52" s="8" t="inlineStr">
        <is>
          <t>C3-003</t>
        </is>
      </c>
      <c r="B52" s="8" t="inlineStr">
        <is>
          <t>C3</t>
        </is>
      </c>
      <c r="C52" s="8" t="inlineStr">
        <is>
          <t>1-4.96/D</t>
        </is>
      </c>
      <c r="D52" s="9" t="n">
        <v>-4.961</v>
      </c>
      <c r="E52" s="9" t="n">
        <v>18.007</v>
      </c>
      <c r="F52" s="9" t="n">
        <v>0.2</v>
      </c>
      <c r="G52" s="9" t="n">
        <v>0.2</v>
      </c>
      <c r="H52" s="9" t="n">
        <v>-0.4</v>
      </c>
      <c r="I52" s="9" t="n">
        <v>3</v>
      </c>
      <c r="J52" s="8">
        <f>I52-H52</f>
        <v/>
      </c>
      <c r="K52" s="8" t="inlineStr">
        <is>
          <t>F1P-1-007</t>
        </is>
      </c>
      <c r="L52" s="8">
        <f>F52*G52*J52</f>
        <v/>
      </c>
      <c r="M52" s="8">
        <f>2*(F52+G52)*J52</f>
        <v/>
      </c>
      <c r="N52" s="8">
        <f>INDEX('4-เสา เหล็กเสริม'!$O:$O,MATCH(B52,'4-เสา เหล็กเสริม'!$A:$A,0))</f>
        <v/>
      </c>
      <c r="O52" s="8" t="inlineStr">
        <is>
          <t>แบบ S201 (ตำแหน่ง) / ระดับรอยืนยัน</t>
        </is>
      </c>
    </row>
    <row r="53">
      <c r="A53" s="8" t="inlineStr">
        <is>
          <t>C3-004</t>
        </is>
      </c>
      <c r="B53" s="8" t="inlineStr">
        <is>
          <t>C3</t>
        </is>
      </c>
      <c r="C53" s="8" t="inlineStr">
        <is>
          <t>1-7.36/E-1.99</t>
        </is>
      </c>
      <c r="D53" s="9" t="n">
        <v>-7.358</v>
      </c>
      <c r="E53" s="9" t="n">
        <v>22.006</v>
      </c>
      <c r="F53" s="9" t="n">
        <v>0.2</v>
      </c>
      <c r="G53" s="9" t="n">
        <v>0.2</v>
      </c>
      <c r="H53" s="9" t="n">
        <v>-0.4</v>
      </c>
      <c r="I53" s="9" t="n">
        <v>3</v>
      </c>
      <c r="J53" s="8">
        <f>I53-H53</f>
        <v/>
      </c>
      <c r="K53" s="8" t="inlineStr">
        <is>
          <t>F1P-1-008</t>
        </is>
      </c>
      <c r="L53" s="8">
        <f>F53*G53*J53</f>
        <v/>
      </c>
      <c r="M53" s="8">
        <f>2*(F53+G53)*J53</f>
        <v/>
      </c>
      <c r="N53" s="8">
        <f>INDEX('4-เสา เหล็กเสริม'!$O:$O,MATCH(B53,'4-เสา เหล็กเสริม'!$A:$A,0))</f>
        <v/>
      </c>
      <c r="O53" s="8" t="inlineStr">
        <is>
          <t>แบบ S201 (ตำแหน่ง) / ระดับรอยืนยัน</t>
        </is>
      </c>
    </row>
    <row r="54">
      <c r="A54" s="8" t="inlineStr">
        <is>
          <t>C3-005</t>
        </is>
      </c>
      <c r="B54" s="8" t="inlineStr">
        <is>
          <t>C3</t>
        </is>
      </c>
      <c r="C54" s="8" t="inlineStr">
        <is>
          <t>1-4.96/E-1.99</t>
        </is>
      </c>
      <c r="D54" s="9" t="n">
        <v>-4.961</v>
      </c>
      <c r="E54" s="9" t="n">
        <v>22.006</v>
      </c>
      <c r="F54" s="9" t="n">
        <v>0.2</v>
      </c>
      <c r="G54" s="9" t="n">
        <v>0.2</v>
      </c>
      <c r="H54" s="9" t="n">
        <v>-0.4</v>
      </c>
      <c r="I54" s="9" t="n">
        <v>3</v>
      </c>
      <c r="J54" s="8">
        <f>I54-H54</f>
        <v/>
      </c>
      <c r="K54" s="8" t="inlineStr">
        <is>
          <t>F1P-1-009</t>
        </is>
      </c>
      <c r="L54" s="8">
        <f>F54*G54*J54</f>
        <v/>
      </c>
      <c r="M54" s="8">
        <f>2*(F54+G54)*J54</f>
        <v/>
      </c>
      <c r="N54" s="8">
        <f>INDEX('4-เสา เหล็กเสริม'!$O:$O,MATCH(B54,'4-เสา เหล็กเสริม'!$A:$A,0))</f>
        <v/>
      </c>
      <c r="O54" s="8" t="inlineStr">
        <is>
          <t>แบบ S201 (ตำแหน่ง) / ระดับรอยืนยัน</t>
        </is>
      </c>
    </row>
    <row r="55">
      <c r="A55" s="8" t="inlineStr">
        <is>
          <t>C3-006</t>
        </is>
      </c>
      <c r="B55" s="8" t="inlineStr">
        <is>
          <t>C3</t>
        </is>
      </c>
      <c r="C55" s="8" t="inlineStr">
        <is>
          <t>1-7.36/E+2.01</t>
        </is>
      </c>
      <c r="D55" s="9" t="n">
        <v>-7.358</v>
      </c>
      <c r="E55" s="9" t="n">
        <v>26.011</v>
      </c>
      <c r="F55" s="9" t="n">
        <v>0.2</v>
      </c>
      <c r="G55" s="9" t="n">
        <v>0.2</v>
      </c>
      <c r="H55" s="9" t="n">
        <v>-0.4</v>
      </c>
      <c r="I55" s="9" t="n">
        <v>3</v>
      </c>
      <c r="J55" s="8">
        <f>I55-H55</f>
        <v/>
      </c>
      <c r="K55" s="8" t="inlineStr">
        <is>
          <t>F1P-1-010</t>
        </is>
      </c>
      <c r="L55" s="8">
        <f>F55*G55*J55</f>
        <v/>
      </c>
      <c r="M55" s="8">
        <f>2*(F55+G55)*J55</f>
        <v/>
      </c>
      <c r="N55" s="8">
        <f>INDEX('4-เสา เหล็กเสริม'!$O:$O,MATCH(B55,'4-เสา เหล็กเสริม'!$A:$A,0))</f>
        <v/>
      </c>
      <c r="O55" s="8" t="inlineStr">
        <is>
          <t>แบบ S201 (ตำแหน่ง) / ระดับรอยืนยัน</t>
        </is>
      </c>
    </row>
    <row r="56">
      <c r="A56" s="8" t="inlineStr">
        <is>
          <t>C3-007</t>
        </is>
      </c>
      <c r="B56" s="8" t="inlineStr">
        <is>
          <t>C3</t>
        </is>
      </c>
      <c r="C56" s="8" t="inlineStr">
        <is>
          <t>1-4.96/E+2.01</t>
        </is>
      </c>
      <c r="D56" s="9" t="n">
        <v>-4.961</v>
      </c>
      <c r="E56" s="9" t="n">
        <v>26.011</v>
      </c>
      <c r="F56" s="9" t="n">
        <v>0.2</v>
      </c>
      <c r="G56" s="9" t="n">
        <v>0.2</v>
      </c>
      <c r="H56" s="9" t="n">
        <v>-0.4</v>
      </c>
      <c r="I56" s="9" t="n">
        <v>3</v>
      </c>
      <c r="J56" s="8">
        <f>I56-H56</f>
        <v/>
      </c>
      <c r="K56" s="8" t="inlineStr">
        <is>
          <t>F1P-1-011</t>
        </is>
      </c>
      <c r="L56" s="8">
        <f>F56*G56*J56</f>
        <v/>
      </c>
      <c r="M56" s="8">
        <f>2*(F56+G56)*J56</f>
        <v/>
      </c>
      <c r="N56" s="8">
        <f>INDEX('4-เสา เหล็กเสริม'!$O:$O,MATCH(B56,'4-เสา เหล็กเสริม'!$A:$A,0))</f>
        <v/>
      </c>
      <c r="O56" s="8" t="inlineStr">
        <is>
          <t>แบบ S201 (ตำแหน่ง) / ระดับรอยืนยัน</t>
        </is>
      </c>
    </row>
    <row r="57">
      <c r="A57" s="8" t="inlineStr">
        <is>
          <t>SC-001</t>
        </is>
      </c>
      <c r="B57" s="8" t="inlineStr">
        <is>
          <t>SC</t>
        </is>
      </c>
      <c r="C57" s="8" t="inlineStr">
        <is>
          <t>1+3.00/A</t>
        </is>
      </c>
      <c r="D57" s="9" t="n">
        <v>3</v>
      </c>
      <c r="E57" s="9" t="n">
        <v>0</v>
      </c>
      <c r="F57" s="9" t="n">
        <v>0.1</v>
      </c>
      <c r="G57" s="9" t="n">
        <v>0.15</v>
      </c>
      <c r="H57" s="9" t="n">
        <v>0.5</v>
      </c>
      <c r="I57" s="9" t="n">
        <v>4.35</v>
      </c>
      <c r="J57" s="8">
        <f>I57-H57</f>
        <v/>
      </c>
      <c r="K57" s="8" t="inlineStr">
        <is>
          <t>ผนัง/คานคอดิน</t>
        </is>
      </c>
      <c r="L57" s="8">
        <f>F57*G57*J57</f>
        <v/>
      </c>
      <c r="M57" s="8">
        <f>2*MIN(F57,G57)*J57</f>
        <v/>
      </c>
      <c r="N57" s="8">
        <f>INDEX('4-เสา เหล็กเสริม'!$O:$O,MATCH(B57,'4-เสา เหล็กเสริม'!$A:$A,0))</f>
        <v/>
      </c>
      <c r="O57" s="8" t="inlineStr">
        <is>
          <t>สมมติ: กลางช่วงเสา 6 ม. และข้างวงกบ</t>
        </is>
      </c>
    </row>
    <row r="58">
      <c r="A58" s="8" t="inlineStr">
        <is>
          <t>SC-002</t>
        </is>
      </c>
      <c r="B58" s="8" t="inlineStr">
        <is>
          <t>SC</t>
        </is>
      </c>
      <c r="C58" s="8" t="inlineStr">
        <is>
          <t>2+3.00/A</t>
        </is>
      </c>
      <c r="D58" s="9" t="n">
        <v>9</v>
      </c>
      <c r="E58" s="9" t="n">
        <v>0</v>
      </c>
      <c r="F58" s="9" t="n">
        <v>0.1</v>
      </c>
      <c r="G58" s="9" t="n">
        <v>0.15</v>
      </c>
      <c r="H58" s="9" t="n">
        <v>0.5</v>
      </c>
      <c r="I58" s="9" t="n">
        <v>4.35</v>
      </c>
      <c r="J58" s="8">
        <f>I58-H58</f>
        <v/>
      </c>
      <c r="K58" s="8" t="inlineStr">
        <is>
          <t>ผนัง/คานคอดิน</t>
        </is>
      </c>
      <c r="L58" s="8">
        <f>F58*G58*J58</f>
        <v/>
      </c>
      <c r="M58" s="8">
        <f>2*MIN(F58,G58)*J58</f>
        <v/>
      </c>
      <c r="N58" s="8">
        <f>INDEX('4-เสา เหล็กเสริม'!$O:$O,MATCH(B58,'4-เสา เหล็กเสริม'!$A:$A,0))</f>
        <v/>
      </c>
      <c r="O58" s="8" t="inlineStr">
        <is>
          <t>สมมติ: กลางช่วงเสา 6 ม. และข้างวงกบ</t>
        </is>
      </c>
    </row>
    <row r="59">
      <c r="A59" s="8" t="inlineStr">
        <is>
          <t>SC-003</t>
        </is>
      </c>
      <c r="B59" s="8" t="inlineStr">
        <is>
          <t>SC</t>
        </is>
      </c>
      <c r="C59" s="8" t="inlineStr">
        <is>
          <t>3+3.00/A</t>
        </is>
      </c>
      <c r="D59" s="9" t="n">
        <v>15</v>
      </c>
      <c r="E59" s="9" t="n">
        <v>0</v>
      </c>
      <c r="F59" s="9" t="n">
        <v>0.1</v>
      </c>
      <c r="G59" s="9" t="n">
        <v>0.15</v>
      </c>
      <c r="H59" s="9" t="n">
        <v>0.5</v>
      </c>
      <c r="I59" s="9" t="n">
        <v>4.35</v>
      </c>
      <c r="J59" s="8">
        <f>I59-H59</f>
        <v/>
      </c>
      <c r="K59" s="8" t="inlineStr">
        <is>
          <t>ผนัง/คานคอดิน</t>
        </is>
      </c>
      <c r="L59" s="8">
        <f>F59*G59*J59</f>
        <v/>
      </c>
      <c r="M59" s="8">
        <f>2*MIN(F59,G59)*J59</f>
        <v/>
      </c>
      <c r="N59" s="8">
        <f>INDEX('4-เสา เหล็กเสริม'!$O:$O,MATCH(B59,'4-เสา เหล็กเสริม'!$A:$A,0))</f>
        <v/>
      </c>
      <c r="O59" s="8" t="inlineStr">
        <is>
          <t>สมมติ: กลางช่วงเสา 6 ม. และข้างวงกบ</t>
        </is>
      </c>
    </row>
    <row r="60">
      <c r="A60" s="8" t="inlineStr">
        <is>
          <t>SC-004</t>
        </is>
      </c>
      <c r="B60" s="8" t="inlineStr">
        <is>
          <t>SC</t>
        </is>
      </c>
      <c r="C60" s="8" t="inlineStr">
        <is>
          <t>4+3.00/A</t>
        </is>
      </c>
      <c r="D60" s="9" t="n">
        <v>21</v>
      </c>
      <c r="E60" s="9" t="n">
        <v>0</v>
      </c>
      <c r="F60" s="9" t="n">
        <v>0.1</v>
      </c>
      <c r="G60" s="9" t="n">
        <v>0.15</v>
      </c>
      <c r="H60" s="9" t="n">
        <v>0.5</v>
      </c>
      <c r="I60" s="9" t="n">
        <v>4.35</v>
      </c>
      <c r="J60" s="8">
        <f>I60-H60</f>
        <v/>
      </c>
      <c r="K60" s="8" t="inlineStr">
        <is>
          <t>ผนัง/คานคอดิน</t>
        </is>
      </c>
      <c r="L60" s="8">
        <f>F60*G60*J60</f>
        <v/>
      </c>
      <c r="M60" s="8">
        <f>2*MIN(F60,G60)*J60</f>
        <v/>
      </c>
      <c r="N60" s="8">
        <f>INDEX('4-เสา เหล็กเสริม'!$O:$O,MATCH(B60,'4-เสา เหล็กเสริม'!$A:$A,0))</f>
        <v/>
      </c>
      <c r="O60" s="8" t="inlineStr">
        <is>
          <t>สมมติ: กลางช่วงเสา 6 ม. และข้างวงกบ</t>
        </is>
      </c>
    </row>
    <row r="61">
      <c r="A61" s="8" t="inlineStr">
        <is>
          <t>SC-005</t>
        </is>
      </c>
      <c r="B61" s="8" t="inlineStr">
        <is>
          <t>SC</t>
        </is>
      </c>
      <c r="C61" s="8" t="inlineStr">
        <is>
          <t>6+3.00/A</t>
        </is>
      </c>
      <c r="D61" s="9" t="n">
        <v>33</v>
      </c>
      <c r="E61" s="9" t="n">
        <v>0</v>
      </c>
      <c r="F61" s="9" t="n">
        <v>0.1</v>
      </c>
      <c r="G61" s="9" t="n">
        <v>0.15</v>
      </c>
      <c r="H61" s="9" t="n">
        <v>0.5</v>
      </c>
      <c r="I61" s="9" t="n">
        <v>4.35</v>
      </c>
      <c r="J61" s="8">
        <f>I61-H61</f>
        <v/>
      </c>
      <c r="K61" s="8" t="inlineStr">
        <is>
          <t>ผนัง/คานคอดิน</t>
        </is>
      </c>
      <c r="L61" s="8">
        <f>F61*G61*J61</f>
        <v/>
      </c>
      <c r="M61" s="8">
        <f>2*MIN(F61,G61)*J61</f>
        <v/>
      </c>
      <c r="N61" s="8">
        <f>INDEX('4-เสา เหล็กเสริม'!$O:$O,MATCH(B61,'4-เสา เหล็กเสริม'!$A:$A,0))</f>
        <v/>
      </c>
      <c r="O61" s="8" t="inlineStr">
        <is>
          <t>สมมติ: กลางช่วงเสา 6 ม. และข้างวงกบ</t>
        </is>
      </c>
    </row>
    <row r="62">
      <c r="A62" s="8" t="inlineStr">
        <is>
          <t>SC-006</t>
        </is>
      </c>
      <c r="B62" s="8" t="inlineStr">
        <is>
          <t>SC</t>
        </is>
      </c>
      <c r="C62" s="8" t="inlineStr">
        <is>
          <t>7+3.00/A</t>
        </is>
      </c>
      <c r="D62" s="9" t="n">
        <v>39</v>
      </c>
      <c r="E62" s="9" t="n">
        <v>0</v>
      </c>
      <c r="F62" s="9" t="n">
        <v>0.1</v>
      </c>
      <c r="G62" s="9" t="n">
        <v>0.15</v>
      </c>
      <c r="H62" s="9" t="n">
        <v>0.5</v>
      </c>
      <c r="I62" s="9" t="n">
        <v>4.35</v>
      </c>
      <c r="J62" s="8">
        <f>I62-H62</f>
        <v/>
      </c>
      <c r="K62" s="8" t="inlineStr">
        <is>
          <t>ผนัง/คานคอดิน</t>
        </is>
      </c>
      <c r="L62" s="8">
        <f>F62*G62*J62</f>
        <v/>
      </c>
      <c r="M62" s="8">
        <f>2*MIN(F62,G62)*J62</f>
        <v/>
      </c>
      <c r="N62" s="8">
        <f>INDEX('4-เสา เหล็กเสริม'!$O:$O,MATCH(B62,'4-เสา เหล็กเสริม'!$A:$A,0))</f>
        <v/>
      </c>
      <c r="O62" s="8" t="inlineStr">
        <is>
          <t>สมมติ: กลางช่วงเสา 6 ม. และข้างวงกบ</t>
        </is>
      </c>
    </row>
    <row r="63">
      <c r="A63" s="8" t="inlineStr">
        <is>
          <t>SC-007</t>
        </is>
      </c>
      <c r="B63" s="8" t="inlineStr">
        <is>
          <t>SC</t>
        </is>
      </c>
      <c r="C63" s="8" t="inlineStr">
        <is>
          <t>8+3.00/A</t>
        </is>
      </c>
      <c r="D63" s="9" t="n">
        <v>45</v>
      </c>
      <c r="E63" s="9" t="n">
        <v>0</v>
      </c>
      <c r="F63" s="9" t="n">
        <v>0.1</v>
      </c>
      <c r="G63" s="9" t="n">
        <v>0.15</v>
      </c>
      <c r="H63" s="9" t="n">
        <v>0.5</v>
      </c>
      <c r="I63" s="9" t="n">
        <v>4.35</v>
      </c>
      <c r="J63" s="8">
        <f>I63-H63</f>
        <v/>
      </c>
      <c r="K63" s="8" t="inlineStr">
        <is>
          <t>ผนัง/คานคอดิน</t>
        </is>
      </c>
      <c r="L63" s="8">
        <f>F63*G63*J63</f>
        <v/>
      </c>
      <c r="M63" s="8">
        <f>2*MIN(F63,G63)*J63</f>
        <v/>
      </c>
      <c r="N63" s="8">
        <f>INDEX('4-เสา เหล็กเสริม'!$O:$O,MATCH(B63,'4-เสา เหล็กเสริม'!$A:$A,0))</f>
        <v/>
      </c>
      <c r="O63" s="8" t="inlineStr">
        <is>
          <t>สมมติ: กลางช่วงเสา 6 ม. และข้างวงกบ</t>
        </is>
      </c>
    </row>
    <row r="64">
      <c r="A64" s="8" t="inlineStr">
        <is>
          <t>SC-008</t>
        </is>
      </c>
      <c r="B64" s="8" t="inlineStr">
        <is>
          <t>SC</t>
        </is>
      </c>
      <c r="C64" s="8" t="inlineStr">
        <is>
          <t>9+3.00/A</t>
        </is>
      </c>
      <c r="D64" s="9" t="n">
        <v>51</v>
      </c>
      <c r="E64" s="9" t="n">
        <v>0</v>
      </c>
      <c r="F64" s="9" t="n">
        <v>0.1</v>
      </c>
      <c r="G64" s="9" t="n">
        <v>0.15</v>
      </c>
      <c r="H64" s="9" t="n">
        <v>0.5</v>
      </c>
      <c r="I64" s="9" t="n">
        <v>4.35</v>
      </c>
      <c r="J64" s="8">
        <f>I64-H64</f>
        <v/>
      </c>
      <c r="K64" s="8" t="inlineStr">
        <is>
          <t>ผนัง/คานคอดิน</t>
        </is>
      </c>
      <c r="L64" s="8">
        <f>F64*G64*J64</f>
        <v/>
      </c>
      <c r="M64" s="8">
        <f>2*MIN(F64,G64)*J64</f>
        <v/>
      </c>
      <c r="N64" s="8">
        <f>INDEX('4-เสา เหล็กเสริม'!$O:$O,MATCH(B64,'4-เสา เหล็กเสริม'!$A:$A,0))</f>
        <v/>
      </c>
      <c r="O64" s="8" t="inlineStr">
        <is>
          <t>สมมติ: กลางช่วงเสา 6 ม. และข้างวงกบ</t>
        </is>
      </c>
    </row>
    <row r="65">
      <c r="A65" s="8" t="inlineStr">
        <is>
          <t>SC-009</t>
        </is>
      </c>
      <c r="B65" s="8" t="inlineStr">
        <is>
          <t>SC</t>
        </is>
      </c>
      <c r="C65" s="8" t="inlineStr">
        <is>
          <t>10+3.00/A</t>
        </is>
      </c>
      <c r="D65" s="9" t="n">
        <v>57</v>
      </c>
      <c r="E65" s="9" t="n">
        <v>0</v>
      </c>
      <c r="F65" s="9" t="n">
        <v>0.1</v>
      </c>
      <c r="G65" s="9" t="n">
        <v>0.15</v>
      </c>
      <c r="H65" s="9" t="n">
        <v>0.5</v>
      </c>
      <c r="I65" s="9" t="n">
        <v>4.35</v>
      </c>
      <c r="J65" s="8">
        <f>I65-H65</f>
        <v/>
      </c>
      <c r="K65" s="8" t="inlineStr">
        <is>
          <t>ผนัง/คานคอดิน</t>
        </is>
      </c>
      <c r="L65" s="8">
        <f>F65*G65*J65</f>
        <v/>
      </c>
      <c r="M65" s="8">
        <f>2*MIN(F65,G65)*J65</f>
        <v/>
      </c>
      <c r="N65" s="8">
        <f>INDEX('4-เสา เหล็กเสริม'!$O:$O,MATCH(B65,'4-เสา เหล็กเสริม'!$A:$A,0))</f>
        <v/>
      </c>
      <c r="O65" s="8" t="inlineStr">
        <is>
          <t>สมมติ: กลางช่วงเสา 6 ม. และข้างวงกบ</t>
        </is>
      </c>
    </row>
    <row r="66">
      <c r="A66" s="8" t="inlineStr">
        <is>
          <t>SC-010</t>
        </is>
      </c>
      <c r="B66" s="8" t="inlineStr">
        <is>
          <t>SC</t>
        </is>
      </c>
      <c r="C66" s="8" t="inlineStr">
        <is>
          <t>1/A+3.00</t>
        </is>
      </c>
      <c r="D66" s="9" t="n">
        <v>0</v>
      </c>
      <c r="E66" s="9" t="n">
        <v>3</v>
      </c>
      <c r="F66" s="9" t="n">
        <v>0.15</v>
      </c>
      <c r="G66" s="9" t="n">
        <v>0.1</v>
      </c>
      <c r="H66" s="9" t="n">
        <v>0.5</v>
      </c>
      <c r="I66" s="9" t="n">
        <v>4.35</v>
      </c>
      <c r="J66" s="8">
        <f>I66-H66</f>
        <v/>
      </c>
      <c r="K66" s="8" t="inlineStr">
        <is>
          <t>ผนัง/คานคอดิน</t>
        </is>
      </c>
      <c r="L66" s="8">
        <f>F66*G66*J66</f>
        <v/>
      </c>
      <c r="M66" s="8">
        <f>2*MIN(F66,G66)*J66</f>
        <v/>
      </c>
      <c r="N66" s="8">
        <f>INDEX('4-เสา เหล็กเสริม'!$O:$O,MATCH(B66,'4-เสา เหล็กเสริม'!$A:$A,0))</f>
        <v/>
      </c>
      <c r="O66" s="8" t="inlineStr">
        <is>
          <t>สมมติ: กลางช่วงเสา 6 ม. และข้างวงกบ</t>
        </is>
      </c>
    </row>
    <row r="67">
      <c r="A67" s="8" t="inlineStr">
        <is>
          <t>SC-011</t>
        </is>
      </c>
      <c r="B67" s="8" t="inlineStr">
        <is>
          <t>SC</t>
        </is>
      </c>
      <c r="C67" s="8" t="inlineStr">
        <is>
          <t>11/A+3.00</t>
        </is>
      </c>
      <c r="D67" s="9" t="n">
        <v>60</v>
      </c>
      <c r="E67" s="9" t="n">
        <v>3</v>
      </c>
      <c r="F67" s="9" t="n">
        <v>0.15</v>
      </c>
      <c r="G67" s="9" t="n">
        <v>0.1</v>
      </c>
      <c r="H67" s="9" t="n">
        <v>0.5</v>
      </c>
      <c r="I67" s="9" t="n">
        <v>4.35</v>
      </c>
      <c r="J67" s="8">
        <f>I67-H67</f>
        <v/>
      </c>
      <c r="K67" s="8" t="inlineStr">
        <is>
          <t>ผนัง/คานคอดิน</t>
        </is>
      </c>
      <c r="L67" s="8">
        <f>F67*G67*J67</f>
        <v/>
      </c>
      <c r="M67" s="8">
        <f>2*MIN(F67,G67)*J67</f>
        <v/>
      </c>
      <c r="N67" s="8">
        <f>INDEX('4-เสา เหล็กเสริม'!$O:$O,MATCH(B67,'4-เสา เหล็กเสริม'!$A:$A,0))</f>
        <v/>
      </c>
      <c r="O67" s="8" t="inlineStr">
        <is>
          <t>สมมติ: กลางช่วงเสา 6 ม. และข้างวงกบ</t>
        </is>
      </c>
    </row>
    <row r="68">
      <c r="A68" s="8" t="inlineStr">
        <is>
          <t>SC-012</t>
        </is>
      </c>
      <c r="B68" s="8" t="inlineStr">
        <is>
          <t>SC</t>
        </is>
      </c>
      <c r="C68" s="8" t="inlineStr">
        <is>
          <t>1/B+3.00</t>
        </is>
      </c>
      <c r="D68" s="9" t="n">
        <v>0</v>
      </c>
      <c r="E68" s="9" t="n">
        <v>9</v>
      </c>
      <c r="F68" s="9" t="n">
        <v>0.15</v>
      </c>
      <c r="G68" s="9" t="n">
        <v>0.1</v>
      </c>
      <c r="H68" s="9" t="n">
        <v>0.5</v>
      </c>
      <c r="I68" s="9" t="n">
        <v>4.35</v>
      </c>
      <c r="J68" s="8">
        <f>I68-H68</f>
        <v/>
      </c>
      <c r="K68" s="8" t="inlineStr">
        <is>
          <t>ผนัง/คานคอดิน</t>
        </is>
      </c>
      <c r="L68" s="8">
        <f>F68*G68*J68</f>
        <v/>
      </c>
      <c r="M68" s="8">
        <f>2*MIN(F68,G68)*J68</f>
        <v/>
      </c>
      <c r="N68" s="8">
        <f>INDEX('4-เสา เหล็กเสริม'!$O:$O,MATCH(B68,'4-เสา เหล็กเสริม'!$A:$A,0))</f>
        <v/>
      </c>
      <c r="O68" s="8" t="inlineStr">
        <is>
          <t>สมมติ: กลางช่วงเสา 6 ม. และข้างวงกบ</t>
        </is>
      </c>
    </row>
    <row r="69">
      <c r="A69" s="8" t="inlineStr">
        <is>
          <t>SC-013</t>
        </is>
      </c>
      <c r="B69" s="8" t="inlineStr">
        <is>
          <t>SC</t>
        </is>
      </c>
      <c r="C69" s="8" t="inlineStr">
        <is>
          <t>11/C-1.16</t>
        </is>
      </c>
      <c r="D69" s="9" t="n">
        <v>60</v>
      </c>
      <c r="E69" s="9" t="n">
        <v>10.84</v>
      </c>
      <c r="F69" s="9" t="n">
        <v>0.15</v>
      </c>
      <c r="G69" s="9" t="n">
        <v>0.1</v>
      </c>
      <c r="H69" s="9" t="n">
        <v>0.5</v>
      </c>
      <c r="I69" s="9" t="n">
        <v>4.35</v>
      </c>
      <c r="J69" s="8">
        <f>I69-H69</f>
        <v/>
      </c>
      <c r="K69" s="8" t="inlineStr">
        <is>
          <t>ผนัง/คานคอดิน</t>
        </is>
      </c>
      <c r="L69" s="8">
        <f>F69*G69*J69</f>
        <v/>
      </c>
      <c r="M69" s="8">
        <f>2*MIN(F69,G69)*J69</f>
        <v/>
      </c>
      <c r="N69" s="8">
        <f>INDEX('4-เสา เหล็กเสริม'!$O:$O,MATCH(B69,'4-เสา เหล็กเสริม'!$A:$A,0))</f>
        <v/>
      </c>
      <c r="O69" s="8" t="inlineStr">
        <is>
          <t>สมมติ: กลางช่วงเสา 6 ม. และข้างวงกบ</t>
        </is>
      </c>
    </row>
    <row r="70">
      <c r="A70" s="8" t="inlineStr">
        <is>
          <t>SC-014</t>
        </is>
      </c>
      <c r="B70" s="8" t="inlineStr">
        <is>
          <t>SC</t>
        </is>
      </c>
      <c r="C70" s="8" t="inlineStr">
        <is>
          <t>11/C</t>
        </is>
      </c>
      <c r="D70" s="9" t="n">
        <v>60</v>
      </c>
      <c r="E70" s="9" t="n">
        <v>11.94</v>
      </c>
      <c r="F70" s="9" t="n">
        <v>0.15</v>
      </c>
      <c r="G70" s="9" t="n">
        <v>0.1</v>
      </c>
      <c r="H70" s="9" t="n">
        <v>0.5</v>
      </c>
      <c r="I70" s="9" t="n">
        <v>4.35</v>
      </c>
      <c r="J70" s="8">
        <f>I70-H70</f>
        <v/>
      </c>
      <c r="K70" s="8" t="inlineStr">
        <is>
          <t>F2P-017</t>
        </is>
      </c>
      <c r="L70" s="8">
        <f>F70*G70*J70</f>
        <v/>
      </c>
      <c r="M70" s="8">
        <f>2*MIN(F70,G70)*J70</f>
        <v/>
      </c>
      <c r="N70" s="8">
        <f>INDEX('4-เสา เหล็กเสริม'!$O:$O,MATCH(B70,'4-เสา เหล็กเสริม'!$A:$A,0))</f>
        <v/>
      </c>
      <c r="O70" s="8" t="inlineStr">
        <is>
          <t>สมมติ: กลางช่วงเสา 6 ม. และข้างวงกบ</t>
        </is>
      </c>
    </row>
    <row r="71">
      <c r="A71" s="8" t="inlineStr">
        <is>
          <t>SC-015</t>
        </is>
      </c>
      <c r="B71" s="8" t="inlineStr">
        <is>
          <t>SC</t>
        </is>
      </c>
      <c r="C71" s="8" t="inlineStr">
        <is>
          <t>1/C+3.00</t>
        </is>
      </c>
      <c r="D71" s="9" t="n">
        <v>0</v>
      </c>
      <c r="E71" s="9" t="n">
        <v>15</v>
      </c>
      <c r="F71" s="9" t="n">
        <v>0.15</v>
      </c>
      <c r="G71" s="9" t="n">
        <v>0.1</v>
      </c>
      <c r="H71" s="9" t="n">
        <v>0.5</v>
      </c>
      <c r="I71" s="9" t="n">
        <v>4.35</v>
      </c>
      <c r="J71" s="8">
        <f>I71-H71</f>
        <v/>
      </c>
      <c r="K71" s="8" t="inlineStr">
        <is>
          <t>ผนัง/คานคอดิน</t>
        </is>
      </c>
      <c r="L71" s="8">
        <f>F71*G71*J71</f>
        <v/>
      </c>
      <c r="M71" s="8">
        <f>2*MIN(F71,G71)*J71</f>
        <v/>
      </c>
      <c r="N71" s="8">
        <f>INDEX('4-เสา เหล็กเสริม'!$O:$O,MATCH(B71,'4-เสา เหล็กเสริม'!$A:$A,0))</f>
        <v/>
      </c>
      <c r="O71" s="8" t="inlineStr">
        <is>
          <t>สมมติ: กลางช่วงเสา 6 ม. และข้างวงกบ</t>
        </is>
      </c>
    </row>
    <row r="72">
      <c r="A72" s="8" t="inlineStr">
        <is>
          <t>SC-016</t>
        </is>
      </c>
      <c r="B72" s="8" t="inlineStr">
        <is>
          <t>SC</t>
        </is>
      </c>
      <c r="C72" s="8" t="inlineStr">
        <is>
          <t>11/C+3.00</t>
        </is>
      </c>
      <c r="D72" s="9" t="n">
        <v>60</v>
      </c>
      <c r="E72" s="9" t="n">
        <v>15</v>
      </c>
      <c r="F72" s="9" t="n">
        <v>0.15</v>
      </c>
      <c r="G72" s="9" t="n">
        <v>0.1</v>
      </c>
      <c r="H72" s="9" t="n">
        <v>0.5</v>
      </c>
      <c r="I72" s="9" t="n">
        <v>4.35</v>
      </c>
      <c r="J72" s="8">
        <f>I72-H72</f>
        <v/>
      </c>
      <c r="K72" s="8" t="inlineStr">
        <is>
          <t>ผนัง/คานคอดิน</t>
        </is>
      </c>
      <c r="L72" s="8">
        <f>F72*G72*J72</f>
        <v/>
      </c>
      <c r="M72" s="8">
        <f>2*MIN(F72,G72)*J72</f>
        <v/>
      </c>
      <c r="N72" s="8">
        <f>INDEX('4-เสา เหล็กเสริม'!$O:$O,MATCH(B72,'4-เสา เหล็กเสริม'!$A:$A,0))</f>
        <v/>
      </c>
      <c r="O72" s="8" t="inlineStr">
        <is>
          <t>สมมติ: กลางช่วงเสา 6 ม. และข้างวงกบ</t>
        </is>
      </c>
    </row>
    <row r="73">
      <c r="A73" s="8" t="inlineStr">
        <is>
          <t>SC-017</t>
        </is>
      </c>
      <c r="B73" s="8" t="inlineStr">
        <is>
          <t>SC</t>
        </is>
      </c>
      <c r="C73" s="8" t="inlineStr">
        <is>
          <t>1/D+3.00</t>
        </is>
      </c>
      <c r="D73" s="9" t="n">
        <v>0</v>
      </c>
      <c r="E73" s="9" t="n">
        <v>21</v>
      </c>
      <c r="F73" s="9" t="n">
        <v>0.15</v>
      </c>
      <c r="G73" s="9" t="n">
        <v>0.1</v>
      </c>
      <c r="H73" s="9" t="n">
        <v>0.5</v>
      </c>
      <c r="I73" s="9" t="n">
        <v>4.35</v>
      </c>
      <c r="J73" s="8">
        <f>I73-H73</f>
        <v/>
      </c>
      <c r="K73" s="8" t="inlineStr">
        <is>
          <t>ผนัง/คานคอดิน</t>
        </is>
      </c>
      <c r="L73" s="8">
        <f>F73*G73*J73</f>
        <v/>
      </c>
      <c r="M73" s="8">
        <f>2*MIN(F73,G73)*J73</f>
        <v/>
      </c>
      <c r="N73" s="8">
        <f>INDEX('4-เสา เหล็กเสริม'!$O:$O,MATCH(B73,'4-เสา เหล็กเสริม'!$A:$A,0))</f>
        <v/>
      </c>
      <c r="O73" s="8" t="inlineStr">
        <is>
          <t>สมมติ: กลางช่วงเสา 6 ม. และข้างวงกบ</t>
        </is>
      </c>
    </row>
    <row r="74">
      <c r="A74" s="8" t="inlineStr">
        <is>
          <t>SC-018</t>
        </is>
      </c>
      <c r="B74" s="8" t="inlineStr">
        <is>
          <t>SC</t>
        </is>
      </c>
      <c r="C74" s="8" t="inlineStr">
        <is>
          <t>11/D+3.00</t>
        </is>
      </c>
      <c r="D74" s="9" t="n">
        <v>60</v>
      </c>
      <c r="E74" s="9" t="n">
        <v>21</v>
      </c>
      <c r="F74" s="9" t="n">
        <v>0.15</v>
      </c>
      <c r="G74" s="9" t="n">
        <v>0.1</v>
      </c>
      <c r="H74" s="9" t="n">
        <v>0.5</v>
      </c>
      <c r="I74" s="9" t="n">
        <v>4.35</v>
      </c>
      <c r="J74" s="8">
        <f>I74-H74</f>
        <v/>
      </c>
      <c r="K74" s="8" t="inlineStr">
        <is>
          <t>ผนัง/คานคอดิน</t>
        </is>
      </c>
      <c r="L74" s="8">
        <f>F74*G74*J74</f>
        <v/>
      </c>
      <c r="M74" s="8">
        <f>2*MIN(F74,G74)*J74</f>
        <v/>
      </c>
      <c r="N74" s="8">
        <f>INDEX('4-เสา เหล็กเสริม'!$O:$O,MATCH(B74,'4-เสา เหล็กเสริม'!$A:$A,0))</f>
        <v/>
      </c>
      <c r="O74" s="8" t="inlineStr">
        <is>
          <t>สมมติ: กลางช่วงเสา 6 ม. และข้างวงกบ</t>
        </is>
      </c>
    </row>
    <row r="75">
      <c r="A75" s="8" t="inlineStr">
        <is>
          <t>SC-019</t>
        </is>
      </c>
      <c r="B75" s="8" t="inlineStr">
        <is>
          <t>SC</t>
        </is>
      </c>
      <c r="C75" s="8" t="inlineStr">
        <is>
          <t>11/E+3.00</t>
        </is>
      </c>
      <c r="D75" s="9" t="n">
        <v>60</v>
      </c>
      <c r="E75" s="9" t="n">
        <v>27</v>
      </c>
      <c r="F75" s="9" t="n">
        <v>0.15</v>
      </c>
      <c r="G75" s="9" t="n">
        <v>0.1</v>
      </c>
      <c r="H75" s="9" t="n">
        <v>0.5</v>
      </c>
      <c r="I75" s="9" t="n">
        <v>4.35</v>
      </c>
      <c r="J75" s="8">
        <f>I75-H75</f>
        <v/>
      </c>
      <c r="K75" s="8" t="inlineStr">
        <is>
          <t>ผนัง/คานคอดิน</t>
        </is>
      </c>
      <c r="L75" s="8">
        <f>F75*G75*J75</f>
        <v/>
      </c>
      <c r="M75" s="8">
        <f>2*MIN(F75,G75)*J75</f>
        <v/>
      </c>
      <c r="N75" s="8">
        <f>INDEX('4-เสา เหล็กเสริม'!$O:$O,MATCH(B75,'4-เสา เหล็กเสริม'!$A:$A,0))</f>
        <v/>
      </c>
      <c r="O75" s="8" t="inlineStr">
        <is>
          <t>สมมติ: กลางช่วงเสา 6 ม. และข้างวงกบ</t>
        </is>
      </c>
    </row>
    <row r="76">
      <c r="A76" s="8" t="inlineStr">
        <is>
          <t>SC-020</t>
        </is>
      </c>
      <c r="B76" s="8" t="inlineStr">
        <is>
          <t>SC</t>
        </is>
      </c>
      <c r="C76" s="8" t="inlineStr">
        <is>
          <t>1/F-1.11</t>
        </is>
      </c>
      <c r="D76" s="9" t="n">
        <v>0</v>
      </c>
      <c r="E76" s="9" t="n">
        <v>28.89</v>
      </c>
      <c r="F76" s="9" t="n">
        <v>0.15</v>
      </c>
      <c r="G76" s="9" t="n">
        <v>0.1</v>
      </c>
      <c r="H76" s="9" t="n">
        <v>0.5</v>
      </c>
      <c r="I76" s="9" t="n">
        <v>4.35</v>
      </c>
      <c r="J76" s="8">
        <f>I76-H76</f>
        <v/>
      </c>
      <c r="K76" s="8" t="inlineStr">
        <is>
          <t>ผนัง/คานคอดิน</t>
        </is>
      </c>
      <c r="L76" s="8">
        <f>F76*G76*J76</f>
        <v/>
      </c>
      <c r="M76" s="8">
        <f>2*MIN(F76,G76)*J76</f>
        <v/>
      </c>
      <c r="N76" s="8">
        <f>INDEX('4-เสา เหล็กเสริม'!$O:$O,MATCH(B76,'4-เสา เหล็กเสริม'!$A:$A,0))</f>
        <v/>
      </c>
      <c r="O76" s="8" t="inlineStr">
        <is>
          <t>สมมติ: กลางช่วงเสา 6 ม. และข้างวงกบ</t>
        </is>
      </c>
    </row>
    <row r="77">
      <c r="A77" s="8" t="inlineStr">
        <is>
          <t>SC-021</t>
        </is>
      </c>
      <c r="B77" s="8" t="inlineStr">
        <is>
          <t>SC</t>
        </is>
      </c>
      <c r="C77" s="8" t="inlineStr">
        <is>
          <t>1/F</t>
        </is>
      </c>
      <c r="D77" s="9" t="n">
        <v>0</v>
      </c>
      <c r="E77" s="9" t="n">
        <v>29.99</v>
      </c>
      <c r="F77" s="9" t="n">
        <v>0.15</v>
      </c>
      <c r="G77" s="9" t="n">
        <v>0.1</v>
      </c>
      <c r="H77" s="9" t="n">
        <v>0.5</v>
      </c>
      <c r="I77" s="9" t="n">
        <v>4.35</v>
      </c>
      <c r="J77" s="8">
        <f>I77-H77</f>
        <v/>
      </c>
      <c r="K77" s="8" t="inlineStr">
        <is>
          <t>F2P-024</t>
        </is>
      </c>
      <c r="L77" s="8">
        <f>F77*G77*J77</f>
        <v/>
      </c>
      <c r="M77" s="8">
        <f>2*MIN(F77,G77)*J77</f>
        <v/>
      </c>
      <c r="N77" s="8">
        <f>INDEX('4-เสา เหล็กเสริม'!$O:$O,MATCH(B77,'4-เสา เหล็กเสริม'!$A:$A,0))</f>
        <v/>
      </c>
      <c r="O77" s="8" t="inlineStr">
        <is>
          <t>สมมติ: กลางช่วงเสา 6 ม. และข้างวงกบ</t>
        </is>
      </c>
    </row>
    <row r="78">
      <c r="A78" s="8" t="inlineStr">
        <is>
          <t>SC-022</t>
        </is>
      </c>
      <c r="B78" s="8" t="inlineStr">
        <is>
          <t>SC</t>
        </is>
      </c>
      <c r="C78" s="8" t="inlineStr">
        <is>
          <t>1/F+3.00</t>
        </is>
      </c>
      <c r="D78" s="9" t="n">
        <v>0</v>
      </c>
      <c r="E78" s="9" t="n">
        <v>33</v>
      </c>
      <c r="F78" s="9" t="n">
        <v>0.15</v>
      </c>
      <c r="G78" s="9" t="n">
        <v>0.1</v>
      </c>
      <c r="H78" s="9" t="n">
        <v>0.5</v>
      </c>
      <c r="I78" s="9" t="n">
        <v>4.35</v>
      </c>
      <c r="J78" s="8">
        <f>I78-H78</f>
        <v/>
      </c>
      <c r="K78" s="8" t="inlineStr">
        <is>
          <t>ผนัง/คานคอดิน</t>
        </is>
      </c>
      <c r="L78" s="8">
        <f>F78*G78*J78</f>
        <v/>
      </c>
      <c r="M78" s="8">
        <f>2*MIN(F78,G78)*J78</f>
        <v/>
      </c>
      <c r="N78" s="8">
        <f>INDEX('4-เสา เหล็กเสริม'!$O:$O,MATCH(B78,'4-เสา เหล็กเสริม'!$A:$A,0))</f>
        <v/>
      </c>
      <c r="O78" s="8" t="inlineStr">
        <is>
          <t>สมมติ: กลางช่วงเสา 6 ม. และข้างวงกบ</t>
        </is>
      </c>
    </row>
    <row r="79">
      <c r="A79" s="8" t="inlineStr">
        <is>
          <t>SC-023</t>
        </is>
      </c>
      <c r="B79" s="8" t="inlineStr">
        <is>
          <t>SC</t>
        </is>
      </c>
      <c r="C79" s="8" t="inlineStr">
        <is>
          <t>11/F+3.00</t>
        </is>
      </c>
      <c r="D79" s="9" t="n">
        <v>60</v>
      </c>
      <c r="E79" s="9" t="n">
        <v>33</v>
      </c>
      <c r="F79" s="9" t="n">
        <v>0.15</v>
      </c>
      <c r="G79" s="9" t="n">
        <v>0.1</v>
      </c>
      <c r="H79" s="9" t="n">
        <v>0.5</v>
      </c>
      <c r="I79" s="9" t="n">
        <v>4.35</v>
      </c>
      <c r="J79" s="8">
        <f>I79-H79</f>
        <v/>
      </c>
      <c r="K79" s="8" t="inlineStr">
        <is>
          <t>ผนัง/คานคอดิน</t>
        </is>
      </c>
      <c r="L79" s="8">
        <f>F79*G79*J79</f>
        <v/>
      </c>
      <c r="M79" s="8">
        <f>2*MIN(F79,G79)*J79</f>
        <v/>
      </c>
      <c r="N79" s="8">
        <f>INDEX('4-เสา เหล็กเสริม'!$O:$O,MATCH(B79,'4-เสา เหล็กเสริม'!$A:$A,0))</f>
        <v/>
      </c>
      <c r="O79" s="8" t="inlineStr">
        <is>
          <t>สมมติ: กลางช่วงเสา 6 ม. และข้างวงกบ</t>
        </is>
      </c>
    </row>
    <row r="80">
      <c r="A80" s="8" t="inlineStr">
        <is>
          <t>SC-024</t>
        </is>
      </c>
      <c r="B80" s="8" t="inlineStr">
        <is>
          <t>SC</t>
        </is>
      </c>
      <c r="C80" s="8" t="inlineStr">
        <is>
          <t>1/G+3.00</t>
        </is>
      </c>
      <c r="D80" s="9" t="n">
        <v>0</v>
      </c>
      <c r="E80" s="9" t="n">
        <v>39</v>
      </c>
      <c r="F80" s="9" t="n">
        <v>0.15</v>
      </c>
      <c r="G80" s="9" t="n">
        <v>0.1</v>
      </c>
      <c r="H80" s="9" t="n">
        <v>0.5</v>
      </c>
      <c r="I80" s="9" t="n">
        <v>4.35</v>
      </c>
      <c r="J80" s="8">
        <f>I80-H80</f>
        <v/>
      </c>
      <c r="K80" s="8" t="inlineStr">
        <is>
          <t>ผนัง/คานคอดิน</t>
        </is>
      </c>
      <c r="L80" s="8">
        <f>F80*G80*J80</f>
        <v/>
      </c>
      <c r="M80" s="8">
        <f>2*MIN(F80,G80)*J80</f>
        <v/>
      </c>
      <c r="N80" s="8">
        <f>INDEX('4-เสา เหล็กเสริม'!$O:$O,MATCH(B80,'4-เสา เหล็กเสริม'!$A:$A,0))</f>
        <v/>
      </c>
      <c r="O80" s="8" t="inlineStr">
        <is>
          <t>สมมติ: กลางช่วงเสา 6 ม. และข้างวงกบ</t>
        </is>
      </c>
    </row>
    <row r="81">
      <c r="A81" s="8" t="inlineStr">
        <is>
          <t>SC-025</t>
        </is>
      </c>
      <c r="B81" s="8" t="inlineStr">
        <is>
          <t>SC</t>
        </is>
      </c>
      <c r="C81" s="8" t="inlineStr">
        <is>
          <t>11/G+3.00</t>
        </is>
      </c>
      <c r="D81" s="9" t="n">
        <v>60</v>
      </c>
      <c r="E81" s="9" t="n">
        <v>39</v>
      </c>
      <c r="F81" s="9" t="n">
        <v>0.15</v>
      </c>
      <c r="G81" s="9" t="n">
        <v>0.1</v>
      </c>
      <c r="H81" s="9" t="n">
        <v>0.5</v>
      </c>
      <c r="I81" s="9" t="n">
        <v>4.35</v>
      </c>
      <c r="J81" s="8">
        <f>I81-H81</f>
        <v/>
      </c>
      <c r="K81" s="8" t="inlineStr">
        <is>
          <t>ผนัง/คานคอดิน</t>
        </is>
      </c>
      <c r="L81" s="8">
        <f>F81*G81*J81</f>
        <v/>
      </c>
      <c r="M81" s="8">
        <f>2*MIN(F81,G81)*J81</f>
        <v/>
      </c>
      <c r="N81" s="8">
        <f>INDEX('4-เสา เหล็กเสริม'!$O:$O,MATCH(B81,'4-เสา เหล็กเสริม'!$A:$A,0))</f>
        <v/>
      </c>
      <c r="O81" s="8" t="inlineStr">
        <is>
          <t>สมมติ: กลางช่วงเสา 6 ม. และข้างวงกบ</t>
        </is>
      </c>
    </row>
    <row r="82">
      <c r="A82" s="8" t="inlineStr">
        <is>
          <t>SC-026</t>
        </is>
      </c>
      <c r="B82" s="8" t="inlineStr">
        <is>
          <t>SC</t>
        </is>
      </c>
      <c r="C82" s="8" t="inlineStr">
        <is>
          <t>1/H+3.00</t>
        </is>
      </c>
      <c r="D82" s="9" t="n">
        <v>0</v>
      </c>
      <c r="E82" s="9" t="n">
        <v>45</v>
      </c>
      <c r="F82" s="9" t="n">
        <v>0.15</v>
      </c>
      <c r="G82" s="9" t="n">
        <v>0.1</v>
      </c>
      <c r="H82" s="9" t="n">
        <v>0.5</v>
      </c>
      <c r="I82" s="9" t="n">
        <v>4.35</v>
      </c>
      <c r="J82" s="8">
        <f>I82-H82</f>
        <v/>
      </c>
      <c r="K82" s="8" t="inlineStr">
        <is>
          <t>ผนัง/คานคอดิน</t>
        </is>
      </c>
      <c r="L82" s="8">
        <f>F82*G82*J82</f>
        <v/>
      </c>
      <c r="M82" s="8">
        <f>2*MIN(F82,G82)*J82</f>
        <v/>
      </c>
      <c r="N82" s="8">
        <f>INDEX('4-เสา เหล็กเสริม'!$O:$O,MATCH(B82,'4-เสา เหล็กเสริม'!$A:$A,0))</f>
        <v/>
      </c>
      <c r="O82" s="8" t="inlineStr">
        <is>
          <t>สมมติ: กลางช่วงเสา 6 ม. และข้างวงกบ</t>
        </is>
      </c>
    </row>
    <row r="83">
      <c r="A83" s="8" t="inlineStr">
        <is>
          <t>SC-027</t>
        </is>
      </c>
      <c r="B83" s="8" t="inlineStr">
        <is>
          <t>SC</t>
        </is>
      </c>
      <c r="C83" s="8" t="inlineStr">
        <is>
          <t>11/H+3.00</t>
        </is>
      </c>
      <c r="D83" s="9" t="n">
        <v>60</v>
      </c>
      <c r="E83" s="9" t="n">
        <v>45</v>
      </c>
      <c r="F83" s="9" t="n">
        <v>0.15</v>
      </c>
      <c r="G83" s="9" t="n">
        <v>0.1</v>
      </c>
      <c r="H83" s="9" t="n">
        <v>0.5</v>
      </c>
      <c r="I83" s="9" t="n">
        <v>4.35</v>
      </c>
      <c r="J83" s="8">
        <f>I83-H83</f>
        <v/>
      </c>
      <c r="K83" s="8" t="inlineStr">
        <is>
          <t>ผนัง/คานคอดิน</t>
        </is>
      </c>
      <c r="L83" s="8">
        <f>F83*G83*J83</f>
        <v/>
      </c>
      <c r="M83" s="8">
        <f>2*MIN(F83,G83)*J83</f>
        <v/>
      </c>
      <c r="N83" s="8">
        <f>INDEX('4-เสา เหล็กเสริม'!$O:$O,MATCH(B83,'4-เสา เหล็กเสริม'!$A:$A,0))</f>
        <v/>
      </c>
      <c r="O83" s="8" t="inlineStr">
        <is>
          <t>สมมติ: กลางช่วงเสา 6 ม. และข้างวงกบ</t>
        </is>
      </c>
    </row>
    <row r="84">
      <c r="A84" s="8" t="inlineStr">
        <is>
          <t>SC-028</t>
        </is>
      </c>
      <c r="B84" s="8" t="inlineStr">
        <is>
          <t>SC</t>
        </is>
      </c>
      <c r="C84" s="8" t="inlineStr">
        <is>
          <t>1/I+3.00</t>
        </is>
      </c>
      <c r="D84" s="9" t="n">
        <v>0</v>
      </c>
      <c r="E84" s="9" t="n">
        <v>51</v>
      </c>
      <c r="F84" s="9" t="n">
        <v>0.15</v>
      </c>
      <c r="G84" s="9" t="n">
        <v>0.1</v>
      </c>
      <c r="H84" s="9" t="n">
        <v>0.5</v>
      </c>
      <c r="I84" s="9" t="n">
        <v>4.35</v>
      </c>
      <c r="J84" s="8">
        <f>I84-H84</f>
        <v/>
      </c>
      <c r="K84" s="8" t="inlineStr">
        <is>
          <t>ผนัง/คานคอดิน</t>
        </is>
      </c>
      <c r="L84" s="8">
        <f>F84*G84*J84</f>
        <v/>
      </c>
      <c r="M84" s="8">
        <f>2*MIN(F84,G84)*J84</f>
        <v/>
      </c>
      <c r="N84" s="8">
        <f>INDEX('4-เสา เหล็กเสริม'!$O:$O,MATCH(B84,'4-เสา เหล็กเสริม'!$A:$A,0))</f>
        <v/>
      </c>
      <c r="O84" s="8" t="inlineStr">
        <is>
          <t>สมมติ: กลางช่วงเสา 6 ม. และข้างวงกบ</t>
        </is>
      </c>
    </row>
    <row r="85">
      <c r="A85" s="8" t="inlineStr">
        <is>
          <t>SC-029</t>
        </is>
      </c>
      <c r="B85" s="8" t="inlineStr">
        <is>
          <t>SC</t>
        </is>
      </c>
      <c r="C85" s="8" t="inlineStr">
        <is>
          <t>11/I+3.00</t>
        </is>
      </c>
      <c r="D85" s="9" t="n">
        <v>60</v>
      </c>
      <c r="E85" s="9" t="n">
        <v>51</v>
      </c>
      <c r="F85" s="9" t="n">
        <v>0.15</v>
      </c>
      <c r="G85" s="9" t="n">
        <v>0.1</v>
      </c>
      <c r="H85" s="9" t="n">
        <v>0.5</v>
      </c>
      <c r="I85" s="9" t="n">
        <v>4.35</v>
      </c>
      <c r="J85" s="8">
        <f>I85-H85</f>
        <v/>
      </c>
      <c r="K85" s="8" t="inlineStr">
        <is>
          <t>ผนัง/คานคอดิน</t>
        </is>
      </c>
      <c r="L85" s="8">
        <f>F85*G85*J85</f>
        <v/>
      </c>
      <c r="M85" s="8">
        <f>2*MIN(F85,G85)*J85</f>
        <v/>
      </c>
      <c r="N85" s="8">
        <f>INDEX('4-เสา เหล็กเสริม'!$O:$O,MATCH(B85,'4-เสา เหล็กเสริม'!$A:$A,0))</f>
        <v/>
      </c>
      <c r="O85" s="8" t="inlineStr">
        <is>
          <t>สมมติ: กลางช่วงเสา 6 ม. และข้างวงกบ</t>
        </is>
      </c>
    </row>
    <row r="86">
      <c r="A86" s="8" t="inlineStr">
        <is>
          <t>SC-030</t>
        </is>
      </c>
      <c r="B86" s="8" t="inlineStr">
        <is>
          <t>SC</t>
        </is>
      </c>
      <c r="C86" s="8" t="inlineStr">
        <is>
          <t>1+3.00/J</t>
        </is>
      </c>
      <c r="D86" s="9" t="n">
        <v>3</v>
      </c>
      <c r="E86" s="9" t="n">
        <v>54</v>
      </c>
      <c r="F86" s="9" t="n">
        <v>0.1</v>
      </c>
      <c r="G86" s="9" t="n">
        <v>0.15</v>
      </c>
      <c r="H86" s="9" t="n">
        <v>0.5</v>
      </c>
      <c r="I86" s="9" t="n">
        <v>4.35</v>
      </c>
      <c r="J86" s="8">
        <f>I86-H86</f>
        <v/>
      </c>
      <c r="K86" s="8" t="inlineStr">
        <is>
          <t>ผนัง/คานคอดิน</t>
        </is>
      </c>
      <c r="L86" s="8">
        <f>F86*G86*J86</f>
        <v/>
      </c>
      <c r="M86" s="8">
        <f>2*MIN(F86,G86)*J86</f>
        <v/>
      </c>
      <c r="N86" s="8">
        <f>INDEX('4-เสา เหล็กเสริม'!$O:$O,MATCH(B86,'4-เสา เหล็กเสริม'!$A:$A,0))</f>
        <v/>
      </c>
      <c r="O86" s="8" t="inlineStr">
        <is>
          <t>สมมติ: กลางช่วงเสา 6 ม. และข้างวงกบ</t>
        </is>
      </c>
    </row>
    <row r="87">
      <c r="A87" s="8" t="inlineStr">
        <is>
          <t>SC-031</t>
        </is>
      </c>
      <c r="B87" s="8" t="inlineStr">
        <is>
          <t>SC</t>
        </is>
      </c>
      <c r="C87" s="8" t="inlineStr">
        <is>
          <t>2+3.00/J</t>
        </is>
      </c>
      <c r="D87" s="9" t="n">
        <v>9</v>
      </c>
      <c r="E87" s="9" t="n">
        <v>54</v>
      </c>
      <c r="F87" s="9" t="n">
        <v>0.1</v>
      </c>
      <c r="G87" s="9" t="n">
        <v>0.15</v>
      </c>
      <c r="H87" s="9" t="n">
        <v>0.5</v>
      </c>
      <c r="I87" s="9" t="n">
        <v>4.35</v>
      </c>
      <c r="J87" s="8">
        <f>I87-H87</f>
        <v/>
      </c>
      <c r="K87" s="8" t="inlineStr">
        <is>
          <t>ผนัง/คานคอดิน</t>
        </is>
      </c>
      <c r="L87" s="8">
        <f>F87*G87*J87</f>
        <v/>
      </c>
      <c r="M87" s="8">
        <f>2*MIN(F87,G87)*J87</f>
        <v/>
      </c>
      <c r="N87" s="8">
        <f>INDEX('4-เสา เหล็กเสริม'!$O:$O,MATCH(B87,'4-เสา เหล็กเสริม'!$A:$A,0))</f>
        <v/>
      </c>
      <c r="O87" s="8" t="inlineStr">
        <is>
          <t>สมมติ: กลางช่วงเสา 6 ม. และข้างวงกบ</t>
        </is>
      </c>
    </row>
    <row r="88">
      <c r="A88" s="8" t="inlineStr">
        <is>
          <t>SC-032</t>
        </is>
      </c>
      <c r="B88" s="8" t="inlineStr">
        <is>
          <t>SC</t>
        </is>
      </c>
      <c r="C88" s="8" t="inlineStr">
        <is>
          <t>3+3.00/J</t>
        </is>
      </c>
      <c r="D88" s="9" t="n">
        <v>15</v>
      </c>
      <c r="E88" s="9" t="n">
        <v>54</v>
      </c>
      <c r="F88" s="9" t="n">
        <v>0.1</v>
      </c>
      <c r="G88" s="9" t="n">
        <v>0.15</v>
      </c>
      <c r="H88" s="9" t="n">
        <v>0.5</v>
      </c>
      <c r="I88" s="9" t="n">
        <v>4.35</v>
      </c>
      <c r="J88" s="8">
        <f>I88-H88</f>
        <v/>
      </c>
      <c r="K88" s="8" t="inlineStr">
        <is>
          <t>ผนัง/คานคอดิน</t>
        </is>
      </c>
      <c r="L88" s="8">
        <f>F88*G88*J88</f>
        <v/>
      </c>
      <c r="M88" s="8">
        <f>2*MIN(F88,G88)*J88</f>
        <v/>
      </c>
      <c r="N88" s="8">
        <f>INDEX('4-เสา เหล็กเสริม'!$O:$O,MATCH(B88,'4-เสา เหล็กเสริม'!$A:$A,0))</f>
        <v/>
      </c>
      <c r="O88" s="8" t="inlineStr">
        <is>
          <t>สมมติ: กลางช่วงเสา 6 ม. และข้างวงกบ</t>
        </is>
      </c>
    </row>
    <row r="89">
      <c r="A89" s="8" t="inlineStr">
        <is>
          <t>SC-033</t>
        </is>
      </c>
      <c r="B89" s="8" t="inlineStr">
        <is>
          <t>SC</t>
        </is>
      </c>
      <c r="C89" s="8" t="inlineStr">
        <is>
          <t>4+3.00/J</t>
        </is>
      </c>
      <c r="D89" s="9" t="n">
        <v>21</v>
      </c>
      <c r="E89" s="9" t="n">
        <v>54</v>
      </c>
      <c r="F89" s="9" t="n">
        <v>0.1</v>
      </c>
      <c r="G89" s="9" t="n">
        <v>0.15</v>
      </c>
      <c r="H89" s="9" t="n">
        <v>0.5</v>
      </c>
      <c r="I89" s="9" t="n">
        <v>4.35</v>
      </c>
      <c r="J89" s="8">
        <f>I89-H89</f>
        <v/>
      </c>
      <c r="K89" s="8" t="inlineStr">
        <is>
          <t>ผนัง/คานคอดิน</t>
        </is>
      </c>
      <c r="L89" s="8">
        <f>F89*G89*J89</f>
        <v/>
      </c>
      <c r="M89" s="8">
        <f>2*MIN(F89,G89)*J89</f>
        <v/>
      </c>
      <c r="N89" s="8">
        <f>INDEX('4-เสา เหล็กเสริม'!$O:$O,MATCH(B89,'4-เสา เหล็กเสริม'!$A:$A,0))</f>
        <v/>
      </c>
      <c r="O89" s="8" t="inlineStr">
        <is>
          <t>สมมติ: กลางช่วงเสา 6 ม. และข้างวงกบ</t>
        </is>
      </c>
    </row>
    <row r="90">
      <c r="A90" s="8" t="inlineStr">
        <is>
          <t>SC-034</t>
        </is>
      </c>
      <c r="B90" s="8" t="inlineStr">
        <is>
          <t>SC</t>
        </is>
      </c>
      <c r="C90" s="8" t="inlineStr">
        <is>
          <t>5+3.00/J</t>
        </is>
      </c>
      <c r="D90" s="9" t="n">
        <v>27</v>
      </c>
      <c r="E90" s="9" t="n">
        <v>54</v>
      </c>
      <c r="F90" s="9" t="n">
        <v>0.1</v>
      </c>
      <c r="G90" s="9" t="n">
        <v>0.15</v>
      </c>
      <c r="H90" s="9" t="n">
        <v>0.5</v>
      </c>
      <c r="I90" s="9" t="n">
        <v>4.35</v>
      </c>
      <c r="J90" s="8">
        <f>I90-H90</f>
        <v/>
      </c>
      <c r="K90" s="8" t="inlineStr">
        <is>
          <t>ผนัง/คานคอดิน</t>
        </is>
      </c>
      <c r="L90" s="8">
        <f>F90*G90*J90</f>
        <v/>
      </c>
      <c r="M90" s="8">
        <f>2*MIN(F90,G90)*J90</f>
        <v/>
      </c>
      <c r="N90" s="8">
        <f>INDEX('4-เสา เหล็กเสริม'!$O:$O,MATCH(B90,'4-เสา เหล็กเสริม'!$A:$A,0))</f>
        <v/>
      </c>
      <c r="O90" s="8" t="inlineStr">
        <is>
          <t>สมมติ: กลางช่วงเสา 6 ม. และข้างวงกบ</t>
        </is>
      </c>
    </row>
    <row r="91">
      <c r="A91" s="8" t="inlineStr">
        <is>
          <t>SC-035</t>
        </is>
      </c>
      <c r="B91" s="8" t="inlineStr">
        <is>
          <t>SC</t>
        </is>
      </c>
      <c r="C91" s="8" t="inlineStr">
        <is>
          <t>6+3.00/J</t>
        </is>
      </c>
      <c r="D91" s="9" t="n">
        <v>33</v>
      </c>
      <c r="E91" s="9" t="n">
        <v>54</v>
      </c>
      <c r="F91" s="9" t="n">
        <v>0.1</v>
      </c>
      <c r="G91" s="9" t="n">
        <v>0.15</v>
      </c>
      <c r="H91" s="9" t="n">
        <v>0.5</v>
      </c>
      <c r="I91" s="9" t="n">
        <v>4.35</v>
      </c>
      <c r="J91" s="8">
        <f>I91-H91</f>
        <v/>
      </c>
      <c r="K91" s="8" t="inlineStr">
        <is>
          <t>ผนัง/คานคอดิน</t>
        </is>
      </c>
      <c r="L91" s="8">
        <f>F91*G91*J91</f>
        <v/>
      </c>
      <c r="M91" s="8">
        <f>2*MIN(F91,G91)*J91</f>
        <v/>
      </c>
      <c r="N91" s="8">
        <f>INDEX('4-เสา เหล็กเสริม'!$O:$O,MATCH(B91,'4-เสา เหล็กเสริม'!$A:$A,0))</f>
        <v/>
      </c>
      <c r="O91" s="8" t="inlineStr">
        <is>
          <t>สมมติ: กลางช่วงเสา 6 ม. และข้างวงกบ</t>
        </is>
      </c>
    </row>
    <row r="92">
      <c r="A92" s="8" t="inlineStr">
        <is>
          <t>SC-036</t>
        </is>
      </c>
      <c r="B92" s="8" t="inlineStr">
        <is>
          <t>SC</t>
        </is>
      </c>
      <c r="C92" s="8" t="inlineStr">
        <is>
          <t>8+3.00/J</t>
        </is>
      </c>
      <c r="D92" s="9" t="n">
        <v>45</v>
      </c>
      <c r="E92" s="9" t="n">
        <v>54</v>
      </c>
      <c r="F92" s="9" t="n">
        <v>0.1</v>
      </c>
      <c r="G92" s="9" t="n">
        <v>0.15</v>
      </c>
      <c r="H92" s="9" t="n">
        <v>0.5</v>
      </c>
      <c r="I92" s="9" t="n">
        <v>4.35</v>
      </c>
      <c r="J92" s="8">
        <f>I92-H92</f>
        <v/>
      </c>
      <c r="K92" s="8" t="inlineStr">
        <is>
          <t>ผนัง/คานคอดิน</t>
        </is>
      </c>
      <c r="L92" s="8">
        <f>F92*G92*J92</f>
        <v/>
      </c>
      <c r="M92" s="8">
        <f>2*MIN(F92,G92)*J92</f>
        <v/>
      </c>
      <c r="N92" s="8">
        <f>INDEX('4-เสา เหล็กเสริม'!$O:$O,MATCH(B92,'4-เสา เหล็กเสริม'!$A:$A,0))</f>
        <v/>
      </c>
      <c r="O92" s="8" t="inlineStr">
        <is>
          <t>สมมติ: กลางช่วงเสา 6 ม. และข้างวงกบ</t>
        </is>
      </c>
    </row>
    <row r="93">
      <c r="A93" s="8" t="inlineStr">
        <is>
          <t>SC-037</t>
        </is>
      </c>
      <c r="B93" s="8" t="inlineStr">
        <is>
          <t>SC</t>
        </is>
      </c>
      <c r="C93" s="8" t="inlineStr">
        <is>
          <t>9+3.00/J</t>
        </is>
      </c>
      <c r="D93" s="9" t="n">
        <v>51</v>
      </c>
      <c r="E93" s="9" t="n">
        <v>54</v>
      </c>
      <c r="F93" s="9" t="n">
        <v>0.1</v>
      </c>
      <c r="G93" s="9" t="n">
        <v>0.15</v>
      </c>
      <c r="H93" s="9" t="n">
        <v>0.5</v>
      </c>
      <c r="I93" s="9" t="n">
        <v>4.35</v>
      </c>
      <c r="J93" s="8">
        <f>I93-H93</f>
        <v/>
      </c>
      <c r="K93" s="8" t="inlineStr">
        <is>
          <t>ผนัง/คานคอดิน</t>
        </is>
      </c>
      <c r="L93" s="8">
        <f>F93*G93*J93</f>
        <v/>
      </c>
      <c r="M93" s="8">
        <f>2*MIN(F93,G93)*J93</f>
        <v/>
      </c>
      <c r="N93" s="8">
        <f>INDEX('4-เสา เหล็กเสริม'!$O:$O,MATCH(B93,'4-เสา เหล็กเสริม'!$A:$A,0))</f>
        <v/>
      </c>
      <c r="O93" s="8" t="inlineStr">
        <is>
          <t>สมมติ: กลางช่วงเสา 6 ม. และข้างวงกบ</t>
        </is>
      </c>
    </row>
    <row r="94">
      <c r="A94" s="8" t="inlineStr">
        <is>
          <t>SC-038</t>
        </is>
      </c>
      <c r="B94" s="8" t="inlineStr">
        <is>
          <t>SC</t>
        </is>
      </c>
      <c r="C94" s="8" t="inlineStr">
        <is>
          <t>10+3.00/J</t>
        </is>
      </c>
      <c r="D94" s="9" t="n">
        <v>57</v>
      </c>
      <c r="E94" s="9" t="n">
        <v>54</v>
      </c>
      <c r="F94" s="9" t="n">
        <v>0.1</v>
      </c>
      <c r="G94" s="9" t="n">
        <v>0.15</v>
      </c>
      <c r="H94" s="9" t="n">
        <v>0.5</v>
      </c>
      <c r="I94" s="9" t="n">
        <v>4.35</v>
      </c>
      <c r="J94" s="8">
        <f>I94-H94</f>
        <v/>
      </c>
      <c r="K94" s="8" t="inlineStr">
        <is>
          <t>ผนัง/คานคอดิน</t>
        </is>
      </c>
      <c r="L94" s="8">
        <f>F94*G94*J94</f>
        <v/>
      </c>
      <c r="M94" s="8">
        <f>2*MIN(F94,G94)*J94</f>
        <v/>
      </c>
      <c r="N94" s="8">
        <f>INDEX('4-เสา เหล็กเสริม'!$O:$O,MATCH(B94,'4-เสา เหล็กเสริม'!$A:$A,0))</f>
        <v/>
      </c>
      <c r="O94" s="8" t="inlineStr">
        <is>
          <t>สมมติ: กลางช่วงเสา 6 ม. และข้างวงกบ</t>
        </is>
      </c>
    </row>
    <row r="95">
      <c r="A95" s="8" t="inlineStr">
        <is>
          <t>รวม</t>
        </is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>
        <f>SUM(L4:L94)</f>
        <v/>
      </c>
      <c r="M95" s="8">
        <f>SUM(M4:M94)</f>
        <v/>
      </c>
      <c r="N95" s="8">
        <f>SUM(N4:N94)</f>
        <v/>
      </c>
      <c r="O95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0" customWidth="1" min="2" max="2"/>
    <col width="8" customWidth="1" min="3" max="3"/>
    <col width="8" customWidth="1" min="4" max="4"/>
    <col width="7" customWidth="1" min="5" max="5"/>
    <col width="9" customWidth="1" min="6" max="6"/>
    <col width="7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9" customWidth="1" min="13" max="13"/>
    <col width="8" customWidth="1" min="14" max="14"/>
    <col width="11" customWidth="1" min="15" max="15"/>
    <col width="12" customWidth="1" min="16" max="16"/>
    <col width="22" customWidth="1" min="17" max="17"/>
  </cols>
  <sheetData>
    <row r="1">
      <c r="A1" s="1" t="inlineStr">
        <is>
          <t>เหล็กเสริมเสา แยกตามชนิด (กรอกช่องสีเหลือง)</t>
        </is>
      </c>
    </row>
    <row r="2">
      <c r="A2" t="inlineStr">
        <is>
          <t>งานก่อสร้างอาคารโกดังและงานบริเวณ บริษัท ตงเฉิน อีเล็คทริค เคเบิ้ล แอนด์ไวร์ จำกัด | WEC-TC-6901</t>
        </is>
      </c>
    </row>
    <row r="3" ht="42" customHeight="1">
      <c r="A3" s="7" t="inlineStr">
        <is>
          <t>ชนิด</t>
        </is>
      </c>
      <c r="B3" s="7" t="inlineStr">
        <is>
          <t>รายละเอียด</t>
        </is>
      </c>
      <c r="C3" s="7" t="inlineStr">
        <is>
          <t>หน้าตัด b (ม.)</t>
        </is>
      </c>
      <c r="D3" s="7" t="inlineStr">
        <is>
          <t>หน้าตัด h (ม.)</t>
        </is>
      </c>
      <c r="E3" s="7" t="inlineStr">
        <is>
          <t>ระยะหุ้ม (ม.)</t>
        </is>
      </c>
      <c r="F3" s="7" t="inlineStr">
        <is>
          <t>เหล็กยืน: จำนวน</t>
        </is>
      </c>
      <c r="G3" s="7" t="inlineStr">
        <is>
          <t>Ø (มม.)</t>
        </is>
      </c>
      <c r="H3" s="7" t="inlineStr">
        <is>
          <t>ระยะทาบ/ฝัง (เท่าของ Ø)</t>
        </is>
      </c>
      <c r="I3" s="7" t="inlineStr">
        <is>
          <t>งอฝังในฐาน (ม.)</t>
        </is>
      </c>
      <c r="J3" s="7" t="inlineStr">
        <is>
          <t>ปลอก Ø (มม.)</t>
        </is>
      </c>
      <c r="K3" s="7" t="inlineStr">
        <is>
          <t>ระยะปลอก ช่วงปลาย (ม.)</t>
        </is>
      </c>
      <c r="L3" s="7" t="inlineStr">
        <is>
          <t>ระยะปลอก ช่วงกลาง (ม.)</t>
        </is>
      </c>
      <c r="M3" s="7" t="inlineStr">
        <is>
          <t>ความสูงเฉลี่ย (ม.)</t>
        </is>
      </c>
      <c r="N3" s="7" t="inlineStr">
        <is>
          <t>จำนวนต้น</t>
        </is>
      </c>
      <c r="O3" s="7" t="inlineStr">
        <is>
          <t>เหล็กเสริม/ต้น (กก.)</t>
        </is>
      </c>
      <c r="P3" s="7" t="inlineStr">
        <is>
          <t>เหล็กเสริมรวม (กก.)</t>
        </is>
      </c>
      <c r="Q3" s="7" t="inlineStr">
        <is>
          <t>สถานะ</t>
        </is>
      </c>
    </row>
    <row r="4">
      <c r="A4" s="8" t="inlineStr">
        <is>
          <t>C1</t>
        </is>
      </c>
      <c r="B4" s="8" t="inlineStr">
        <is>
          <t>เสา C1 0.30x0.50 จากหลังฐาน F2P ถึง +4.50</t>
        </is>
      </c>
      <c r="C4" s="9" t="n">
        <v>0.3</v>
      </c>
      <c r="D4" s="9" t="n">
        <v>0.5</v>
      </c>
      <c r="E4" s="9" t="n">
        <v>0.04</v>
      </c>
      <c r="F4" s="12" t="n"/>
      <c r="G4" s="12" t="n"/>
      <c r="H4" s="12" t="n">
        <v>40</v>
      </c>
      <c r="I4" s="13" t="n">
        <v>0.3</v>
      </c>
      <c r="J4" s="12" t="n"/>
      <c r="K4" s="12" t="n"/>
      <c r="L4" s="12" t="n"/>
      <c r="M4" s="8">
        <f>AVERAGEIF('3-เสา รายต้น'!$B:$B,A4,'3-เสา รายต้น'!$J:$J)</f>
        <v/>
      </c>
      <c r="N4" s="8">
        <f>COUNTIF('3-เสา รายต้น'!$B:$B,A4)</f>
        <v/>
      </c>
      <c r="O4" s="8">
        <f>F4*(M4+H4*G4/1000+I4)*G4^2/162 + IF(J4=0,0,(2*ROUNDUP(M4/4/K4,0)+ROUNDUP(M4/2/L4,0)+1)*(2*(C4+D4)-8*E4+24*J4/1000)*J4^2/162)</f>
        <v/>
      </c>
      <c r="P4" s="8">
        <f>N4*O4</f>
        <v/>
      </c>
      <c r="Q4" s="10" t="inlineStr">
        <is>
          <t>รอเอกสารออกแบบเหล็กเสริม</t>
        </is>
      </c>
    </row>
    <row r="5">
      <c r="A5" s="8" t="inlineStr">
        <is>
          <t>C2</t>
        </is>
      </c>
      <c r="B5" s="8" t="inlineStr">
        <is>
          <t>เสา C2 0.50x0.50 (6/J)</t>
        </is>
      </c>
      <c r="C5" s="9" t="n">
        <v>0.5</v>
      </c>
      <c r="D5" s="9" t="n">
        <v>0.5</v>
      </c>
      <c r="E5" s="9" t="n">
        <v>0.04</v>
      </c>
      <c r="F5" s="12" t="n"/>
      <c r="G5" s="12" t="n"/>
      <c r="H5" s="12" t="n">
        <v>40</v>
      </c>
      <c r="I5" s="13" t="n">
        <v>0.3</v>
      </c>
      <c r="J5" s="12" t="n"/>
      <c r="K5" s="12" t="n"/>
      <c r="L5" s="12" t="n"/>
      <c r="M5" s="8">
        <f>AVERAGEIF('3-เสา รายต้น'!$B:$B,A5,'3-เสา รายต้น'!$J:$J)</f>
        <v/>
      </c>
      <c r="N5" s="8">
        <f>COUNTIF('3-เสา รายต้น'!$B:$B,A5)</f>
        <v/>
      </c>
      <c r="O5" s="8">
        <f>F5*(M5+H5*G5/1000+I5)*G5^2/162 + IF(J5=0,0,(2*ROUNDUP(M5/4/K5,0)+ROUNDUP(M5/2/L5,0)+1)*(2*(C5+D5)-8*E5+24*J5/1000)*J5^2/162)</f>
        <v/>
      </c>
      <c r="P5" s="8">
        <f>N5*O5</f>
        <v/>
      </c>
      <c r="Q5" s="10" t="inlineStr">
        <is>
          <t>รอเอกสารออกแบบเหล็กเสริม</t>
        </is>
      </c>
    </row>
    <row r="6">
      <c r="A6" s="8" t="inlineStr">
        <is>
          <t>C3</t>
        </is>
      </c>
      <c r="B6" s="8" t="inlineStr">
        <is>
          <t>เสา C3 0.20x0.20 อาคารประกอบ</t>
        </is>
      </c>
      <c r="C6" s="9" t="n">
        <v>0.2</v>
      </c>
      <c r="D6" s="9" t="n">
        <v>0.2</v>
      </c>
      <c r="E6" s="9" t="n">
        <v>0.04</v>
      </c>
      <c r="F6" s="12" t="n"/>
      <c r="G6" s="12" t="n"/>
      <c r="H6" s="12" t="n">
        <v>40</v>
      </c>
      <c r="I6" s="13" t="n">
        <v>0.3</v>
      </c>
      <c r="J6" s="12" t="n"/>
      <c r="K6" s="12" t="n"/>
      <c r="L6" s="12" t="n"/>
      <c r="M6" s="8">
        <f>AVERAGEIF('3-เสา รายต้น'!$B:$B,A6,'3-เสา รายต้น'!$J:$J)</f>
        <v/>
      </c>
      <c r="N6" s="8">
        <f>COUNTIF('3-เสา รายต้น'!$B:$B,A6)</f>
        <v/>
      </c>
      <c r="O6" s="8">
        <f>F6*(M6+H6*G6/1000+I6)*G6^2/162 + IF(J6=0,0,(2*ROUNDUP(M6/4/K6,0)+ROUNDUP(M6/2/L6,0)+1)*(2*(C6+D6)-8*E6+24*J6/1000)*J6^2/162)</f>
        <v/>
      </c>
      <c r="P6" s="8">
        <f>N6*O6</f>
        <v/>
      </c>
      <c r="Q6" s="10" t="inlineStr">
        <is>
          <t>รอเอกสารออกแบบเหล็กเสริม</t>
        </is>
      </c>
    </row>
    <row r="7">
      <c r="A7" s="8" t="inlineStr">
        <is>
          <t>SC</t>
        </is>
      </c>
      <c r="B7" s="8" t="inlineStr">
        <is>
          <t>เสาเอ็น 0.15x0.10 ในผนังก่อ +0.50 ถึง +4.35</t>
        </is>
      </c>
      <c r="C7" s="9" t="n">
        <v>0.1</v>
      </c>
      <c r="D7" s="9" t="n">
        <v>0.15</v>
      </c>
      <c r="E7" s="9" t="n">
        <v>0.02</v>
      </c>
      <c r="F7" s="12" t="n"/>
      <c r="G7" s="12" t="n"/>
      <c r="H7" s="12" t="n">
        <v>40</v>
      </c>
      <c r="I7" s="13" t="n">
        <v>0</v>
      </c>
      <c r="J7" s="12" t="n"/>
      <c r="K7" s="12" t="n"/>
      <c r="L7" s="12" t="n"/>
      <c r="M7" s="8">
        <f>AVERAGEIF('3-เสา รายต้น'!$B:$B,A7,'3-เสา รายต้น'!$J:$J)</f>
        <v/>
      </c>
      <c r="N7" s="8">
        <f>COUNTIF('3-เสา รายต้น'!$B:$B,A7)</f>
        <v/>
      </c>
      <c r="O7" s="8">
        <f>F7*(M7+H7*G7/1000+I7)*G7^2/162 + IF(J7=0,0,(2*ROUNDUP(M7/4/K7,0)+ROUNDUP(M7/2/L7,0)+1)*(2*(C7+D7)-8*E7+24*J7/1000)*J7^2/162)</f>
        <v/>
      </c>
      <c r="P7" s="8">
        <f>N7*O7</f>
        <v/>
      </c>
      <c r="Q7" s="10" t="inlineStr">
        <is>
          <t>รอเอกสารออกแบบเหล็กเสริม</t>
        </is>
      </c>
    </row>
    <row r="8">
      <c r="A8" s="8" t="inlineStr">
        <is>
          <t>รวม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>
        <f>SUM(P4:P7)</f>
        <v/>
      </c>
      <c r="Q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</row>
    <row r="10">
      <c r="A10" s="8" t="inlineStr">
        <is>
          <t>หมายเหตุ: ถ้าไม่กรอกระยะปลอก ระบบไม่คิดปลอก (ป้องกันหารด้วยศูนย์) ช่วงปลาย = 1/4 ของความสูงแต่ละด้าน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11" customWidth="1" min="4" max="4"/>
    <col width="11" customWidth="1" min="5" max="5"/>
    <col width="9" customWidth="1" min="6" max="6"/>
    <col width="9" customWidth="1" min="7" max="7"/>
    <col width="7" customWidth="1" min="8" max="8"/>
    <col width="7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8" customWidth="1" min="18" max="18"/>
    <col width="10" customWidth="1" min="19" max="19"/>
    <col width="26" customWidth="1" min="20" max="20"/>
  </cols>
  <sheetData>
    <row r="1">
      <c r="A1" s="1" t="inlineStr">
        <is>
          <t>ตารางคาน คสล. รายช่วง: หน้าตัด ความยาว ระดับ ปริมาณ และเหล็กเสริม (สูตรอ้างชีต 6)</t>
        </is>
      </c>
    </row>
    <row r="2">
      <c r="A2" t="inlineStr">
        <is>
          <t>งานก่อสร้างอาคารโกดังและงานบริเวณ บริษัท ตงเฉิน อีเล็คทริค เคเบิ้ล แอนด์ไวร์ จำกัด | WEC-TC-6901</t>
        </is>
      </c>
    </row>
    <row r="3" ht="42" customHeight="1">
      <c r="A3" s="7" t="inlineStr">
        <is>
          <t>รหัส</t>
        </is>
      </c>
      <c r="B3" s="7" t="inlineStr">
        <is>
          <t>ชนิด</t>
        </is>
      </c>
      <c r="C3" s="7" t="inlineStr">
        <is>
          <t>แนว</t>
        </is>
      </c>
      <c r="D3" s="7" t="inlineStr">
        <is>
          <t>จาก (กริด)</t>
        </is>
      </c>
      <c r="E3" s="7" t="inlineStr">
        <is>
          <t>ถึง (กริด)</t>
        </is>
      </c>
      <c r="F3" s="7" t="inlineStr">
        <is>
          <t>ยาว ศก.-ศก. (ม.)</t>
        </is>
      </c>
      <c r="G3" s="7" t="inlineStr">
        <is>
          <t>ยาวสุทธิ ผิว-ผิว (ม.)</t>
        </is>
      </c>
      <c r="H3" s="7" t="inlineStr">
        <is>
          <t>กว้าง b (ม.)</t>
        </is>
      </c>
      <c r="I3" s="7" t="inlineStr">
        <is>
          <t>ลึก h (ม.)</t>
        </is>
      </c>
      <c r="J3" s="7" t="inlineStr">
        <is>
          <t>ระดับหลังคาน</t>
        </is>
      </c>
      <c r="K3" s="7" t="inlineStr">
        <is>
          <t>ระดับท้องคาน</t>
        </is>
      </c>
      <c r="L3" s="7" t="inlineStr">
        <is>
          <t>คอนกรีต (ลบ.ม.)</t>
        </is>
      </c>
      <c r="M3" s="7" t="inlineStr">
        <is>
          <t>ไม้แบบ (ตร.ม.)</t>
        </is>
      </c>
      <c r="N3" s="7" t="inlineStr">
        <is>
          <t>เหล็กบน (กก.)</t>
        </is>
      </c>
      <c r="O3" s="7" t="inlineStr">
        <is>
          <t>เหล็กล่าง (กก.)</t>
        </is>
      </c>
      <c r="P3" s="7" t="inlineStr">
        <is>
          <t>เหล็กเสริมพิเศษ (กก.)</t>
        </is>
      </c>
      <c r="Q3" s="7" t="inlineStr">
        <is>
          <t>ปลอก (กก.)</t>
        </is>
      </c>
      <c r="R3" s="7" t="inlineStr">
        <is>
          <t>ปลอก (ตัว)</t>
        </is>
      </c>
      <c r="S3" s="7" t="inlineStr">
        <is>
          <t>เหล็กรวม (กก.)</t>
        </is>
      </c>
      <c r="T3" s="7" t="inlineStr">
        <is>
          <t>สถานะ</t>
        </is>
      </c>
    </row>
    <row r="4">
      <c r="A4" s="8" t="inlineStr">
        <is>
          <t>B1-001</t>
        </is>
      </c>
      <c r="B4" s="8" t="inlineStr">
        <is>
          <t>B1</t>
        </is>
      </c>
      <c r="C4" s="8" t="inlineStr">
        <is>
          <t>แนว A</t>
        </is>
      </c>
      <c r="D4" s="8" t="inlineStr">
        <is>
          <t>1/A</t>
        </is>
      </c>
      <c r="E4" s="8" t="inlineStr">
        <is>
          <t>2/A</t>
        </is>
      </c>
      <c r="F4" s="9" t="n">
        <v>6</v>
      </c>
      <c r="G4" s="9" t="n">
        <v>5.7</v>
      </c>
      <c r="H4" s="9" t="n">
        <v>0.2</v>
      </c>
      <c r="I4" s="9" t="n">
        <v>0.6</v>
      </c>
      <c r="J4" s="9" t="n">
        <v>0.5</v>
      </c>
      <c r="K4" s="9" t="n">
        <v>-0.1</v>
      </c>
      <c r="L4" s="8">
        <f>H4*I4*G4</f>
        <v/>
      </c>
      <c r="M4" s="8">
        <f>(2*I4+H4)*G4</f>
        <v/>
      </c>
      <c r="N4" s="8">
        <f>INDEX('6-คาน เหล็กเสริม'!$E:$E,MATCH($B4,'6-คาน เหล็กเสริม'!$A:$A,0))*(F4+2*INDEX('6-คาน เหล็กเสริม'!$Q:$Q,MATCH($B4,'6-คาน เหล็กเสริม'!$A:$A,0))*INDEX('6-คาน เหล็กเสริม'!$F:$F,MATCH($B4,'6-คาน เหล็กเสริม'!$A:$A,0))/1000)*INDEX('6-คาน เหล็กเสริม'!$F:$F,MATCH($B4,'6-คาน เหล็กเสริม'!$A:$A,0))^2/162</f>
        <v/>
      </c>
      <c r="O4" s="8">
        <f>INDEX('6-คาน เหล็กเสริม'!$G:$G,MATCH($B4,'6-คาน เหล็กเสริม'!$A:$A,0))*(F4+2*INDEX('6-คาน เหล็กเสริม'!$Q:$Q,MATCH($B4,'6-คาน เหล็กเสริม'!$A:$A,0))*INDEX('6-คาน เหล็กเสริม'!$H:$H,MATCH($B4,'6-คาน เหล็กเสริม'!$A:$A,0))/1000)*INDEX('6-คาน เหล็กเสริม'!$H:$H,MATCH($B4,'6-คาน เหล็กเสริม'!$A:$A,0))^2/162</f>
        <v/>
      </c>
      <c r="P4" s="8">
        <f>INDEX('6-คาน เหล็กเสริม'!$I:$I,MATCH($B4,'6-คาน เหล็กเสริม'!$A:$A,0))*2*(0.3*G4+INDEX('6-คาน เหล็กเสริม'!$Q:$Q,MATCH($B4,'6-คาน เหล็กเสริม'!$A:$A,0))*INDEX('6-คาน เหล็กเสริม'!$J:$J,MATCH($B4,'6-คาน เหล็กเสริม'!$A:$A,0))/1000)*INDEX('6-คาน เหล็กเสริม'!$J:$J,MATCH($B4,'6-คาน เหล็กเสริม'!$A:$A,0))^2/162+INDEX('6-คาน เหล็กเสริม'!$K:$K,MATCH($B4,'6-คาน เหล็กเสริม'!$A:$A,0))*0.7*G4*INDEX('6-คาน เหล็กเสริม'!$L:$L,MATCH($B4,'6-คาน เหล็กเสริม'!$A:$A,0))^2/162</f>
        <v/>
      </c>
      <c r="Q4" s="8">
        <f>R4*(2*(H4+I4)-8*INDEX('6-คาน เหล็กเสริม'!$P:$P,MATCH($B4,'6-คาน เหล็กเสริม'!$A:$A,0))+24*INDEX('6-คาน เหล็กเสริม'!$M:$M,MATCH($B4,'6-คาน เหล็กเสริม'!$A:$A,0))/1000)*INDEX('6-คาน เหล็กเสริม'!$M:$M,MATCH($B4,'6-คาน เหล็กเสริม'!$A:$A,0))^2/162</f>
        <v/>
      </c>
      <c r="R4" s="8">
        <f>IF(INDEX('6-คาน เหล็กเสริม'!$M:$M,MATCH($B4,'6-คาน เหล็กเสริม'!$A:$A,0))=0,0,2*ROUNDUP(G4/4/INDEX('6-คาน เหล็กเสริม'!$N:$N,MATCH($B4,'6-คาน เหล็กเสริม'!$A:$A,0)),0)+ROUNDUP(G4/2/INDEX('6-คาน เหล็กเสริม'!$O:$O,MATCH($B4,'6-คาน เหล็กเสริม'!$A:$A,0)),0)+1)</f>
        <v/>
      </c>
      <c r="S4" s="8">
        <f>SUM(N4:Q4)</f>
        <v/>
      </c>
      <c r="T4" s="8" t="inlineStr">
        <is>
          <t>แบบ</t>
        </is>
      </c>
    </row>
    <row r="5">
      <c r="A5" s="8" t="inlineStr">
        <is>
          <t>B1-002</t>
        </is>
      </c>
      <c r="B5" s="8" t="inlineStr">
        <is>
          <t>B1</t>
        </is>
      </c>
      <c r="C5" s="8" t="inlineStr">
        <is>
          <t>แนว A</t>
        </is>
      </c>
      <c r="D5" s="8" t="inlineStr">
        <is>
          <t>2/A</t>
        </is>
      </c>
      <c r="E5" s="8" t="inlineStr">
        <is>
          <t>3/A</t>
        </is>
      </c>
      <c r="F5" s="9" t="n">
        <v>6</v>
      </c>
      <c r="G5" s="9" t="n">
        <v>5.7</v>
      </c>
      <c r="H5" s="9" t="n">
        <v>0.2</v>
      </c>
      <c r="I5" s="9" t="n">
        <v>0.6</v>
      </c>
      <c r="J5" s="9" t="n">
        <v>0.5</v>
      </c>
      <c r="K5" s="9" t="n">
        <v>-0.1</v>
      </c>
      <c r="L5" s="8">
        <f>H5*I5*G5</f>
        <v/>
      </c>
      <c r="M5" s="8">
        <f>(2*I5+H5)*G5</f>
        <v/>
      </c>
      <c r="N5" s="8">
        <f>INDEX('6-คาน เหล็กเสริม'!$E:$E,MATCH($B5,'6-คาน เหล็กเสริม'!$A:$A,0))*(F5+2*INDEX('6-คาน เหล็กเสริม'!$Q:$Q,MATCH($B5,'6-คาน เหล็กเสริม'!$A:$A,0))*INDEX('6-คาน เหล็กเสริม'!$F:$F,MATCH($B5,'6-คาน เหล็กเสริม'!$A:$A,0))/1000)*INDEX('6-คาน เหล็กเสริม'!$F:$F,MATCH($B5,'6-คาน เหล็กเสริม'!$A:$A,0))^2/162</f>
        <v/>
      </c>
      <c r="O5" s="8">
        <f>INDEX('6-คาน เหล็กเสริม'!$G:$G,MATCH($B5,'6-คาน เหล็กเสริม'!$A:$A,0))*(F5+2*INDEX('6-คาน เหล็กเสริม'!$Q:$Q,MATCH($B5,'6-คาน เหล็กเสริม'!$A:$A,0))*INDEX('6-คาน เหล็กเสริม'!$H:$H,MATCH($B5,'6-คาน เหล็กเสริม'!$A:$A,0))/1000)*INDEX('6-คาน เหล็กเสริม'!$H:$H,MATCH($B5,'6-คาน เหล็กเสริม'!$A:$A,0))^2/162</f>
        <v/>
      </c>
      <c r="P5" s="8">
        <f>INDEX('6-คาน เหล็กเสริม'!$I:$I,MATCH($B5,'6-คาน เหล็กเสริม'!$A:$A,0))*2*(0.3*G5+INDEX('6-คาน เหล็กเสริม'!$Q:$Q,MATCH($B5,'6-คาน เหล็กเสริม'!$A:$A,0))*INDEX('6-คาน เหล็กเสริม'!$J:$J,MATCH($B5,'6-คาน เหล็กเสริม'!$A:$A,0))/1000)*INDEX('6-คาน เหล็กเสริม'!$J:$J,MATCH($B5,'6-คาน เหล็กเสริม'!$A:$A,0))^2/162+INDEX('6-คาน เหล็กเสริม'!$K:$K,MATCH($B5,'6-คาน เหล็กเสริม'!$A:$A,0))*0.7*G5*INDEX('6-คาน เหล็กเสริม'!$L:$L,MATCH($B5,'6-คาน เหล็กเสริม'!$A:$A,0))^2/162</f>
        <v/>
      </c>
      <c r="Q5" s="8">
        <f>R5*(2*(H5+I5)-8*INDEX('6-คาน เหล็กเสริม'!$P:$P,MATCH($B5,'6-คาน เหล็กเสริม'!$A:$A,0))+24*INDEX('6-คาน เหล็กเสริม'!$M:$M,MATCH($B5,'6-คาน เหล็กเสริม'!$A:$A,0))/1000)*INDEX('6-คาน เหล็กเสริม'!$M:$M,MATCH($B5,'6-คาน เหล็กเสริม'!$A:$A,0))^2/162</f>
        <v/>
      </c>
      <c r="R5" s="8">
        <f>IF(INDEX('6-คาน เหล็กเสริม'!$M:$M,MATCH($B5,'6-คาน เหล็กเสริม'!$A:$A,0))=0,0,2*ROUNDUP(G5/4/INDEX('6-คาน เหล็กเสริม'!$N:$N,MATCH($B5,'6-คาน เหล็กเสริม'!$A:$A,0)),0)+ROUNDUP(G5/2/INDEX('6-คาน เหล็กเสริม'!$O:$O,MATCH($B5,'6-คาน เหล็กเสริม'!$A:$A,0)),0)+1)</f>
        <v/>
      </c>
      <c r="S5" s="8">
        <f>SUM(N5:Q5)</f>
        <v/>
      </c>
      <c r="T5" s="8" t="inlineStr">
        <is>
          <t>แบบ</t>
        </is>
      </c>
    </row>
    <row r="6">
      <c r="A6" s="8" t="inlineStr">
        <is>
          <t>B1-003</t>
        </is>
      </c>
      <c r="B6" s="8" t="inlineStr">
        <is>
          <t>B1</t>
        </is>
      </c>
      <c r="C6" s="8" t="inlineStr">
        <is>
          <t>แนว A</t>
        </is>
      </c>
      <c r="D6" s="8" t="inlineStr">
        <is>
          <t>3/A</t>
        </is>
      </c>
      <c r="E6" s="8" t="inlineStr">
        <is>
          <t>4/A</t>
        </is>
      </c>
      <c r="F6" s="9" t="n">
        <v>6</v>
      </c>
      <c r="G6" s="9" t="n">
        <v>5.7</v>
      </c>
      <c r="H6" s="9" t="n">
        <v>0.2</v>
      </c>
      <c r="I6" s="9" t="n">
        <v>0.6</v>
      </c>
      <c r="J6" s="9" t="n">
        <v>0.5</v>
      </c>
      <c r="K6" s="9" t="n">
        <v>-0.1</v>
      </c>
      <c r="L6" s="8">
        <f>H6*I6*G6</f>
        <v/>
      </c>
      <c r="M6" s="8">
        <f>(2*I6+H6)*G6</f>
        <v/>
      </c>
      <c r="N6" s="8">
        <f>INDEX('6-คาน เหล็กเสริม'!$E:$E,MATCH($B6,'6-คาน เหล็กเสริม'!$A:$A,0))*(F6+2*INDEX('6-คาน เหล็กเสริม'!$Q:$Q,MATCH($B6,'6-คาน เหล็กเสริม'!$A:$A,0))*INDEX('6-คาน เหล็กเสริม'!$F:$F,MATCH($B6,'6-คาน เหล็กเสริม'!$A:$A,0))/1000)*INDEX('6-คาน เหล็กเสริม'!$F:$F,MATCH($B6,'6-คาน เหล็กเสริม'!$A:$A,0))^2/162</f>
        <v/>
      </c>
      <c r="O6" s="8">
        <f>INDEX('6-คาน เหล็กเสริม'!$G:$G,MATCH($B6,'6-คาน เหล็กเสริม'!$A:$A,0))*(F6+2*INDEX('6-คาน เหล็กเสริม'!$Q:$Q,MATCH($B6,'6-คาน เหล็กเสริม'!$A:$A,0))*INDEX('6-คาน เหล็กเสริม'!$H:$H,MATCH($B6,'6-คาน เหล็กเสริม'!$A:$A,0))/1000)*INDEX('6-คาน เหล็กเสริม'!$H:$H,MATCH($B6,'6-คาน เหล็กเสริม'!$A:$A,0))^2/162</f>
        <v/>
      </c>
      <c r="P6" s="8">
        <f>INDEX('6-คาน เหล็กเสริม'!$I:$I,MATCH($B6,'6-คาน เหล็กเสริม'!$A:$A,0))*2*(0.3*G6+INDEX('6-คาน เหล็กเสริม'!$Q:$Q,MATCH($B6,'6-คาน เหล็กเสริม'!$A:$A,0))*INDEX('6-คาน เหล็กเสริม'!$J:$J,MATCH($B6,'6-คาน เหล็กเสริม'!$A:$A,0))/1000)*INDEX('6-คาน เหล็กเสริม'!$J:$J,MATCH($B6,'6-คาน เหล็กเสริม'!$A:$A,0))^2/162+INDEX('6-คาน เหล็กเสริม'!$K:$K,MATCH($B6,'6-คาน เหล็กเสริม'!$A:$A,0))*0.7*G6*INDEX('6-คาน เหล็กเสริม'!$L:$L,MATCH($B6,'6-คาน เหล็กเสริม'!$A:$A,0))^2/162</f>
        <v/>
      </c>
      <c r="Q6" s="8">
        <f>R6*(2*(H6+I6)-8*INDEX('6-คาน เหล็กเสริม'!$P:$P,MATCH($B6,'6-คาน เหล็กเสริม'!$A:$A,0))+24*INDEX('6-คาน เหล็กเสริม'!$M:$M,MATCH($B6,'6-คาน เหล็กเสริม'!$A:$A,0))/1000)*INDEX('6-คาน เหล็กเสริม'!$M:$M,MATCH($B6,'6-คาน เหล็กเสริม'!$A:$A,0))^2/162</f>
        <v/>
      </c>
      <c r="R6" s="8">
        <f>IF(INDEX('6-คาน เหล็กเสริม'!$M:$M,MATCH($B6,'6-คาน เหล็กเสริม'!$A:$A,0))=0,0,2*ROUNDUP(G6/4/INDEX('6-คาน เหล็กเสริม'!$N:$N,MATCH($B6,'6-คาน เหล็กเสริม'!$A:$A,0)),0)+ROUNDUP(G6/2/INDEX('6-คาน เหล็กเสริม'!$O:$O,MATCH($B6,'6-คาน เหล็กเสริม'!$A:$A,0)),0)+1)</f>
        <v/>
      </c>
      <c r="S6" s="8">
        <f>SUM(N6:Q6)</f>
        <v/>
      </c>
      <c r="T6" s="8" t="inlineStr">
        <is>
          <t>แบบ</t>
        </is>
      </c>
    </row>
    <row r="7">
      <c r="A7" s="8" t="inlineStr">
        <is>
          <t>B1-004</t>
        </is>
      </c>
      <c r="B7" s="8" t="inlineStr">
        <is>
          <t>B1</t>
        </is>
      </c>
      <c r="C7" s="8" t="inlineStr">
        <is>
          <t>แนว A</t>
        </is>
      </c>
      <c r="D7" s="8" t="inlineStr">
        <is>
          <t>4/A</t>
        </is>
      </c>
      <c r="E7" s="8" t="inlineStr">
        <is>
          <t>5/A</t>
        </is>
      </c>
      <c r="F7" s="9" t="n">
        <v>6</v>
      </c>
      <c r="G7" s="9" t="n">
        <v>5.7</v>
      </c>
      <c r="H7" s="9" t="n">
        <v>0.2</v>
      </c>
      <c r="I7" s="9" t="n">
        <v>0.6</v>
      </c>
      <c r="J7" s="9" t="n">
        <v>0.5</v>
      </c>
      <c r="K7" s="9" t="n">
        <v>-0.1</v>
      </c>
      <c r="L7" s="8">
        <f>H7*I7*G7</f>
        <v/>
      </c>
      <c r="M7" s="8">
        <f>(2*I7+H7)*G7</f>
        <v/>
      </c>
      <c r="N7" s="8">
        <f>INDEX('6-คาน เหล็กเสริม'!$E:$E,MATCH($B7,'6-คาน เหล็กเสริม'!$A:$A,0))*(F7+2*INDEX('6-คาน เหล็กเสริม'!$Q:$Q,MATCH($B7,'6-คาน เหล็กเสริม'!$A:$A,0))*INDEX('6-คาน เหล็กเสริม'!$F:$F,MATCH($B7,'6-คาน เหล็กเสริม'!$A:$A,0))/1000)*INDEX('6-คาน เหล็กเสริม'!$F:$F,MATCH($B7,'6-คาน เหล็กเสริม'!$A:$A,0))^2/162</f>
        <v/>
      </c>
      <c r="O7" s="8">
        <f>INDEX('6-คาน เหล็กเสริม'!$G:$G,MATCH($B7,'6-คาน เหล็กเสริม'!$A:$A,0))*(F7+2*INDEX('6-คาน เหล็กเสริม'!$Q:$Q,MATCH($B7,'6-คาน เหล็กเสริม'!$A:$A,0))*INDEX('6-คาน เหล็กเสริม'!$H:$H,MATCH($B7,'6-คาน เหล็กเสริม'!$A:$A,0))/1000)*INDEX('6-คาน เหล็กเสริม'!$H:$H,MATCH($B7,'6-คาน เหล็กเสริม'!$A:$A,0))^2/162</f>
        <v/>
      </c>
      <c r="P7" s="8">
        <f>INDEX('6-คาน เหล็กเสริม'!$I:$I,MATCH($B7,'6-คาน เหล็กเสริม'!$A:$A,0))*2*(0.3*G7+INDEX('6-คาน เหล็กเสริม'!$Q:$Q,MATCH($B7,'6-คาน เหล็กเสริม'!$A:$A,0))*INDEX('6-คาน เหล็กเสริม'!$J:$J,MATCH($B7,'6-คาน เหล็กเสริม'!$A:$A,0))/1000)*INDEX('6-คาน เหล็กเสริม'!$J:$J,MATCH($B7,'6-คาน เหล็กเสริม'!$A:$A,0))^2/162+INDEX('6-คาน เหล็กเสริม'!$K:$K,MATCH($B7,'6-คาน เหล็กเสริม'!$A:$A,0))*0.7*G7*INDEX('6-คาน เหล็กเสริม'!$L:$L,MATCH($B7,'6-คาน เหล็กเสริม'!$A:$A,0))^2/162</f>
        <v/>
      </c>
      <c r="Q7" s="8">
        <f>R7*(2*(H7+I7)-8*INDEX('6-คาน เหล็กเสริม'!$P:$P,MATCH($B7,'6-คาน เหล็กเสริม'!$A:$A,0))+24*INDEX('6-คาน เหล็กเสริม'!$M:$M,MATCH($B7,'6-คาน เหล็กเสริม'!$A:$A,0))/1000)*INDEX('6-คาน เหล็กเสริม'!$M:$M,MATCH($B7,'6-คาน เหล็กเสริม'!$A:$A,0))^2/162</f>
        <v/>
      </c>
      <c r="R7" s="8">
        <f>IF(INDEX('6-คาน เหล็กเสริม'!$M:$M,MATCH($B7,'6-คาน เหล็กเสริม'!$A:$A,0))=0,0,2*ROUNDUP(G7/4/INDEX('6-คาน เหล็กเสริม'!$N:$N,MATCH($B7,'6-คาน เหล็กเสริม'!$A:$A,0)),0)+ROUNDUP(G7/2/INDEX('6-คาน เหล็กเสริม'!$O:$O,MATCH($B7,'6-คาน เหล็กเสริม'!$A:$A,0)),0)+1)</f>
        <v/>
      </c>
      <c r="S7" s="8">
        <f>SUM(N7:Q7)</f>
        <v/>
      </c>
      <c r="T7" s="8" t="inlineStr">
        <is>
          <t>แบบ</t>
        </is>
      </c>
    </row>
    <row r="8">
      <c r="A8" s="8" t="inlineStr">
        <is>
          <t>B1-005</t>
        </is>
      </c>
      <c r="B8" s="8" t="inlineStr">
        <is>
          <t>B1</t>
        </is>
      </c>
      <c r="C8" s="8" t="inlineStr">
        <is>
          <t>แนว A</t>
        </is>
      </c>
      <c r="D8" s="8" t="inlineStr">
        <is>
          <t>5/A</t>
        </is>
      </c>
      <c r="E8" s="8" t="inlineStr">
        <is>
          <t>6/A</t>
        </is>
      </c>
      <c r="F8" s="9" t="n">
        <v>6</v>
      </c>
      <c r="G8" s="9" t="n">
        <v>5.7</v>
      </c>
      <c r="H8" s="9" t="n">
        <v>0.2</v>
      </c>
      <c r="I8" s="9" t="n">
        <v>0.6</v>
      </c>
      <c r="J8" s="9" t="n">
        <v>0.5</v>
      </c>
      <c r="K8" s="9" t="n">
        <v>-0.1</v>
      </c>
      <c r="L8" s="8">
        <f>H8*I8*G8</f>
        <v/>
      </c>
      <c r="M8" s="8">
        <f>(2*I8+H8)*G8</f>
        <v/>
      </c>
      <c r="N8" s="8">
        <f>INDEX('6-คาน เหล็กเสริม'!$E:$E,MATCH($B8,'6-คาน เหล็กเสริม'!$A:$A,0))*(F8+2*INDEX('6-คาน เหล็กเสริม'!$Q:$Q,MATCH($B8,'6-คาน เหล็กเสริม'!$A:$A,0))*INDEX('6-คาน เหล็กเสริม'!$F:$F,MATCH($B8,'6-คาน เหล็กเสริม'!$A:$A,0))/1000)*INDEX('6-คาน เหล็กเสริม'!$F:$F,MATCH($B8,'6-คาน เหล็กเสริม'!$A:$A,0))^2/162</f>
        <v/>
      </c>
      <c r="O8" s="8">
        <f>INDEX('6-คาน เหล็กเสริม'!$G:$G,MATCH($B8,'6-คาน เหล็กเสริม'!$A:$A,0))*(F8+2*INDEX('6-คาน เหล็กเสริม'!$Q:$Q,MATCH($B8,'6-คาน เหล็กเสริม'!$A:$A,0))*INDEX('6-คาน เหล็กเสริม'!$H:$H,MATCH($B8,'6-คาน เหล็กเสริม'!$A:$A,0))/1000)*INDEX('6-คาน เหล็กเสริม'!$H:$H,MATCH($B8,'6-คาน เหล็กเสริม'!$A:$A,0))^2/162</f>
        <v/>
      </c>
      <c r="P8" s="8">
        <f>INDEX('6-คาน เหล็กเสริม'!$I:$I,MATCH($B8,'6-คาน เหล็กเสริม'!$A:$A,0))*2*(0.3*G8+INDEX('6-คาน เหล็กเสริม'!$Q:$Q,MATCH($B8,'6-คาน เหล็กเสริม'!$A:$A,0))*INDEX('6-คาน เหล็กเสริม'!$J:$J,MATCH($B8,'6-คาน เหล็กเสริม'!$A:$A,0))/1000)*INDEX('6-คาน เหล็กเสริม'!$J:$J,MATCH($B8,'6-คาน เหล็กเสริม'!$A:$A,0))^2/162+INDEX('6-คาน เหล็กเสริม'!$K:$K,MATCH($B8,'6-คาน เหล็กเสริม'!$A:$A,0))*0.7*G8*INDEX('6-คาน เหล็กเสริม'!$L:$L,MATCH($B8,'6-คาน เหล็กเสริม'!$A:$A,0))^2/162</f>
        <v/>
      </c>
      <c r="Q8" s="8">
        <f>R8*(2*(H8+I8)-8*INDEX('6-คาน เหล็กเสริม'!$P:$P,MATCH($B8,'6-คาน เหล็กเสริม'!$A:$A,0))+24*INDEX('6-คาน เหล็กเสริม'!$M:$M,MATCH($B8,'6-คาน เหล็กเสริม'!$A:$A,0))/1000)*INDEX('6-คาน เหล็กเสริม'!$M:$M,MATCH($B8,'6-คาน เหล็กเสริม'!$A:$A,0))^2/162</f>
        <v/>
      </c>
      <c r="R8" s="8">
        <f>IF(INDEX('6-คาน เหล็กเสริม'!$M:$M,MATCH($B8,'6-คาน เหล็กเสริม'!$A:$A,0))=0,0,2*ROUNDUP(G8/4/INDEX('6-คาน เหล็กเสริม'!$N:$N,MATCH($B8,'6-คาน เหล็กเสริม'!$A:$A,0)),0)+ROUNDUP(G8/2/INDEX('6-คาน เหล็กเสริม'!$O:$O,MATCH($B8,'6-คาน เหล็กเสริม'!$A:$A,0)),0)+1)</f>
        <v/>
      </c>
      <c r="S8" s="8">
        <f>SUM(N8:Q8)</f>
        <v/>
      </c>
      <c r="T8" s="8" t="inlineStr">
        <is>
          <t>แบบ</t>
        </is>
      </c>
    </row>
    <row r="9">
      <c r="A9" s="8" t="inlineStr">
        <is>
          <t>B1-006</t>
        </is>
      </c>
      <c r="B9" s="8" t="inlineStr">
        <is>
          <t>B1</t>
        </is>
      </c>
      <c r="C9" s="8" t="inlineStr">
        <is>
          <t>แนว A</t>
        </is>
      </c>
      <c r="D9" s="8" t="inlineStr">
        <is>
          <t>6/A</t>
        </is>
      </c>
      <c r="E9" s="8" t="inlineStr">
        <is>
          <t>7/A</t>
        </is>
      </c>
      <c r="F9" s="9" t="n">
        <v>6</v>
      </c>
      <c r="G9" s="9" t="n">
        <v>5.7</v>
      </c>
      <c r="H9" s="9" t="n">
        <v>0.2</v>
      </c>
      <c r="I9" s="9" t="n">
        <v>0.6</v>
      </c>
      <c r="J9" s="9" t="n">
        <v>0.5</v>
      </c>
      <c r="K9" s="9" t="n">
        <v>-0.1</v>
      </c>
      <c r="L9" s="8">
        <f>H9*I9*G9</f>
        <v/>
      </c>
      <c r="M9" s="8">
        <f>(2*I9+H9)*G9</f>
        <v/>
      </c>
      <c r="N9" s="8">
        <f>INDEX('6-คาน เหล็กเสริม'!$E:$E,MATCH($B9,'6-คาน เหล็กเสริม'!$A:$A,0))*(F9+2*INDEX('6-คาน เหล็กเสริม'!$Q:$Q,MATCH($B9,'6-คาน เหล็กเสริม'!$A:$A,0))*INDEX('6-คาน เหล็กเสริม'!$F:$F,MATCH($B9,'6-คาน เหล็กเสริม'!$A:$A,0))/1000)*INDEX('6-คาน เหล็กเสริม'!$F:$F,MATCH($B9,'6-คาน เหล็กเสริม'!$A:$A,0))^2/162</f>
        <v/>
      </c>
      <c r="O9" s="8">
        <f>INDEX('6-คาน เหล็กเสริม'!$G:$G,MATCH($B9,'6-คาน เหล็กเสริม'!$A:$A,0))*(F9+2*INDEX('6-คาน เหล็กเสริม'!$Q:$Q,MATCH($B9,'6-คาน เหล็กเสริม'!$A:$A,0))*INDEX('6-คาน เหล็กเสริม'!$H:$H,MATCH($B9,'6-คาน เหล็กเสริม'!$A:$A,0))/1000)*INDEX('6-คาน เหล็กเสริม'!$H:$H,MATCH($B9,'6-คาน เหล็กเสริม'!$A:$A,0))^2/162</f>
        <v/>
      </c>
      <c r="P9" s="8">
        <f>INDEX('6-คาน เหล็กเสริม'!$I:$I,MATCH($B9,'6-คาน เหล็กเสริม'!$A:$A,0))*2*(0.3*G9+INDEX('6-คาน เหล็กเสริม'!$Q:$Q,MATCH($B9,'6-คาน เหล็กเสริม'!$A:$A,0))*INDEX('6-คาน เหล็กเสริม'!$J:$J,MATCH($B9,'6-คาน เหล็กเสริม'!$A:$A,0))/1000)*INDEX('6-คาน เหล็กเสริม'!$J:$J,MATCH($B9,'6-คาน เหล็กเสริม'!$A:$A,0))^2/162+INDEX('6-คาน เหล็กเสริม'!$K:$K,MATCH($B9,'6-คาน เหล็กเสริม'!$A:$A,0))*0.7*G9*INDEX('6-คาน เหล็กเสริม'!$L:$L,MATCH($B9,'6-คาน เหล็กเสริม'!$A:$A,0))^2/162</f>
        <v/>
      </c>
      <c r="Q9" s="8">
        <f>R9*(2*(H9+I9)-8*INDEX('6-คาน เหล็กเสริม'!$P:$P,MATCH($B9,'6-คาน เหล็กเสริม'!$A:$A,0))+24*INDEX('6-คาน เหล็กเสริม'!$M:$M,MATCH($B9,'6-คาน เหล็กเสริม'!$A:$A,0))/1000)*INDEX('6-คาน เหล็กเสริม'!$M:$M,MATCH($B9,'6-คาน เหล็กเสริม'!$A:$A,0))^2/162</f>
        <v/>
      </c>
      <c r="R9" s="8">
        <f>IF(INDEX('6-คาน เหล็กเสริม'!$M:$M,MATCH($B9,'6-คาน เหล็กเสริม'!$A:$A,0))=0,0,2*ROUNDUP(G9/4/INDEX('6-คาน เหล็กเสริม'!$N:$N,MATCH($B9,'6-คาน เหล็กเสริม'!$A:$A,0)),0)+ROUNDUP(G9/2/INDEX('6-คาน เหล็กเสริม'!$O:$O,MATCH($B9,'6-คาน เหล็กเสริม'!$A:$A,0)),0)+1)</f>
        <v/>
      </c>
      <c r="S9" s="8">
        <f>SUM(N9:Q9)</f>
        <v/>
      </c>
      <c r="T9" s="8" t="inlineStr">
        <is>
          <t>แบบ</t>
        </is>
      </c>
    </row>
    <row r="10">
      <c r="A10" s="8" t="inlineStr">
        <is>
          <t>B1-007</t>
        </is>
      </c>
      <c r="B10" s="8" t="inlineStr">
        <is>
          <t>B1</t>
        </is>
      </c>
      <c r="C10" s="8" t="inlineStr">
        <is>
          <t>แนว A</t>
        </is>
      </c>
      <c r="D10" s="8" t="inlineStr">
        <is>
          <t>7/A</t>
        </is>
      </c>
      <c r="E10" s="8" t="inlineStr">
        <is>
          <t>8/A</t>
        </is>
      </c>
      <c r="F10" s="9" t="n">
        <v>6</v>
      </c>
      <c r="G10" s="9" t="n">
        <v>5.7</v>
      </c>
      <c r="H10" s="9" t="n">
        <v>0.2</v>
      </c>
      <c r="I10" s="9" t="n">
        <v>0.6</v>
      </c>
      <c r="J10" s="9" t="n">
        <v>0.5</v>
      </c>
      <c r="K10" s="9" t="n">
        <v>-0.1</v>
      </c>
      <c r="L10" s="8">
        <f>H10*I10*G10</f>
        <v/>
      </c>
      <c r="M10" s="8">
        <f>(2*I10+H10)*G10</f>
        <v/>
      </c>
      <c r="N10" s="8">
        <f>INDEX('6-คาน เหล็กเสริม'!$E:$E,MATCH($B10,'6-คาน เหล็กเสริม'!$A:$A,0))*(F10+2*INDEX('6-คาน เหล็กเสริม'!$Q:$Q,MATCH($B10,'6-คาน เหล็กเสริม'!$A:$A,0))*INDEX('6-คาน เหล็กเสริม'!$F:$F,MATCH($B10,'6-คาน เหล็กเสริม'!$A:$A,0))/1000)*INDEX('6-คาน เหล็กเสริม'!$F:$F,MATCH($B10,'6-คาน เหล็กเสริม'!$A:$A,0))^2/162</f>
        <v/>
      </c>
      <c r="O10" s="8">
        <f>INDEX('6-คาน เหล็กเสริม'!$G:$G,MATCH($B10,'6-คาน เหล็กเสริม'!$A:$A,0))*(F10+2*INDEX('6-คาน เหล็กเสริม'!$Q:$Q,MATCH($B10,'6-คาน เหล็กเสริม'!$A:$A,0))*INDEX('6-คาน เหล็กเสริม'!$H:$H,MATCH($B10,'6-คาน เหล็กเสริม'!$A:$A,0))/1000)*INDEX('6-คาน เหล็กเสริม'!$H:$H,MATCH($B10,'6-คาน เหล็กเสริม'!$A:$A,0))^2/162</f>
        <v/>
      </c>
      <c r="P10" s="8">
        <f>INDEX('6-คาน เหล็กเสริม'!$I:$I,MATCH($B10,'6-คาน เหล็กเสริม'!$A:$A,0))*2*(0.3*G10+INDEX('6-คาน เหล็กเสริม'!$Q:$Q,MATCH($B10,'6-คาน เหล็กเสริม'!$A:$A,0))*INDEX('6-คาน เหล็กเสริม'!$J:$J,MATCH($B10,'6-คาน เหล็กเสริม'!$A:$A,0))/1000)*INDEX('6-คาน เหล็กเสริม'!$J:$J,MATCH($B10,'6-คาน เหล็กเสริม'!$A:$A,0))^2/162+INDEX('6-คาน เหล็กเสริม'!$K:$K,MATCH($B10,'6-คาน เหล็กเสริม'!$A:$A,0))*0.7*G10*INDEX('6-คาน เหล็กเสริม'!$L:$L,MATCH($B10,'6-คาน เหล็กเสริม'!$A:$A,0))^2/162</f>
        <v/>
      </c>
      <c r="Q10" s="8">
        <f>R10*(2*(H10+I10)-8*INDEX('6-คาน เหล็กเสริม'!$P:$P,MATCH($B10,'6-คาน เหล็กเสริม'!$A:$A,0))+24*INDEX('6-คาน เหล็กเสริม'!$M:$M,MATCH($B10,'6-คาน เหล็กเสริม'!$A:$A,0))/1000)*INDEX('6-คาน เหล็กเสริม'!$M:$M,MATCH($B10,'6-คาน เหล็กเสริม'!$A:$A,0))^2/162</f>
        <v/>
      </c>
      <c r="R10" s="8">
        <f>IF(INDEX('6-คาน เหล็กเสริม'!$M:$M,MATCH($B10,'6-คาน เหล็กเสริม'!$A:$A,0))=0,0,2*ROUNDUP(G10/4/INDEX('6-คาน เหล็กเสริม'!$N:$N,MATCH($B10,'6-คาน เหล็กเสริม'!$A:$A,0)),0)+ROUNDUP(G10/2/INDEX('6-คาน เหล็กเสริม'!$O:$O,MATCH($B10,'6-คาน เหล็กเสริม'!$A:$A,0)),0)+1)</f>
        <v/>
      </c>
      <c r="S10" s="8">
        <f>SUM(N10:Q10)</f>
        <v/>
      </c>
      <c r="T10" s="8" t="inlineStr">
        <is>
          <t>แบบ</t>
        </is>
      </c>
    </row>
    <row r="11">
      <c r="A11" s="8" t="inlineStr">
        <is>
          <t>B1-008</t>
        </is>
      </c>
      <c r="B11" s="8" t="inlineStr">
        <is>
          <t>B1</t>
        </is>
      </c>
      <c r="C11" s="8" t="inlineStr">
        <is>
          <t>แนว A</t>
        </is>
      </c>
      <c r="D11" s="8" t="inlineStr">
        <is>
          <t>8/A</t>
        </is>
      </c>
      <c r="E11" s="8" t="inlineStr">
        <is>
          <t>9/A</t>
        </is>
      </c>
      <c r="F11" s="9" t="n">
        <v>6</v>
      </c>
      <c r="G11" s="9" t="n">
        <v>5.7</v>
      </c>
      <c r="H11" s="9" t="n">
        <v>0.2</v>
      </c>
      <c r="I11" s="9" t="n">
        <v>0.6</v>
      </c>
      <c r="J11" s="9" t="n">
        <v>0.5</v>
      </c>
      <c r="K11" s="9" t="n">
        <v>-0.1</v>
      </c>
      <c r="L11" s="8">
        <f>H11*I11*G11</f>
        <v/>
      </c>
      <c r="M11" s="8">
        <f>(2*I11+H11)*G11</f>
        <v/>
      </c>
      <c r="N11" s="8">
        <f>INDEX('6-คาน เหล็กเสริม'!$E:$E,MATCH($B11,'6-คาน เหล็กเสริม'!$A:$A,0))*(F11+2*INDEX('6-คาน เหล็กเสริม'!$Q:$Q,MATCH($B11,'6-คาน เหล็กเสริม'!$A:$A,0))*INDEX('6-คาน เหล็กเสริม'!$F:$F,MATCH($B11,'6-คาน เหล็กเสริม'!$A:$A,0))/1000)*INDEX('6-คาน เหล็กเสริม'!$F:$F,MATCH($B11,'6-คาน เหล็กเสริม'!$A:$A,0))^2/162</f>
        <v/>
      </c>
      <c r="O11" s="8">
        <f>INDEX('6-คาน เหล็กเสริม'!$G:$G,MATCH($B11,'6-คาน เหล็กเสริม'!$A:$A,0))*(F11+2*INDEX('6-คาน เหล็กเสริม'!$Q:$Q,MATCH($B11,'6-คาน เหล็กเสริม'!$A:$A,0))*INDEX('6-คาน เหล็กเสริม'!$H:$H,MATCH($B11,'6-คาน เหล็กเสริม'!$A:$A,0))/1000)*INDEX('6-คาน เหล็กเสริม'!$H:$H,MATCH($B11,'6-คาน เหล็กเสริม'!$A:$A,0))^2/162</f>
        <v/>
      </c>
      <c r="P11" s="8">
        <f>INDEX('6-คาน เหล็กเสริม'!$I:$I,MATCH($B11,'6-คาน เหล็กเสริม'!$A:$A,0))*2*(0.3*G11+INDEX('6-คาน เหล็กเสริม'!$Q:$Q,MATCH($B11,'6-คาน เหล็กเสริม'!$A:$A,0))*INDEX('6-คาน เหล็กเสริม'!$J:$J,MATCH($B11,'6-คาน เหล็กเสริม'!$A:$A,0))/1000)*INDEX('6-คาน เหล็กเสริม'!$J:$J,MATCH($B11,'6-คาน เหล็กเสริม'!$A:$A,0))^2/162+INDEX('6-คาน เหล็กเสริม'!$K:$K,MATCH($B11,'6-คาน เหล็กเสริม'!$A:$A,0))*0.7*G11*INDEX('6-คาน เหล็กเสริม'!$L:$L,MATCH($B11,'6-คาน เหล็กเสริม'!$A:$A,0))^2/162</f>
        <v/>
      </c>
      <c r="Q11" s="8">
        <f>R11*(2*(H11+I11)-8*INDEX('6-คาน เหล็กเสริม'!$P:$P,MATCH($B11,'6-คาน เหล็กเสริม'!$A:$A,0))+24*INDEX('6-คาน เหล็กเสริม'!$M:$M,MATCH($B11,'6-คาน เหล็กเสริม'!$A:$A,0))/1000)*INDEX('6-คาน เหล็กเสริม'!$M:$M,MATCH($B11,'6-คาน เหล็กเสริม'!$A:$A,0))^2/162</f>
        <v/>
      </c>
      <c r="R11" s="8">
        <f>IF(INDEX('6-คาน เหล็กเสริม'!$M:$M,MATCH($B11,'6-คาน เหล็กเสริม'!$A:$A,0))=0,0,2*ROUNDUP(G11/4/INDEX('6-คาน เหล็กเสริม'!$N:$N,MATCH($B11,'6-คาน เหล็กเสริม'!$A:$A,0)),0)+ROUNDUP(G11/2/INDEX('6-คาน เหล็กเสริม'!$O:$O,MATCH($B11,'6-คาน เหล็กเสริม'!$A:$A,0)),0)+1)</f>
        <v/>
      </c>
      <c r="S11" s="8">
        <f>SUM(N11:Q11)</f>
        <v/>
      </c>
      <c r="T11" s="8" t="inlineStr">
        <is>
          <t>แบบ</t>
        </is>
      </c>
    </row>
    <row r="12">
      <c r="A12" s="8" t="inlineStr">
        <is>
          <t>B1-009</t>
        </is>
      </c>
      <c r="B12" s="8" t="inlineStr">
        <is>
          <t>B1</t>
        </is>
      </c>
      <c r="C12" s="8" t="inlineStr">
        <is>
          <t>แนว A</t>
        </is>
      </c>
      <c r="D12" s="8" t="inlineStr">
        <is>
          <t>9/A</t>
        </is>
      </c>
      <c r="E12" s="8" t="inlineStr">
        <is>
          <t>10/A</t>
        </is>
      </c>
      <c r="F12" s="9" t="n">
        <v>6</v>
      </c>
      <c r="G12" s="9" t="n">
        <v>5.7</v>
      </c>
      <c r="H12" s="9" t="n">
        <v>0.2</v>
      </c>
      <c r="I12" s="9" t="n">
        <v>0.6</v>
      </c>
      <c r="J12" s="9" t="n">
        <v>0.5</v>
      </c>
      <c r="K12" s="9" t="n">
        <v>-0.1</v>
      </c>
      <c r="L12" s="8">
        <f>H12*I12*G12</f>
        <v/>
      </c>
      <c r="M12" s="8">
        <f>(2*I12+H12)*G12</f>
        <v/>
      </c>
      <c r="N12" s="8">
        <f>INDEX('6-คาน เหล็กเสริม'!$E:$E,MATCH($B12,'6-คาน เหล็กเสริม'!$A:$A,0))*(F12+2*INDEX('6-คาน เหล็กเสริม'!$Q:$Q,MATCH($B12,'6-คาน เหล็กเสริม'!$A:$A,0))*INDEX('6-คาน เหล็กเสริม'!$F:$F,MATCH($B12,'6-คาน เหล็กเสริม'!$A:$A,0))/1000)*INDEX('6-คาน เหล็กเสริม'!$F:$F,MATCH($B12,'6-คาน เหล็กเสริม'!$A:$A,0))^2/162</f>
        <v/>
      </c>
      <c r="O12" s="8">
        <f>INDEX('6-คาน เหล็กเสริม'!$G:$G,MATCH($B12,'6-คาน เหล็กเสริม'!$A:$A,0))*(F12+2*INDEX('6-คาน เหล็กเสริม'!$Q:$Q,MATCH($B12,'6-คาน เหล็กเสริม'!$A:$A,0))*INDEX('6-คาน เหล็กเสริม'!$H:$H,MATCH($B12,'6-คาน เหล็กเสริม'!$A:$A,0))/1000)*INDEX('6-คาน เหล็กเสริม'!$H:$H,MATCH($B12,'6-คาน เหล็กเสริม'!$A:$A,0))^2/162</f>
        <v/>
      </c>
      <c r="P12" s="8">
        <f>INDEX('6-คาน เหล็กเสริม'!$I:$I,MATCH($B12,'6-คาน เหล็กเสริม'!$A:$A,0))*2*(0.3*G12+INDEX('6-คาน เหล็กเสริม'!$Q:$Q,MATCH($B12,'6-คาน เหล็กเสริม'!$A:$A,0))*INDEX('6-คาน เหล็กเสริม'!$J:$J,MATCH($B12,'6-คาน เหล็กเสริม'!$A:$A,0))/1000)*INDEX('6-คาน เหล็กเสริม'!$J:$J,MATCH($B12,'6-คาน เหล็กเสริม'!$A:$A,0))^2/162+INDEX('6-คาน เหล็กเสริม'!$K:$K,MATCH($B12,'6-คาน เหล็กเสริม'!$A:$A,0))*0.7*G12*INDEX('6-คาน เหล็กเสริม'!$L:$L,MATCH($B12,'6-คาน เหล็กเสริม'!$A:$A,0))^2/162</f>
        <v/>
      </c>
      <c r="Q12" s="8">
        <f>R12*(2*(H12+I12)-8*INDEX('6-คาน เหล็กเสริม'!$P:$P,MATCH($B12,'6-คาน เหล็กเสริม'!$A:$A,0))+24*INDEX('6-คาน เหล็กเสริม'!$M:$M,MATCH($B12,'6-คาน เหล็กเสริม'!$A:$A,0))/1000)*INDEX('6-คาน เหล็กเสริม'!$M:$M,MATCH($B12,'6-คาน เหล็กเสริม'!$A:$A,0))^2/162</f>
        <v/>
      </c>
      <c r="R12" s="8">
        <f>IF(INDEX('6-คาน เหล็กเสริม'!$M:$M,MATCH($B12,'6-คาน เหล็กเสริม'!$A:$A,0))=0,0,2*ROUNDUP(G12/4/INDEX('6-คาน เหล็กเสริม'!$N:$N,MATCH($B12,'6-คาน เหล็กเสริม'!$A:$A,0)),0)+ROUNDUP(G12/2/INDEX('6-คาน เหล็กเสริม'!$O:$O,MATCH($B12,'6-คาน เหล็กเสริม'!$A:$A,0)),0)+1)</f>
        <v/>
      </c>
      <c r="S12" s="8">
        <f>SUM(N12:Q12)</f>
        <v/>
      </c>
      <c r="T12" s="8" t="inlineStr">
        <is>
          <t>แบบ</t>
        </is>
      </c>
    </row>
    <row r="13">
      <c r="A13" s="8" t="inlineStr">
        <is>
          <t>B1-010</t>
        </is>
      </c>
      <c r="B13" s="8" t="inlineStr">
        <is>
          <t>B1</t>
        </is>
      </c>
      <c r="C13" s="8" t="inlineStr">
        <is>
          <t>แนว A</t>
        </is>
      </c>
      <c r="D13" s="8" t="inlineStr">
        <is>
          <t>10/A</t>
        </is>
      </c>
      <c r="E13" s="8" t="inlineStr">
        <is>
          <t>11/A</t>
        </is>
      </c>
      <c r="F13" s="9" t="n">
        <v>6</v>
      </c>
      <c r="G13" s="9" t="n">
        <v>5.7</v>
      </c>
      <c r="H13" s="9" t="n">
        <v>0.2</v>
      </c>
      <c r="I13" s="9" t="n">
        <v>0.6</v>
      </c>
      <c r="J13" s="9" t="n">
        <v>0.5</v>
      </c>
      <c r="K13" s="9" t="n">
        <v>-0.1</v>
      </c>
      <c r="L13" s="8">
        <f>H13*I13*G13</f>
        <v/>
      </c>
      <c r="M13" s="8">
        <f>(2*I13+H13)*G13</f>
        <v/>
      </c>
      <c r="N13" s="8">
        <f>INDEX('6-คาน เหล็กเสริม'!$E:$E,MATCH($B13,'6-คาน เหล็กเสริม'!$A:$A,0))*(F13+2*INDEX('6-คาน เหล็กเสริม'!$Q:$Q,MATCH($B13,'6-คาน เหล็กเสริม'!$A:$A,0))*INDEX('6-คาน เหล็กเสริม'!$F:$F,MATCH($B13,'6-คาน เหล็กเสริม'!$A:$A,0))/1000)*INDEX('6-คาน เหล็กเสริม'!$F:$F,MATCH($B13,'6-คาน เหล็กเสริม'!$A:$A,0))^2/162</f>
        <v/>
      </c>
      <c r="O13" s="8">
        <f>INDEX('6-คาน เหล็กเสริม'!$G:$G,MATCH($B13,'6-คาน เหล็กเสริม'!$A:$A,0))*(F13+2*INDEX('6-คาน เหล็กเสริม'!$Q:$Q,MATCH($B13,'6-คาน เหล็กเสริม'!$A:$A,0))*INDEX('6-คาน เหล็กเสริม'!$H:$H,MATCH($B13,'6-คาน เหล็กเสริม'!$A:$A,0))/1000)*INDEX('6-คาน เหล็กเสริม'!$H:$H,MATCH($B13,'6-คาน เหล็กเสริม'!$A:$A,0))^2/162</f>
        <v/>
      </c>
      <c r="P13" s="8">
        <f>INDEX('6-คาน เหล็กเสริม'!$I:$I,MATCH($B13,'6-คาน เหล็กเสริม'!$A:$A,0))*2*(0.3*G13+INDEX('6-คาน เหล็กเสริม'!$Q:$Q,MATCH($B13,'6-คาน เหล็กเสริม'!$A:$A,0))*INDEX('6-คาน เหล็กเสริม'!$J:$J,MATCH($B13,'6-คาน เหล็กเสริม'!$A:$A,0))/1000)*INDEX('6-คาน เหล็กเสริม'!$J:$J,MATCH($B13,'6-คาน เหล็กเสริม'!$A:$A,0))^2/162+INDEX('6-คาน เหล็กเสริม'!$K:$K,MATCH($B13,'6-คาน เหล็กเสริม'!$A:$A,0))*0.7*G13*INDEX('6-คาน เหล็กเสริม'!$L:$L,MATCH($B13,'6-คาน เหล็กเสริม'!$A:$A,0))^2/162</f>
        <v/>
      </c>
      <c r="Q13" s="8">
        <f>R13*(2*(H13+I13)-8*INDEX('6-คาน เหล็กเสริม'!$P:$P,MATCH($B13,'6-คาน เหล็กเสริม'!$A:$A,0))+24*INDEX('6-คาน เหล็กเสริม'!$M:$M,MATCH($B13,'6-คาน เหล็กเสริม'!$A:$A,0))/1000)*INDEX('6-คาน เหล็กเสริม'!$M:$M,MATCH($B13,'6-คาน เหล็กเสริม'!$A:$A,0))^2/162</f>
        <v/>
      </c>
      <c r="R13" s="8">
        <f>IF(INDEX('6-คาน เหล็กเสริม'!$M:$M,MATCH($B13,'6-คาน เหล็กเสริม'!$A:$A,0))=0,0,2*ROUNDUP(G13/4/INDEX('6-คาน เหล็กเสริม'!$N:$N,MATCH($B13,'6-คาน เหล็กเสริม'!$A:$A,0)),0)+ROUNDUP(G13/2/INDEX('6-คาน เหล็กเสริม'!$O:$O,MATCH($B13,'6-คาน เหล็กเสริม'!$A:$A,0)),0)+1)</f>
        <v/>
      </c>
      <c r="S13" s="8">
        <f>SUM(N13:Q13)</f>
        <v/>
      </c>
      <c r="T13" s="8" t="inlineStr">
        <is>
          <t>แบบ</t>
        </is>
      </c>
    </row>
    <row r="14">
      <c r="A14" s="8" t="inlineStr">
        <is>
          <t>B1-011</t>
        </is>
      </c>
      <c r="B14" s="8" t="inlineStr">
        <is>
          <t>B1</t>
        </is>
      </c>
      <c r="C14" s="8" t="inlineStr">
        <is>
          <t>แนว 1</t>
        </is>
      </c>
      <c r="D14" s="8" t="inlineStr">
        <is>
          <t>1/A</t>
        </is>
      </c>
      <c r="E14" s="8" t="inlineStr">
        <is>
          <t>1/B</t>
        </is>
      </c>
      <c r="F14" s="9" t="n">
        <v>6</v>
      </c>
      <c r="G14" s="9" t="n">
        <v>5.7</v>
      </c>
      <c r="H14" s="9" t="n">
        <v>0.2</v>
      </c>
      <c r="I14" s="9" t="n">
        <v>0.6</v>
      </c>
      <c r="J14" s="9" t="n">
        <v>0.5</v>
      </c>
      <c r="K14" s="9" t="n">
        <v>-0.1</v>
      </c>
      <c r="L14" s="8">
        <f>H14*I14*G14</f>
        <v/>
      </c>
      <c r="M14" s="8">
        <f>(2*I14+H14)*G14</f>
        <v/>
      </c>
      <c r="N14" s="8">
        <f>INDEX('6-คาน เหล็กเสริม'!$E:$E,MATCH($B14,'6-คาน เหล็กเสริม'!$A:$A,0))*(F14+2*INDEX('6-คาน เหล็กเสริม'!$Q:$Q,MATCH($B14,'6-คาน เหล็กเสริม'!$A:$A,0))*INDEX('6-คาน เหล็กเสริม'!$F:$F,MATCH($B14,'6-คาน เหล็กเสริม'!$A:$A,0))/1000)*INDEX('6-คาน เหล็กเสริม'!$F:$F,MATCH($B14,'6-คาน เหล็กเสริม'!$A:$A,0))^2/162</f>
        <v/>
      </c>
      <c r="O14" s="8">
        <f>INDEX('6-คาน เหล็กเสริม'!$G:$G,MATCH($B14,'6-คาน เหล็กเสริม'!$A:$A,0))*(F14+2*INDEX('6-คาน เหล็กเสริม'!$Q:$Q,MATCH($B14,'6-คาน เหล็กเสริม'!$A:$A,0))*INDEX('6-คาน เหล็กเสริม'!$H:$H,MATCH($B14,'6-คาน เหล็กเสริม'!$A:$A,0))/1000)*INDEX('6-คาน เหล็กเสริม'!$H:$H,MATCH($B14,'6-คาน เหล็กเสริม'!$A:$A,0))^2/162</f>
        <v/>
      </c>
      <c r="P14" s="8">
        <f>INDEX('6-คาน เหล็กเสริม'!$I:$I,MATCH($B14,'6-คาน เหล็กเสริม'!$A:$A,0))*2*(0.3*G14+INDEX('6-คาน เหล็กเสริม'!$Q:$Q,MATCH($B14,'6-คาน เหล็กเสริม'!$A:$A,0))*INDEX('6-คาน เหล็กเสริม'!$J:$J,MATCH($B14,'6-คาน เหล็กเสริม'!$A:$A,0))/1000)*INDEX('6-คาน เหล็กเสริม'!$J:$J,MATCH($B14,'6-คาน เหล็กเสริม'!$A:$A,0))^2/162+INDEX('6-คาน เหล็กเสริม'!$K:$K,MATCH($B14,'6-คาน เหล็กเสริม'!$A:$A,0))*0.7*G14*INDEX('6-คาน เหล็กเสริม'!$L:$L,MATCH($B14,'6-คาน เหล็กเสริม'!$A:$A,0))^2/162</f>
        <v/>
      </c>
      <c r="Q14" s="8">
        <f>R14*(2*(H14+I14)-8*INDEX('6-คาน เหล็กเสริม'!$P:$P,MATCH($B14,'6-คาน เหล็กเสริม'!$A:$A,0))+24*INDEX('6-คาน เหล็กเสริม'!$M:$M,MATCH($B14,'6-คาน เหล็กเสริม'!$A:$A,0))/1000)*INDEX('6-คาน เหล็กเสริม'!$M:$M,MATCH($B14,'6-คาน เหล็กเสริม'!$A:$A,0))^2/162</f>
        <v/>
      </c>
      <c r="R14" s="8">
        <f>IF(INDEX('6-คาน เหล็กเสริม'!$M:$M,MATCH($B14,'6-คาน เหล็กเสริม'!$A:$A,0))=0,0,2*ROUNDUP(G14/4/INDEX('6-คาน เหล็กเสริม'!$N:$N,MATCH($B14,'6-คาน เหล็กเสริม'!$A:$A,0)),0)+ROUNDUP(G14/2/INDEX('6-คาน เหล็กเสริม'!$O:$O,MATCH($B14,'6-คาน เหล็กเสริม'!$A:$A,0)),0)+1)</f>
        <v/>
      </c>
      <c r="S14" s="8">
        <f>SUM(N14:Q14)</f>
        <v/>
      </c>
      <c r="T14" s="8" t="inlineStr">
        <is>
          <t>แบบ</t>
        </is>
      </c>
    </row>
    <row r="15">
      <c r="A15" s="8" t="inlineStr">
        <is>
          <t>B1-012</t>
        </is>
      </c>
      <c r="B15" s="8" t="inlineStr">
        <is>
          <t>B1</t>
        </is>
      </c>
      <c r="C15" s="8" t="inlineStr">
        <is>
          <t>แนว 6</t>
        </is>
      </c>
      <c r="D15" s="8" t="inlineStr">
        <is>
          <t>6/A</t>
        </is>
      </c>
      <c r="E15" s="8" t="inlineStr">
        <is>
          <t>6/B</t>
        </is>
      </c>
      <c r="F15" s="9" t="n">
        <v>6</v>
      </c>
      <c r="G15" s="9" t="n">
        <v>5.7</v>
      </c>
      <c r="H15" s="9" t="n">
        <v>0.2</v>
      </c>
      <c r="I15" s="9" t="n">
        <v>0.6</v>
      </c>
      <c r="J15" s="9" t="n">
        <v>0.5</v>
      </c>
      <c r="K15" s="9" t="n">
        <v>-0.1</v>
      </c>
      <c r="L15" s="8">
        <f>H15*I15*G15</f>
        <v/>
      </c>
      <c r="M15" s="8">
        <f>(2*I15+H15)*G15</f>
        <v/>
      </c>
      <c r="N15" s="8">
        <f>INDEX('6-คาน เหล็กเสริม'!$E:$E,MATCH($B15,'6-คาน เหล็กเสริม'!$A:$A,0))*(F15+2*INDEX('6-คาน เหล็กเสริม'!$Q:$Q,MATCH($B15,'6-คาน เหล็กเสริม'!$A:$A,0))*INDEX('6-คาน เหล็กเสริม'!$F:$F,MATCH($B15,'6-คาน เหล็กเสริม'!$A:$A,0))/1000)*INDEX('6-คาน เหล็กเสริม'!$F:$F,MATCH($B15,'6-คาน เหล็กเสริม'!$A:$A,0))^2/162</f>
        <v/>
      </c>
      <c r="O15" s="8">
        <f>INDEX('6-คาน เหล็กเสริม'!$G:$G,MATCH($B15,'6-คาน เหล็กเสริม'!$A:$A,0))*(F15+2*INDEX('6-คาน เหล็กเสริม'!$Q:$Q,MATCH($B15,'6-คาน เหล็กเสริม'!$A:$A,0))*INDEX('6-คาน เหล็กเสริม'!$H:$H,MATCH($B15,'6-คาน เหล็กเสริม'!$A:$A,0))/1000)*INDEX('6-คาน เหล็กเสริม'!$H:$H,MATCH($B15,'6-คาน เหล็กเสริม'!$A:$A,0))^2/162</f>
        <v/>
      </c>
      <c r="P15" s="8">
        <f>INDEX('6-คาน เหล็กเสริม'!$I:$I,MATCH($B15,'6-คาน เหล็กเสริม'!$A:$A,0))*2*(0.3*G15+INDEX('6-คาน เหล็กเสริม'!$Q:$Q,MATCH($B15,'6-คาน เหล็กเสริม'!$A:$A,0))*INDEX('6-คาน เหล็กเสริม'!$J:$J,MATCH($B15,'6-คาน เหล็กเสริม'!$A:$A,0))/1000)*INDEX('6-คาน เหล็กเสริม'!$J:$J,MATCH($B15,'6-คาน เหล็กเสริม'!$A:$A,0))^2/162+INDEX('6-คาน เหล็กเสริม'!$K:$K,MATCH($B15,'6-คาน เหล็กเสริม'!$A:$A,0))*0.7*G15*INDEX('6-คาน เหล็กเสริม'!$L:$L,MATCH($B15,'6-คาน เหล็กเสริม'!$A:$A,0))^2/162</f>
        <v/>
      </c>
      <c r="Q15" s="8">
        <f>R15*(2*(H15+I15)-8*INDEX('6-คาน เหล็กเสริม'!$P:$P,MATCH($B15,'6-คาน เหล็กเสริม'!$A:$A,0))+24*INDEX('6-คาน เหล็กเสริม'!$M:$M,MATCH($B15,'6-คาน เหล็กเสริม'!$A:$A,0))/1000)*INDEX('6-คาน เหล็กเสริม'!$M:$M,MATCH($B15,'6-คาน เหล็กเสริม'!$A:$A,0))^2/162</f>
        <v/>
      </c>
      <c r="R15" s="8">
        <f>IF(INDEX('6-คาน เหล็กเสริม'!$M:$M,MATCH($B15,'6-คาน เหล็กเสริม'!$A:$A,0))=0,0,2*ROUNDUP(G15/4/INDEX('6-คาน เหล็กเสริม'!$N:$N,MATCH($B15,'6-คาน เหล็กเสริม'!$A:$A,0)),0)+ROUNDUP(G15/2/INDEX('6-คาน เหล็กเสริม'!$O:$O,MATCH($B15,'6-คาน เหล็กเสริม'!$A:$A,0)),0)+1)</f>
        <v/>
      </c>
      <c r="S15" s="8">
        <f>SUM(N15:Q15)</f>
        <v/>
      </c>
      <c r="T15" s="8" t="inlineStr">
        <is>
          <t>แบบ</t>
        </is>
      </c>
    </row>
    <row r="16">
      <c r="A16" s="8" t="inlineStr">
        <is>
          <t>B1-013</t>
        </is>
      </c>
      <c r="B16" s="8" t="inlineStr">
        <is>
          <t>B1</t>
        </is>
      </c>
      <c r="C16" s="8" t="inlineStr">
        <is>
          <t>แนว 11</t>
        </is>
      </c>
      <c r="D16" s="8" t="inlineStr">
        <is>
          <t>11/A</t>
        </is>
      </c>
      <c r="E16" s="8" t="inlineStr">
        <is>
          <t>11/B</t>
        </is>
      </c>
      <c r="F16" s="9" t="n">
        <v>6</v>
      </c>
      <c r="G16" s="9" t="n">
        <v>5.7</v>
      </c>
      <c r="H16" s="9" t="n">
        <v>0.2</v>
      </c>
      <c r="I16" s="9" t="n">
        <v>0.6</v>
      </c>
      <c r="J16" s="9" t="n">
        <v>0.5</v>
      </c>
      <c r="K16" s="9" t="n">
        <v>-0.1</v>
      </c>
      <c r="L16" s="8">
        <f>H16*I16*G16</f>
        <v/>
      </c>
      <c r="M16" s="8">
        <f>(2*I16+H16)*G16</f>
        <v/>
      </c>
      <c r="N16" s="8">
        <f>INDEX('6-คาน เหล็กเสริม'!$E:$E,MATCH($B16,'6-คาน เหล็กเสริม'!$A:$A,0))*(F16+2*INDEX('6-คาน เหล็กเสริม'!$Q:$Q,MATCH($B16,'6-คาน เหล็กเสริม'!$A:$A,0))*INDEX('6-คาน เหล็กเสริม'!$F:$F,MATCH($B16,'6-คาน เหล็กเสริม'!$A:$A,0))/1000)*INDEX('6-คาน เหล็กเสริม'!$F:$F,MATCH($B16,'6-คาน เหล็กเสริม'!$A:$A,0))^2/162</f>
        <v/>
      </c>
      <c r="O16" s="8">
        <f>INDEX('6-คาน เหล็กเสริม'!$G:$G,MATCH($B16,'6-คาน เหล็กเสริม'!$A:$A,0))*(F16+2*INDEX('6-คาน เหล็กเสริม'!$Q:$Q,MATCH($B16,'6-คาน เหล็กเสริม'!$A:$A,0))*INDEX('6-คาน เหล็กเสริม'!$H:$H,MATCH($B16,'6-คาน เหล็กเสริม'!$A:$A,0))/1000)*INDEX('6-คาน เหล็กเสริม'!$H:$H,MATCH($B16,'6-คาน เหล็กเสริม'!$A:$A,0))^2/162</f>
        <v/>
      </c>
      <c r="P16" s="8">
        <f>INDEX('6-คาน เหล็กเสริม'!$I:$I,MATCH($B16,'6-คาน เหล็กเสริม'!$A:$A,0))*2*(0.3*G16+INDEX('6-คาน เหล็กเสริม'!$Q:$Q,MATCH($B16,'6-คาน เหล็กเสริม'!$A:$A,0))*INDEX('6-คาน เหล็กเสริม'!$J:$J,MATCH($B16,'6-คาน เหล็กเสริม'!$A:$A,0))/1000)*INDEX('6-คาน เหล็กเสริม'!$J:$J,MATCH($B16,'6-คาน เหล็กเสริม'!$A:$A,0))^2/162+INDEX('6-คาน เหล็กเสริม'!$K:$K,MATCH($B16,'6-คาน เหล็กเสริม'!$A:$A,0))*0.7*G16*INDEX('6-คาน เหล็กเสริม'!$L:$L,MATCH($B16,'6-คาน เหล็กเสริม'!$A:$A,0))^2/162</f>
        <v/>
      </c>
      <c r="Q16" s="8">
        <f>R16*(2*(H16+I16)-8*INDEX('6-คาน เหล็กเสริม'!$P:$P,MATCH($B16,'6-คาน เหล็กเสริม'!$A:$A,0))+24*INDEX('6-คาน เหล็กเสริม'!$M:$M,MATCH($B16,'6-คาน เหล็กเสริม'!$A:$A,0))/1000)*INDEX('6-คาน เหล็กเสริม'!$M:$M,MATCH($B16,'6-คาน เหล็กเสริม'!$A:$A,0))^2/162</f>
        <v/>
      </c>
      <c r="R16" s="8">
        <f>IF(INDEX('6-คาน เหล็กเสริม'!$M:$M,MATCH($B16,'6-คาน เหล็กเสริม'!$A:$A,0))=0,0,2*ROUNDUP(G16/4/INDEX('6-คาน เหล็กเสริม'!$N:$N,MATCH($B16,'6-คาน เหล็กเสริม'!$A:$A,0)),0)+ROUNDUP(G16/2/INDEX('6-คาน เหล็กเสริม'!$O:$O,MATCH($B16,'6-คาน เหล็กเสริม'!$A:$A,0)),0)+1)</f>
        <v/>
      </c>
      <c r="S16" s="8">
        <f>SUM(N16:Q16)</f>
        <v/>
      </c>
      <c r="T16" s="8" t="inlineStr">
        <is>
          <t>แบบ</t>
        </is>
      </c>
    </row>
    <row r="17">
      <c r="A17" s="8" t="inlineStr">
        <is>
          <t>B1-014</t>
        </is>
      </c>
      <c r="B17" s="8" t="inlineStr">
        <is>
          <t>B1</t>
        </is>
      </c>
      <c r="C17" s="8" t="inlineStr">
        <is>
          <t>แนว 1</t>
        </is>
      </c>
      <c r="D17" s="8" t="inlineStr">
        <is>
          <t>1/B</t>
        </is>
      </c>
      <c r="E17" s="8" t="inlineStr">
        <is>
          <t>1/C</t>
        </is>
      </c>
      <c r="F17" s="9" t="n">
        <v>6</v>
      </c>
      <c r="G17" s="9" t="n">
        <v>5.7</v>
      </c>
      <c r="H17" s="9" t="n">
        <v>0.2</v>
      </c>
      <c r="I17" s="9" t="n">
        <v>0.6</v>
      </c>
      <c r="J17" s="9" t="n">
        <v>0.5</v>
      </c>
      <c r="K17" s="9" t="n">
        <v>-0.1</v>
      </c>
      <c r="L17" s="8">
        <f>H17*I17*G17</f>
        <v/>
      </c>
      <c r="M17" s="8">
        <f>(2*I17+H17)*G17</f>
        <v/>
      </c>
      <c r="N17" s="8">
        <f>INDEX('6-คาน เหล็กเสริม'!$E:$E,MATCH($B17,'6-คาน เหล็กเสริม'!$A:$A,0))*(F17+2*INDEX('6-คาน เหล็กเสริม'!$Q:$Q,MATCH($B17,'6-คาน เหล็กเสริม'!$A:$A,0))*INDEX('6-คาน เหล็กเสริม'!$F:$F,MATCH($B17,'6-คาน เหล็กเสริม'!$A:$A,0))/1000)*INDEX('6-คาน เหล็กเสริม'!$F:$F,MATCH($B17,'6-คาน เหล็กเสริม'!$A:$A,0))^2/162</f>
        <v/>
      </c>
      <c r="O17" s="8">
        <f>INDEX('6-คาน เหล็กเสริม'!$G:$G,MATCH($B17,'6-คาน เหล็กเสริม'!$A:$A,0))*(F17+2*INDEX('6-คาน เหล็กเสริม'!$Q:$Q,MATCH($B17,'6-คาน เหล็กเสริม'!$A:$A,0))*INDEX('6-คาน เหล็กเสริม'!$H:$H,MATCH($B17,'6-คาน เหล็กเสริม'!$A:$A,0))/1000)*INDEX('6-คาน เหล็กเสริม'!$H:$H,MATCH($B17,'6-คาน เหล็กเสริม'!$A:$A,0))^2/162</f>
        <v/>
      </c>
      <c r="P17" s="8">
        <f>INDEX('6-คาน เหล็กเสริม'!$I:$I,MATCH($B17,'6-คาน เหล็กเสริม'!$A:$A,0))*2*(0.3*G17+INDEX('6-คาน เหล็กเสริม'!$Q:$Q,MATCH($B17,'6-คาน เหล็กเสริม'!$A:$A,0))*INDEX('6-คาน เหล็กเสริม'!$J:$J,MATCH($B17,'6-คาน เหล็กเสริม'!$A:$A,0))/1000)*INDEX('6-คาน เหล็กเสริม'!$J:$J,MATCH($B17,'6-คาน เหล็กเสริม'!$A:$A,0))^2/162+INDEX('6-คาน เหล็กเสริม'!$K:$K,MATCH($B17,'6-คาน เหล็กเสริม'!$A:$A,0))*0.7*G17*INDEX('6-คาน เหล็กเสริม'!$L:$L,MATCH($B17,'6-คาน เหล็กเสริม'!$A:$A,0))^2/162</f>
        <v/>
      </c>
      <c r="Q17" s="8">
        <f>R17*(2*(H17+I17)-8*INDEX('6-คาน เหล็กเสริม'!$P:$P,MATCH($B17,'6-คาน เหล็กเสริม'!$A:$A,0))+24*INDEX('6-คาน เหล็กเสริม'!$M:$M,MATCH($B17,'6-คาน เหล็กเสริม'!$A:$A,0))/1000)*INDEX('6-คาน เหล็กเสริม'!$M:$M,MATCH($B17,'6-คาน เหล็กเสริม'!$A:$A,0))^2/162</f>
        <v/>
      </c>
      <c r="R17" s="8">
        <f>IF(INDEX('6-คาน เหล็กเสริม'!$M:$M,MATCH($B17,'6-คาน เหล็กเสริม'!$A:$A,0))=0,0,2*ROUNDUP(G17/4/INDEX('6-คาน เหล็กเสริม'!$N:$N,MATCH($B17,'6-คาน เหล็กเสริม'!$A:$A,0)),0)+ROUNDUP(G17/2/INDEX('6-คาน เหล็กเสริม'!$O:$O,MATCH($B17,'6-คาน เหล็กเสริม'!$A:$A,0)),0)+1)</f>
        <v/>
      </c>
      <c r="S17" s="8">
        <f>SUM(N17:Q17)</f>
        <v/>
      </c>
      <c r="T17" s="8" t="inlineStr">
        <is>
          <t>แบบ</t>
        </is>
      </c>
    </row>
    <row r="18">
      <c r="A18" s="8" t="inlineStr">
        <is>
          <t>B1-015</t>
        </is>
      </c>
      <c r="B18" s="8" t="inlineStr">
        <is>
          <t>B1</t>
        </is>
      </c>
      <c r="C18" s="8" t="inlineStr">
        <is>
          <t>แนว 6</t>
        </is>
      </c>
      <c r="D18" s="8" t="inlineStr">
        <is>
          <t>6/B</t>
        </is>
      </c>
      <c r="E18" s="8" t="inlineStr">
        <is>
          <t>6/C</t>
        </is>
      </c>
      <c r="F18" s="9" t="n">
        <v>6</v>
      </c>
      <c r="G18" s="9" t="n">
        <v>5.7</v>
      </c>
      <c r="H18" s="9" t="n">
        <v>0.2</v>
      </c>
      <c r="I18" s="9" t="n">
        <v>0.6</v>
      </c>
      <c r="J18" s="9" t="n">
        <v>0.5</v>
      </c>
      <c r="K18" s="9" t="n">
        <v>-0.1</v>
      </c>
      <c r="L18" s="8">
        <f>H18*I18*G18</f>
        <v/>
      </c>
      <c r="M18" s="8">
        <f>(2*I18+H18)*G18</f>
        <v/>
      </c>
      <c r="N18" s="8">
        <f>INDEX('6-คาน เหล็กเสริม'!$E:$E,MATCH($B18,'6-คาน เหล็กเสริม'!$A:$A,0))*(F18+2*INDEX('6-คาน เหล็กเสริม'!$Q:$Q,MATCH($B18,'6-คาน เหล็กเสริม'!$A:$A,0))*INDEX('6-คาน เหล็กเสริม'!$F:$F,MATCH($B18,'6-คาน เหล็กเสริม'!$A:$A,0))/1000)*INDEX('6-คาน เหล็กเสริม'!$F:$F,MATCH($B18,'6-คาน เหล็กเสริม'!$A:$A,0))^2/162</f>
        <v/>
      </c>
      <c r="O18" s="8">
        <f>INDEX('6-คาน เหล็กเสริม'!$G:$G,MATCH($B18,'6-คาน เหล็กเสริม'!$A:$A,0))*(F18+2*INDEX('6-คาน เหล็กเสริม'!$Q:$Q,MATCH($B18,'6-คาน เหล็กเสริม'!$A:$A,0))*INDEX('6-คาน เหล็กเสริม'!$H:$H,MATCH($B18,'6-คาน เหล็กเสริม'!$A:$A,0))/1000)*INDEX('6-คาน เหล็กเสริม'!$H:$H,MATCH($B18,'6-คาน เหล็กเสริม'!$A:$A,0))^2/162</f>
        <v/>
      </c>
      <c r="P18" s="8">
        <f>INDEX('6-คาน เหล็กเสริม'!$I:$I,MATCH($B18,'6-คาน เหล็กเสริม'!$A:$A,0))*2*(0.3*G18+INDEX('6-คาน เหล็กเสริม'!$Q:$Q,MATCH($B18,'6-คาน เหล็กเสริม'!$A:$A,0))*INDEX('6-คาน เหล็กเสริม'!$J:$J,MATCH($B18,'6-คาน เหล็กเสริม'!$A:$A,0))/1000)*INDEX('6-คาน เหล็กเสริม'!$J:$J,MATCH($B18,'6-คาน เหล็กเสริม'!$A:$A,0))^2/162+INDEX('6-คาน เหล็กเสริม'!$K:$K,MATCH($B18,'6-คาน เหล็กเสริม'!$A:$A,0))*0.7*G18*INDEX('6-คาน เหล็กเสริม'!$L:$L,MATCH($B18,'6-คาน เหล็กเสริม'!$A:$A,0))^2/162</f>
        <v/>
      </c>
      <c r="Q18" s="8">
        <f>R18*(2*(H18+I18)-8*INDEX('6-คาน เหล็กเสริม'!$P:$P,MATCH($B18,'6-คาน เหล็กเสริม'!$A:$A,0))+24*INDEX('6-คาน เหล็กเสริม'!$M:$M,MATCH($B18,'6-คาน เหล็กเสริม'!$A:$A,0))/1000)*INDEX('6-คาน เหล็กเสริม'!$M:$M,MATCH($B18,'6-คาน เหล็กเสริม'!$A:$A,0))^2/162</f>
        <v/>
      </c>
      <c r="R18" s="8">
        <f>IF(INDEX('6-คาน เหล็กเสริม'!$M:$M,MATCH($B18,'6-คาน เหล็กเสริม'!$A:$A,0))=0,0,2*ROUNDUP(G18/4/INDEX('6-คาน เหล็กเสริม'!$N:$N,MATCH($B18,'6-คาน เหล็กเสริม'!$A:$A,0)),0)+ROUNDUP(G18/2/INDEX('6-คาน เหล็กเสริม'!$O:$O,MATCH($B18,'6-คาน เหล็กเสริม'!$A:$A,0)),0)+1)</f>
        <v/>
      </c>
      <c r="S18" s="8">
        <f>SUM(N18:Q18)</f>
        <v/>
      </c>
      <c r="T18" s="8" t="inlineStr">
        <is>
          <t>แบบ</t>
        </is>
      </c>
    </row>
    <row r="19">
      <c r="A19" s="8" t="inlineStr">
        <is>
          <t>B1-016</t>
        </is>
      </c>
      <c r="B19" s="8" t="inlineStr">
        <is>
          <t>B1</t>
        </is>
      </c>
      <c r="C19" s="8" t="inlineStr">
        <is>
          <t>แนว 11</t>
        </is>
      </c>
      <c r="D19" s="8" t="inlineStr">
        <is>
          <t>11/B</t>
        </is>
      </c>
      <c r="E19" s="8" t="inlineStr">
        <is>
          <t>11/C</t>
        </is>
      </c>
      <c r="F19" s="9" t="n">
        <v>6</v>
      </c>
      <c r="G19" s="9" t="n">
        <v>5.7</v>
      </c>
      <c r="H19" s="9" t="n">
        <v>0.2</v>
      </c>
      <c r="I19" s="9" t="n">
        <v>0.6</v>
      </c>
      <c r="J19" s="9" t="n">
        <v>0.5</v>
      </c>
      <c r="K19" s="9" t="n">
        <v>-0.1</v>
      </c>
      <c r="L19" s="8">
        <f>H19*I19*G19</f>
        <v/>
      </c>
      <c r="M19" s="8">
        <f>(2*I19+H19)*G19</f>
        <v/>
      </c>
      <c r="N19" s="8">
        <f>INDEX('6-คาน เหล็กเสริม'!$E:$E,MATCH($B19,'6-คาน เหล็กเสริม'!$A:$A,0))*(F19+2*INDEX('6-คาน เหล็กเสริม'!$Q:$Q,MATCH($B19,'6-คาน เหล็กเสริม'!$A:$A,0))*INDEX('6-คาน เหล็กเสริม'!$F:$F,MATCH($B19,'6-คาน เหล็กเสริม'!$A:$A,0))/1000)*INDEX('6-คาน เหล็กเสริม'!$F:$F,MATCH($B19,'6-คาน เหล็กเสริม'!$A:$A,0))^2/162</f>
        <v/>
      </c>
      <c r="O19" s="8">
        <f>INDEX('6-คาน เหล็กเสริม'!$G:$G,MATCH($B19,'6-คาน เหล็กเสริม'!$A:$A,0))*(F19+2*INDEX('6-คาน เหล็กเสริม'!$Q:$Q,MATCH($B19,'6-คาน เหล็กเสริม'!$A:$A,0))*INDEX('6-คาน เหล็กเสริม'!$H:$H,MATCH($B19,'6-คาน เหล็กเสริม'!$A:$A,0))/1000)*INDEX('6-คาน เหล็กเสริม'!$H:$H,MATCH($B19,'6-คาน เหล็กเสริม'!$A:$A,0))^2/162</f>
        <v/>
      </c>
      <c r="P19" s="8">
        <f>INDEX('6-คาน เหล็กเสริม'!$I:$I,MATCH($B19,'6-คาน เหล็กเสริม'!$A:$A,0))*2*(0.3*G19+INDEX('6-คาน เหล็กเสริม'!$Q:$Q,MATCH($B19,'6-คาน เหล็กเสริม'!$A:$A,0))*INDEX('6-คาน เหล็กเสริม'!$J:$J,MATCH($B19,'6-คาน เหล็กเสริม'!$A:$A,0))/1000)*INDEX('6-คาน เหล็กเสริม'!$J:$J,MATCH($B19,'6-คาน เหล็กเสริม'!$A:$A,0))^2/162+INDEX('6-คาน เหล็กเสริม'!$K:$K,MATCH($B19,'6-คาน เหล็กเสริม'!$A:$A,0))*0.7*G19*INDEX('6-คาน เหล็กเสริม'!$L:$L,MATCH($B19,'6-คาน เหล็กเสริม'!$A:$A,0))^2/162</f>
        <v/>
      </c>
      <c r="Q19" s="8">
        <f>R19*(2*(H19+I19)-8*INDEX('6-คาน เหล็กเสริม'!$P:$P,MATCH($B19,'6-คาน เหล็กเสริม'!$A:$A,0))+24*INDEX('6-คาน เหล็กเสริม'!$M:$M,MATCH($B19,'6-คาน เหล็กเสริม'!$A:$A,0))/1000)*INDEX('6-คาน เหล็กเสริม'!$M:$M,MATCH($B19,'6-คาน เหล็กเสริม'!$A:$A,0))^2/162</f>
        <v/>
      </c>
      <c r="R19" s="8">
        <f>IF(INDEX('6-คาน เหล็กเสริม'!$M:$M,MATCH($B19,'6-คาน เหล็กเสริม'!$A:$A,0))=0,0,2*ROUNDUP(G19/4/INDEX('6-คาน เหล็กเสริม'!$N:$N,MATCH($B19,'6-คาน เหล็กเสริม'!$A:$A,0)),0)+ROUNDUP(G19/2/INDEX('6-คาน เหล็กเสริม'!$O:$O,MATCH($B19,'6-คาน เหล็กเสริม'!$A:$A,0)),0)+1)</f>
        <v/>
      </c>
      <c r="S19" s="8">
        <f>SUM(N19:Q19)</f>
        <v/>
      </c>
      <c r="T19" s="8" t="inlineStr">
        <is>
          <t>แบบ</t>
        </is>
      </c>
    </row>
    <row r="20">
      <c r="A20" s="8" t="inlineStr">
        <is>
          <t>B1-017</t>
        </is>
      </c>
      <c r="B20" s="8" t="inlineStr">
        <is>
          <t>B1</t>
        </is>
      </c>
      <c r="C20" s="8" t="inlineStr">
        <is>
          <t>แนว 1</t>
        </is>
      </c>
      <c r="D20" s="8" t="inlineStr">
        <is>
          <t>1/C</t>
        </is>
      </c>
      <c r="E20" s="8" t="inlineStr">
        <is>
          <t>1/D</t>
        </is>
      </c>
      <c r="F20" s="9" t="n">
        <v>6</v>
      </c>
      <c r="G20" s="9" t="n">
        <v>5.7</v>
      </c>
      <c r="H20" s="9" t="n">
        <v>0.2</v>
      </c>
      <c r="I20" s="9" t="n">
        <v>0.6</v>
      </c>
      <c r="J20" s="9" t="n">
        <v>0.5</v>
      </c>
      <c r="K20" s="9" t="n">
        <v>-0.1</v>
      </c>
      <c r="L20" s="8">
        <f>H20*I20*G20</f>
        <v/>
      </c>
      <c r="M20" s="8">
        <f>(2*I20+H20)*G20</f>
        <v/>
      </c>
      <c r="N20" s="8">
        <f>INDEX('6-คาน เหล็กเสริม'!$E:$E,MATCH($B20,'6-คาน เหล็กเสริม'!$A:$A,0))*(F20+2*INDEX('6-คาน เหล็กเสริม'!$Q:$Q,MATCH($B20,'6-คาน เหล็กเสริม'!$A:$A,0))*INDEX('6-คาน เหล็กเสริม'!$F:$F,MATCH($B20,'6-คาน เหล็กเสริม'!$A:$A,0))/1000)*INDEX('6-คาน เหล็กเสริม'!$F:$F,MATCH($B20,'6-คาน เหล็กเสริม'!$A:$A,0))^2/162</f>
        <v/>
      </c>
      <c r="O20" s="8">
        <f>INDEX('6-คาน เหล็กเสริม'!$G:$G,MATCH($B20,'6-คาน เหล็กเสริม'!$A:$A,0))*(F20+2*INDEX('6-คาน เหล็กเสริม'!$Q:$Q,MATCH($B20,'6-คาน เหล็กเสริม'!$A:$A,0))*INDEX('6-คาน เหล็กเสริม'!$H:$H,MATCH($B20,'6-คาน เหล็กเสริม'!$A:$A,0))/1000)*INDEX('6-คาน เหล็กเสริม'!$H:$H,MATCH($B20,'6-คาน เหล็กเสริม'!$A:$A,0))^2/162</f>
        <v/>
      </c>
      <c r="P20" s="8">
        <f>INDEX('6-คาน เหล็กเสริม'!$I:$I,MATCH($B20,'6-คาน เหล็กเสริม'!$A:$A,0))*2*(0.3*G20+INDEX('6-คาน เหล็กเสริม'!$Q:$Q,MATCH($B20,'6-คาน เหล็กเสริม'!$A:$A,0))*INDEX('6-คาน เหล็กเสริม'!$J:$J,MATCH($B20,'6-คาน เหล็กเสริม'!$A:$A,0))/1000)*INDEX('6-คาน เหล็กเสริม'!$J:$J,MATCH($B20,'6-คาน เหล็กเสริม'!$A:$A,0))^2/162+INDEX('6-คาน เหล็กเสริม'!$K:$K,MATCH($B20,'6-คาน เหล็กเสริม'!$A:$A,0))*0.7*G20*INDEX('6-คาน เหล็กเสริม'!$L:$L,MATCH($B20,'6-คาน เหล็กเสริม'!$A:$A,0))^2/162</f>
        <v/>
      </c>
      <c r="Q20" s="8">
        <f>R20*(2*(H20+I20)-8*INDEX('6-คาน เหล็กเสริม'!$P:$P,MATCH($B20,'6-คาน เหล็กเสริม'!$A:$A,0))+24*INDEX('6-คาน เหล็กเสริม'!$M:$M,MATCH($B20,'6-คาน เหล็กเสริม'!$A:$A,0))/1000)*INDEX('6-คาน เหล็กเสริม'!$M:$M,MATCH($B20,'6-คาน เหล็กเสริม'!$A:$A,0))^2/162</f>
        <v/>
      </c>
      <c r="R20" s="8">
        <f>IF(INDEX('6-คาน เหล็กเสริม'!$M:$M,MATCH($B20,'6-คาน เหล็กเสริม'!$A:$A,0))=0,0,2*ROUNDUP(G20/4/INDEX('6-คาน เหล็กเสริม'!$N:$N,MATCH($B20,'6-คาน เหล็กเสริม'!$A:$A,0)),0)+ROUNDUP(G20/2/INDEX('6-คาน เหล็กเสริม'!$O:$O,MATCH($B20,'6-คาน เหล็กเสริม'!$A:$A,0)),0)+1)</f>
        <v/>
      </c>
      <c r="S20" s="8">
        <f>SUM(N20:Q20)</f>
        <v/>
      </c>
      <c r="T20" s="8" t="inlineStr">
        <is>
          <t>แบบ</t>
        </is>
      </c>
    </row>
    <row r="21">
      <c r="A21" s="8" t="inlineStr">
        <is>
          <t>B1-018</t>
        </is>
      </c>
      <c r="B21" s="8" t="inlineStr">
        <is>
          <t>B1</t>
        </is>
      </c>
      <c r="C21" s="8" t="inlineStr">
        <is>
          <t>แนว 6</t>
        </is>
      </c>
      <c r="D21" s="8" t="inlineStr">
        <is>
          <t>6/C</t>
        </is>
      </c>
      <c r="E21" s="8" t="inlineStr">
        <is>
          <t>6/D</t>
        </is>
      </c>
      <c r="F21" s="9" t="n">
        <v>6</v>
      </c>
      <c r="G21" s="9" t="n">
        <v>5.7</v>
      </c>
      <c r="H21" s="9" t="n">
        <v>0.2</v>
      </c>
      <c r="I21" s="9" t="n">
        <v>0.6</v>
      </c>
      <c r="J21" s="9" t="n">
        <v>0.5</v>
      </c>
      <c r="K21" s="9" t="n">
        <v>-0.1</v>
      </c>
      <c r="L21" s="8">
        <f>H21*I21*G21</f>
        <v/>
      </c>
      <c r="M21" s="8">
        <f>(2*I21+H21)*G21</f>
        <v/>
      </c>
      <c r="N21" s="8">
        <f>INDEX('6-คาน เหล็กเสริม'!$E:$E,MATCH($B21,'6-คาน เหล็กเสริม'!$A:$A,0))*(F21+2*INDEX('6-คาน เหล็กเสริม'!$Q:$Q,MATCH($B21,'6-คาน เหล็กเสริม'!$A:$A,0))*INDEX('6-คาน เหล็กเสริม'!$F:$F,MATCH($B21,'6-คาน เหล็กเสริม'!$A:$A,0))/1000)*INDEX('6-คาน เหล็กเสริม'!$F:$F,MATCH($B21,'6-คาน เหล็กเสริม'!$A:$A,0))^2/162</f>
        <v/>
      </c>
      <c r="O21" s="8">
        <f>INDEX('6-คาน เหล็กเสริม'!$G:$G,MATCH($B21,'6-คาน เหล็กเสริม'!$A:$A,0))*(F21+2*INDEX('6-คาน เหล็กเสริม'!$Q:$Q,MATCH($B21,'6-คาน เหล็กเสริม'!$A:$A,0))*INDEX('6-คาน เหล็กเสริม'!$H:$H,MATCH($B21,'6-คาน เหล็กเสริม'!$A:$A,0))/1000)*INDEX('6-คาน เหล็กเสริม'!$H:$H,MATCH($B21,'6-คาน เหล็กเสริม'!$A:$A,0))^2/162</f>
        <v/>
      </c>
      <c r="P21" s="8">
        <f>INDEX('6-คาน เหล็กเสริม'!$I:$I,MATCH($B21,'6-คาน เหล็กเสริม'!$A:$A,0))*2*(0.3*G21+INDEX('6-คาน เหล็กเสริม'!$Q:$Q,MATCH($B21,'6-คาน เหล็กเสริม'!$A:$A,0))*INDEX('6-คาน เหล็กเสริม'!$J:$J,MATCH($B21,'6-คาน เหล็กเสริม'!$A:$A,0))/1000)*INDEX('6-คาน เหล็กเสริม'!$J:$J,MATCH($B21,'6-คาน เหล็กเสริม'!$A:$A,0))^2/162+INDEX('6-คาน เหล็กเสริม'!$K:$K,MATCH($B21,'6-คาน เหล็กเสริม'!$A:$A,0))*0.7*G21*INDEX('6-คาน เหล็กเสริม'!$L:$L,MATCH($B21,'6-คาน เหล็กเสริม'!$A:$A,0))^2/162</f>
        <v/>
      </c>
      <c r="Q21" s="8">
        <f>R21*(2*(H21+I21)-8*INDEX('6-คาน เหล็กเสริม'!$P:$P,MATCH($B21,'6-คาน เหล็กเสริม'!$A:$A,0))+24*INDEX('6-คาน เหล็กเสริม'!$M:$M,MATCH($B21,'6-คาน เหล็กเสริม'!$A:$A,0))/1000)*INDEX('6-คาน เหล็กเสริม'!$M:$M,MATCH($B21,'6-คาน เหล็กเสริม'!$A:$A,0))^2/162</f>
        <v/>
      </c>
      <c r="R21" s="8">
        <f>IF(INDEX('6-คาน เหล็กเสริม'!$M:$M,MATCH($B21,'6-คาน เหล็กเสริม'!$A:$A,0))=0,0,2*ROUNDUP(G21/4/INDEX('6-คาน เหล็กเสริม'!$N:$N,MATCH($B21,'6-คาน เหล็กเสริม'!$A:$A,0)),0)+ROUNDUP(G21/2/INDEX('6-คาน เหล็กเสริม'!$O:$O,MATCH($B21,'6-คาน เหล็กเสริม'!$A:$A,0)),0)+1)</f>
        <v/>
      </c>
      <c r="S21" s="8">
        <f>SUM(N21:Q21)</f>
        <v/>
      </c>
      <c r="T21" s="8" t="inlineStr">
        <is>
          <t>แบบ</t>
        </is>
      </c>
    </row>
    <row r="22">
      <c r="A22" s="8" t="inlineStr">
        <is>
          <t>B1-019</t>
        </is>
      </c>
      <c r="B22" s="8" t="inlineStr">
        <is>
          <t>B1</t>
        </is>
      </c>
      <c r="C22" s="8" t="inlineStr">
        <is>
          <t>แนว 11</t>
        </is>
      </c>
      <c r="D22" s="8" t="inlineStr">
        <is>
          <t>11/C</t>
        </is>
      </c>
      <c r="E22" s="8" t="inlineStr">
        <is>
          <t>11/D</t>
        </is>
      </c>
      <c r="F22" s="9" t="n">
        <v>6</v>
      </c>
      <c r="G22" s="9" t="n">
        <v>5.7</v>
      </c>
      <c r="H22" s="9" t="n">
        <v>0.2</v>
      </c>
      <c r="I22" s="9" t="n">
        <v>0.6</v>
      </c>
      <c r="J22" s="9" t="n">
        <v>0.5</v>
      </c>
      <c r="K22" s="9" t="n">
        <v>-0.1</v>
      </c>
      <c r="L22" s="8">
        <f>H22*I22*G22</f>
        <v/>
      </c>
      <c r="M22" s="8">
        <f>(2*I22+H22)*G22</f>
        <v/>
      </c>
      <c r="N22" s="8">
        <f>INDEX('6-คาน เหล็กเสริม'!$E:$E,MATCH($B22,'6-คาน เหล็กเสริม'!$A:$A,0))*(F22+2*INDEX('6-คาน เหล็กเสริม'!$Q:$Q,MATCH($B22,'6-คาน เหล็กเสริม'!$A:$A,0))*INDEX('6-คาน เหล็กเสริม'!$F:$F,MATCH($B22,'6-คาน เหล็กเสริม'!$A:$A,0))/1000)*INDEX('6-คาน เหล็กเสริม'!$F:$F,MATCH($B22,'6-คาน เหล็กเสริม'!$A:$A,0))^2/162</f>
        <v/>
      </c>
      <c r="O22" s="8">
        <f>INDEX('6-คาน เหล็กเสริม'!$G:$G,MATCH($B22,'6-คาน เหล็กเสริม'!$A:$A,0))*(F22+2*INDEX('6-คาน เหล็กเสริม'!$Q:$Q,MATCH($B22,'6-คาน เหล็กเสริม'!$A:$A,0))*INDEX('6-คาน เหล็กเสริม'!$H:$H,MATCH($B22,'6-คาน เหล็กเสริม'!$A:$A,0))/1000)*INDEX('6-คาน เหล็กเสริม'!$H:$H,MATCH($B22,'6-คาน เหล็กเสริม'!$A:$A,0))^2/162</f>
        <v/>
      </c>
      <c r="P22" s="8">
        <f>INDEX('6-คาน เหล็กเสริม'!$I:$I,MATCH($B22,'6-คาน เหล็กเสริม'!$A:$A,0))*2*(0.3*G22+INDEX('6-คาน เหล็กเสริม'!$Q:$Q,MATCH($B22,'6-คาน เหล็กเสริม'!$A:$A,0))*INDEX('6-คาน เหล็กเสริม'!$J:$J,MATCH($B22,'6-คาน เหล็กเสริม'!$A:$A,0))/1000)*INDEX('6-คาน เหล็กเสริม'!$J:$J,MATCH($B22,'6-คาน เหล็กเสริม'!$A:$A,0))^2/162+INDEX('6-คาน เหล็กเสริม'!$K:$K,MATCH($B22,'6-คาน เหล็กเสริม'!$A:$A,0))*0.7*G22*INDEX('6-คาน เหล็กเสริม'!$L:$L,MATCH($B22,'6-คาน เหล็กเสริม'!$A:$A,0))^2/162</f>
        <v/>
      </c>
      <c r="Q22" s="8">
        <f>R22*(2*(H22+I22)-8*INDEX('6-คาน เหล็กเสริม'!$P:$P,MATCH($B22,'6-คาน เหล็กเสริม'!$A:$A,0))+24*INDEX('6-คาน เหล็กเสริม'!$M:$M,MATCH($B22,'6-คาน เหล็กเสริม'!$A:$A,0))/1000)*INDEX('6-คาน เหล็กเสริม'!$M:$M,MATCH($B22,'6-คาน เหล็กเสริม'!$A:$A,0))^2/162</f>
        <v/>
      </c>
      <c r="R22" s="8">
        <f>IF(INDEX('6-คาน เหล็กเสริม'!$M:$M,MATCH($B22,'6-คาน เหล็กเสริม'!$A:$A,0))=0,0,2*ROUNDUP(G22/4/INDEX('6-คาน เหล็กเสริม'!$N:$N,MATCH($B22,'6-คาน เหล็กเสริม'!$A:$A,0)),0)+ROUNDUP(G22/2/INDEX('6-คาน เหล็กเสริม'!$O:$O,MATCH($B22,'6-คาน เหล็กเสริม'!$A:$A,0)),0)+1)</f>
        <v/>
      </c>
      <c r="S22" s="8">
        <f>SUM(N22:Q22)</f>
        <v/>
      </c>
      <c r="T22" s="8" t="inlineStr">
        <is>
          <t>แบบ</t>
        </is>
      </c>
    </row>
    <row r="23">
      <c r="A23" s="8" t="inlineStr">
        <is>
          <t>B1-020</t>
        </is>
      </c>
      <c r="B23" s="8" t="inlineStr">
        <is>
          <t>B1</t>
        </is>
      </c>
      <c r="C23" s="8" t="inlineStr">
        <is>
          <t>แนว 1</t>
        </is>
      </c>
      <c r="D23" s="8" t="inlineStr">
        <is>
          <t>1/D</t>
        </is>
      </c>
      <c r="E23" s="8" t="inlineStr">
        <is>
          <t>1/E</t>
        </is>
      </c>
      <c r="F23" s="9" t="n">
        <v>6</v>
      </c>
      <c r="G23" s="9" t="n">
        <v>5.7</v>
      </c>
      <c r="H23" s="9" t="n">
        <v>0.2</v>
      </c>
      <c r="I23" s="9" t="n">
        <v>0.6</v>
      </c>
      <c r="J23" s="9" t="n">
        <v>0.5</v>
      </c>
      <c r="K23" s="9" t="n">
        <v>-0.1</v>
      </c>
      <c r="L23" s="8">
        <f>H23*I23*G23</f>
        <v/>
      </c>
      <c r="M23" s="8">
        <f>(2*I23+H23)*G23</f>
        <v/>
      </c>
      <c r="N23" s="8">
        <f>INDEX('6-คาน เหล็กเสริม'!$E:$E,MATCH($B23,'6-คาน เหล็กเสริม'!$A:$A,0))*(F23+2*INDEX('6-คาน เหล็กเสริม'!$Q:$Q,MATCH($B23,'6-คาน เหล็กเสริม'!$A:$A,0))*INDEX('6-คาน เหล็กเสริม'!$F:$F,MATCH($B23,'6-คาน เหล็กเสริม'!$A:$A,0))/1000)*INDEX('6-คาน เหล็กเสริม'!$F:$F,MATCH($B23,'6-คาน เหล็กเสริม'!$A:$A,0))^2/162</f>
        <v/>
      </c>
      <c r="O23" s="8">
        <f>INDEX('6-คาน เหล็กเสริม'!$G:$G,MATCH($B23,'6-คาน เหล็กเสริม'!$A:$A,0))*(F23+2*INDEX('6-คาน เหล็กเสริม'!$Q:$Q,MATCH($B23,'6-คาน เหล็กเสริม'!$A:$A,0))*INDEX('6-คาน เหล็กเสริม'!$H:$H,MATCH($B23,'6-คาน เหล็กเสริม'!$A:$A,0))/1000)*INDEX('6-คาน เหล็กเสริม'!$H:$H,MATCH($B23,'6-คาน เหล็กเสริม'!$A:$A,0))^2/162</f>
        <v/>
      </c>
      <c r="P23" s="8">
        <f>INDEX('6-คาน เหล็กเสริม'!$I:$I,MATCH($B23,'6-คาน เหล็กเสริม'!$A:$A,0))*2*(0.3*G23+INDEX('6-คาน เหล็กเสริม'!$Q:$Q,MATCH($B23,'6-คาน เหล็กเสริม'!$A:$A,0))*INDEX('6-คาน เหล็กเสริม'!$J:$J,MATCH($B23,'6-คาน เหล็กเสริม'!$A:$A,0))/1000)*INDEX('6-คาน เหล็กเสริม'!$J:$J,MATCH($B23,'6-คาน เหล็กเสริม'!$A:$A,0))^2/162+INDEX('6-คาน เหล็กเสริม'!$K:$K,MATCH($B23,'6-คาน เหล็กเสริม'!$A:$A,0))*0.7*G23*INDEX('6-คาน เหล็กเสริม'!$L:$L,MATCH($B23,'6-คาน เหล็กเสริม'!$A:$A,0))^2/162</f>
        <v/>
      </c>
      <c r="Q23" s="8">
        <f>R23*(2*(H23+I23)-8*INDEX('6-คาน เหล็กเสริม'!$P:$P,MATCH($B23,'6-คาน เหล็กเสริม'!$A:$A,0))+24*INDEX('6-คาน เหล็กเสริม'!$M:$M,MATCH($B23,'6-คาน เหล็กเสริม'!$A:$A,0))/1000)*INDEX('6-คาน เหล็กเสริม'!$M:$M,MATCH($B23,'6-คาน เหล็กเสริม'!$A:$A,0))^2/162</f>
        <v/>
      </c>
      <c r="R23" s="8">
        <f>IF(INDEX('6-คาน เหล็กเสริม'!$M:$M,MATCH($B23,'6-คาน เหล็กเสริม'!$A:$A,0))=0,0,2*ROUNDUP(G23/4/INDEX('6-คาน เหล็กเสริม'!$N:$N,MATCH($B23,'6-คาน เหล็กเสริม'!$A:$A,0)),0)+ROUNDUP(G23/2/INDEX('6-คาน เหล็กเสริม'!$O:$O,MATCH($B23,'6-คาน เหล็กเสริม'!$A:$A,0)),0)+1)</f>
        <v/>
      </c>
      <c r="S23" s="8">
        <f>SUM(N23:Q23)</f>
        <v/>
      </c>
      <c r="T23" s="8" t="inlineStr">
        <is>
          <t>แบบ</t>
        </is>
      </c>
    </row>
    <row r="24">
      <c r="A24" s="8" t="inlineStr">
        <is>
          <t>B1-021</t>
        </is>
      </c>
      <c r="B24" s="8" t="inlineStr">
        <is>
          <t>B1</t>
        </is>
      </c>
      <c r="C24" s="8" t="inlineStr">
        <is>
          <t>แนว 6</t>
        </is>
      </c>
      <c r="D24" s="8" t="inlineStr">
        <is>
          <t>6/D</t>
        </is>
      </c>
      <c r="E24" s="8" t="inlineStr">
        <is>
          <t>6/E</t>
        </is>
      </c>
      <c r="F24" s="9" t="n">
        <v>6</v>
      </c>
      <c r="G24" s="9" t="n">
        <v>5.7</v>
      </c>
      <c r="H24" s="9" t="n">
        <v>0.2</v>
      </c>
      <c r="I24" s="9" t="n">
        <v>0.6</v>
      </c>
      <c r="J24" s="9" t="n">
        <v>0.5</v>
      </c>
      <c r="K24" s="9" t="n">
        <v>-0.1</v>
      </c>
      <c r="L24" s="8">
        <f>H24*I24*G24</f>
        <v/>
      </c>
      <c r="M24" s="8">
        <f>(2*I24+H24)*G24</f>
        <v/>
      </c>
      <c r="N24" s="8">
        <f>INDEX('6-คาน เหล็กเสริม'!$E:$E,MATCH($B24,'6-คาน เหล็กเสริม'!$A:$A,0))*(F24+2*INDEX('6-คาน เหล็กเสริม'!$Q:$Q,MATCH($B24,'6-คาน เหล็กเสริม'!$A:$A,0))*INDEX('6-คาน เหล็กเสริม'!$F:$F,MATCH($B24,'6-คาน เหล็กเสริม'!$A:$A,0))/1000)*INDEX('6-คาน เหล็กเสริม'!$F:$F,MATCH($B24,'6-คาน เหล็กเสริม'!$A:$A,0))^2/162</f>
        <v/>
      </c>
      <c r="O24" s="8">
        <f>INDEX('6-คาน เหล็กเสริม'!$G:$G,MATCH($B24,'6-คาน เหล็กเสริม'!$A:$A,0))*(F24+2*INDEX('6-คาน เหล็กเสริม'!$Q:$Q,MATCH($B24,'6-คาน เหล็กเสริม'!$A:$A,0))*INDEX('6-คาน เหล็กเสริม'!$H:$H,MATCH($B24,'6-คาน เหล็กเสริม'!$A:$A,0))/1000)*INDEX('6-คาน เหล็กเสริม'!$H:$H,MATCH($B24,'6-คาน เหล็กเสริม'!$A:$A,0))^2/162</f>
        <v/>
      </c>
      <c r="P24" s="8">
        <f>INDEX('6-คาน เหล็กเสริม'!$I:$I,MATCH($B24,'6-คาน เหล็กเสริม'!$A:$A,0))*2*(0.3*G24+INDEX('6-คาน เหล็กเสริม'!$Q:$Q,MATCH($B24,'6-คาน เหล็กเสริม'!$A:$A,0))*INDEX('6-คาน เหล็กเสริม'!$J:$J,MATCH($B24,'6-คาน เหล็กเสริม'!$A:$A,0))/1000)*INDEX('6-คาน เหล็กเสริม'!$J:$J,MATCH($B24,'6-คาน เหล็กเสริม'!$A:$A,0))^2/162+INDEX('6-คาน เหล็กเสริม'!$K:$K,MATCH($B24,'6-คาน เหล็กเสริม'!$A:$A,0))*0.7*G24*INDEX('6-คาน เหล็กเสริม'!$L:$L,MATCH($B24,'6-คาน เหล็กเสริม'!$A:$A,0))^2/162</f>
        <v/>
      </c>
      <c r="Q24" s="8">
        <f>R24*(2*(H24+I24)-8*INDEX('6-คาน เหล็กเสริม'!$P:$P,MATCH($B24,'6-คาน เหล็กเสริม'!$A:$A,0))+24*INDEX('6-คาน เหล็กเสริม'!$M:$M,MATCH($B24,'6-คาน เหล็กเสริม'!$A:$A,0))/1000)*INDEX('6-คาน เหล็กเสริม'!$M:$M,MATCH($B24,'6-คาน เหล็กเสริม'!$A:$A,0))^2/162</f>
        <v/>
      </c>
      <c r="R24" s="8">
        <f>IF(INDEX('6-คาน เหล็กเสริม'!$M:$M,MATCH($B24,'6-คาน เหล็กเสริม'!$A:$A,0))=0,0,2*ROUNDUP(G24/4/INDEX('6-คาน เหล็กเสริม'!$N:$N,MATCH($B24,'6-คาน เหล็กเสริม'!$A:$A,0)),0)+ROUNDUP(G24/2/INDEX('6-คาน เหล็กเสริม'!$O:$O,MATCH($B24,'6-คาน เหล็กเสริม'!$A:$A,0)),0)+1)</f>
        <v/>
      </c>
      <c r="S24" s="8">
        <f>SUM(N24:Q24)</f>
        <v/>
      </c>
      <c r="T24" s="8" t="inlineStr">
        <is>
          <t>แบบ</t>
        </is>
      </c>
    </row>
    <row r="25">
      <c r="A25" s="8" t="inlineStr">
        <is>
          <t>B1-022</t>
        </is>
      </c>
      <c r="B25" s="8" t="inlineStr">
        <is>
          <t>B1</t>
        </is>
      </c>
      <c r="C25" s="8" t="inlineStr">
        <is>
          <t>แนว 11</t>
        </is>
      </c>
      <c r="D25" s="8" t="inlineStr">
        <is>
          <t>11/D</t>
        </is>
      </c>
      <c r="E25" s="8" t="inlineStr">
        <is>
          <t>11/E</t>
        </is>
      </c>
      <c r="F25" s="9" t="n">
        <v>6</v>
      </c>
      <c r="G25" s="9" t="n">
        <v>5.7</v>
      </c>
      <c r="H25" s="9" t="n">
        <v>0.2</v>
      </c>
      <c r="I25" s="9" t="n">
        <v>0.6</v>
      </c>
      <c r="J25" s="9" t="n">
        <v>0.5</v>
      </c>
      <c r="K25" s="9" t="n">
        <v>-0.1</v>
      </c>
      <c r="L25" s="8">
        <f>H25*I25*G25</f>
        <v/>
      </c>
      <c r="M25" s="8">
        <f>(2*I25+H25)*G25</f>
        <v/>
      </c>
      <c r="N25" s="8">
        <f>INDEX('6-คาน เหล็กเสริม'!$E:$E,MATCH($B25,'6-คาน เหล็กเสริม'!$A:$A,0))*(F25+2*INDEX('6-คาน เหล็กเสริม'!$Q:$Q,MATCH($B25,'6-คาน เหล็กเสริม'!$A:$A,0))*INDEX('6-คาน เหล็กเสริม'!$F:$F,MATCH($B25,'6-คาน เหล็กเสริม'!$A:$A,0))/1000)*INDEX('6-คาน เหล็กเสริม'!$F:$F,MATCH($B25,'6-คาน เหล็กเสริม'!$A:$A,0))^2/162</f>
        <v/>
      </c>
      <c r="O25" s="8">
        <f>INDEX('6-คาน เหล็กเสริม'!$G:$G,MATCH($B25,'6-คาน เหล็กเสริม'!$A:$A,0))*(F25+2*INDEX('6-คาน เหล็กเสริม'!$Q:$Q,MATCH($B25,'6-คาน เหล็กเสริม'!$A:$A,0))*INDEX('6-คาน เหล็กเสริม'!$H:$H,MATCH($B25,'6-คาน เหล็กเสริม'!$A:$A,0))/1000)*INDEX('6-คาน เหล็กเสริม'!$H:$H,MATCH($B25,'6-คาน เหล็กเสริม'!$A:$A,0))^2/162</f>
        <v/>
      </c>
      <c r="P25" s="8">
        <f>INDEX('6-คาน เหล็กเสริม'!$I:$I,MATCH($B25,'6-คาน เหล็กเสริม'!$A:$A,0))*2*(0.3*G25+INDEX('6-คาน เหล็กเสริม'!$Q:$Q,MATCH($B25,'6-คาน เหล็กเสริม'!$A:$A,0))*INDEX('6-คาน เหล็กเสริม'!$J:$J,MATCH($B25,'6-คาน เหล็กเสริม'!$A:$A,0))/1000)*INDEX('6-คาน เหล็กเสริม'!$J:$J,MATCH($B25,'6-คาน เหล็กเสริม'!$A:$A,0))^2/162+INDEX('6-คาน เหล็กเสริม'!$K:$K,MATCH($B25,'6-คาน เหล็กเสริม'!$A:$A,0))*0.7*G25*INDEX('6-คาน เหล็กเสริม'!$L:$L,MATCH($B25,'6-คาน เหล็กเสริม'!$A:$A,0))^2/162</f>
        <v/>
      </c>
      <c r="Q25" s="8">
        <f>R25*(2*(H25+I25)-8*INDEX('6-คาน เหล็กเสริม'!$P:$P,MATCH($B25,'6-คาน เหล็กเสริม'!$A:$A,0))+24*INDEX('6-คาน เหล็กเสริม'!$M:$M,MATCH($B25,'6-คาน เหล็กเสริม'!$A:$A,0))/1000)*INDEX('6-คาน เหล็กเสริม'!$M:$M,MATCH($B25,'6-คาน เหล็กเสริม'!$A:$A,0))^2/162</f>
        <v/>
      </c>
      <c r="R25" s="8">
        <f>IF(INDEX('6-คาน เหล็กเสริม'!$M:$M,MATCH($B25,'6-คาน เหล็กเสริม'!$A:$A,0))=0,0,2*ROUNDUP(G25/4/INDEX('6-คาน เหล็กเสริม'!$N:$N,MATCH($B25,'6-คาน เหล็กเสริม'!$A:$A,0)),0)+ROUNDUP(G25/2/INDEX('6-คาน เหล็กเสริม'!$O:$O,MATCH($B25,'6-คาน เหล็กเสริม'!$A:$A,0)),0)+1)</f>
        <v/>
      </c>
      <c r="S25" s="8">
        <f>SUM(N25:Q25)</f>
        <v/>
      </c>
      <c r="T25" s="8" t="inlineStr">
        <is>
          <t>แบบ</t>
        </is>
      </c>
    </row>
    <row r="26">
      <c r="A26" s="8" t="inlineStr">
        <is>
          <t>B1-023</t>
        </is>
      </c>
      <c r="B26" s="8" t="inlineStr">
        <is>
          <t>B1</t>
        </is>
      </c>
      <c r="C26" s="8" t="inlineStr">
        <is>
          <t>แนว 1</t>
        </is>
      </c>
      <c r="D26" s="8" t="inlineStr">
        <is>
          <t>1/E</t>
        </is>
      </c>
      <c r="E26" s="8" t="inlineStr">
        <is>
          <t>1/F</t>
        </is>
      </c>
      <c r="F26" s="9" t="n">
        <v>6</v>
      </c>
      <c r="G26" s="9" t="n">
        <v>5.7</v>
      </c>
      <c r="H26" s="9" t="n">
        <v>0.2</v>
      </c>
      <c r="I26" s="9" t="n">
        <v>0.6</v>
      </c>
      <c r="J26" s="9" t="n">
        <v>0.5</v>
      </c>
      <c r="K26" s="9" t="n">
        <v>-0.1</v>
      </c>
      <c r="L26" s="8">
        <f>H26*I26*G26</f>
        <v/>
      </c>
      <c r="M26" s="8">
        <f>(2*I26+H26)*G26</f>
        <v/>
      </c>
      <c r="N26" s="8">
        <f>INDEX('6-คาน เหล็กเสริม'!$E:$E,MATCH($B26,'6-คาน เหล็กเสริม'!$A:$A,0))*(F26+2*INDEX('6-คาน เหล็กเสริม'!$Q:$Q,MATCH($B26,'6-คาน เหล็กเสริม'!$A:$A,0))*INDEX('6-คาน เหล็กเสริม'!$F:$F,MATCH($B26,'6-คาน เหล็กเสริม'!$A:$A,0))/1000)*INDEX('6-คาน เหล็กเสริม'!$F:$F,MATCH($B26,'6-คาน เหล็กเสริม'!$A:$A,0))^2/162</f>
        <v/>
      </c>
      <c r="O26" s="8">
        <f>INDEX('6-คาน เหล็กเสริม'!$G:$G,MATCH($B26,'6-คาน เหล็กเสริม'!$A:$A,0))*(F26+2*INDEX('6-คาน เหล็กเสริม'!$Q:$Q,MATCH($B26,'6-คาน เหล็กเสริม'!$A:$A,0))*INDEX('6-คาน เหล็กเสริม'!$H:$H,MATCH($B26,'6-คาน เหล็กเสริม'!$A:$A,0))/1000)*INDEX('6-คาน เหล็กเสริม'!$H:$H,MATCH($B26,'6-คาน เหล็กเสริม'!$A:$A,0))^2/162</f>
        <v/>
      </c>
      <c r="P26" s="8">
        <f>INDEX('6-คาน เหล็กเสริม'!$I:$I,MATCH($B26,'6-คาน เหล็กเสริม'!$A:$A,0))*2*(0.3*G26+INDEX('6-คาน เหล็กเสริม'!$Q:$Q,MATCH($B26,'6-คาน เหล็กเสริม'!$A:$A,0))*INDEX('6-คาน เหล็กเสริม'!$J:$J,MATCH($B26,'6-คาน เหล็กเสริม'!$A:$A,0))/1000)*INDEX('6-คาน เหล็กเสริม'!$J:$J,MATCH($B26,'6-คาน เหล็กเสริม'!$A:$A,0))^2/162+INDEX('6-คาน เหล็กเสริม'!$K:$K,MATCH($B26,'6-คาน เหล็กเสริม'!$A:$A,0))*0.7*G26*INDEX('6-คาน เหล็กเสริม'!$L:$L,MATCH($B26,'6-คาน เหล็กเสริม'!$A:$A,0))^2/162</f>
        <v/>
      </c>
      <c r="Q26" s="8">
        <f>R26*(2*(H26+I26)-8*INDEX('6-คาน เหล็กเสริม'!$P:$P,MATCH($B26,'6-คาน เหล็กเสริม'!$A:$A,0))+24*INDEX('6-คาน เหล็กเสริม'!$M:$M,MATCH($B26,'6-คาน เหล็กเสริม'!$A:$A,0))/1000)*INDEX('6-คาน เหล็กเสริม'!$M:$M,MATCH($B26,'6-คาน เหล็กเสริม'!$A:$A,0))^2/162</f>
        <v/>
      </c>
      <c r="R26" s="8">
        <f>IF(INDEX('6-คาน เหล็กเสริม'!$M:$M,MATCH($B26,'6-คาน เหล็กเสริม'!$A:$A,0))=0,0,2*ROUNDUP(G26/4/INDEX('6-คาน เหล็กเสริม'!$N:$N,MATCH($B26,'6-คาน เหล็กเสริม'!$A:$A,0)),0)+ROUNDUP(G26/2/INDEX('6-คาน เหล็กเสริม'!$O:$O,MATCH($B26,'6-คาน เหล็กเสริม'!$A:$A,0)),0)+1)</f>
        <v/>
      </c>
      <c r="S26" s="8">
        <f>SUM(N26:Q26)</f>
        <v/>
      </c>
      <c r="T26" s="8" t="inlineStr">
        <is>
          <t>แบบ</t>
        </is>
      </c>
    </row>
    <row r="27">
      <c r="A27" s="8" t="inlineStr">
        <is>
          <t>B1-024</t>
        </is>
      </c>
      <c r="B27" s="8" t="inlineStr">
        <is>
          <t>B1</t>
        </is>
      </c>
      <c r="C27" s="8" t="inlineStr">
        <is>
          <t>แนว 6</t>
        </is>
      </c>
      <c r="D27" s="8" t="inlineStr">
        <is>
          <t>6/E</t>
        </is>
      </c>
      <c r="E27" s="8" t="inlineStr">
        <is>
          <t>6/F</t>
        </is>
      </c>
      <c r="F27" s="9" t="n">
        <v>6</v>
      </c>
      <c r="G27" s="9" t="n">
        <v>5.7</v>
      </c>
      <c r="H27" s="9" t="n">
        <v>0.2</v>
      </c>
      <c r="I27" s="9" t="n">
        <v>0.6</v>
      </c>
      <c r="J27" s="9" t="n">
        <v>0.5</v>
      </c>
      <c r="K27" s="9" t="n">
        <v>-0.1</v>
      </c>
      <c r="L27" s="8">
        <f>H27*I27*G27</f>
        <v/>
      </c>
      <c r="M27" s="8">
        <f>(2*I27+H27)*G27</f>
        <v/>
      </c>
      <c r="N27" s="8">
        <f>INDEX('6-คาน เหล็กเสริม'!$E:$E,MATCH($B27,'6-คาน เหล็กเสริม'!$A:$A,0))*(F27+2*INDEX('6-คาน เหล็กเสริม'!$Q:$Q,MATCH($B27,'6-คาน เหล็กเสริม'!$A:$A,0))*INDEX('6-คาน เหล็กเสริม'!$F:$F,MATCH($B27,'6-คาน เหล็กเสริม'!$A:$A,0))/1000)*INDEX('6-คาน เหล็กเสริม'!$F:$F,MATCH($B27,'6-คาน เหล็กเสริม'!$A:$A,0))^2/162</f>
        <v/>
      </c>
      <c r="O27" s="8">
        <f>INDEX('6-คาน เหล็กเสริม'!$G:$G,MATCH($B27,'6-คาน เหล็กเสริม'!$A:$A,0))*(F27+2*INDEX('6-คาน เหล็กเสริม'!$Q:$Q,MATCH($B27,'6-คาน เหล็กเสริม'!$A:$A,0))*INDEX('6-คาน เหล็กเสริม'!$H:$H,MATCH($B27,'6-คาน เหล็กเสริม'!$A:$A,0))/1000)*INDEX('6-คาน เหล็กเสริม'!$H:$H,MATCH($B27,'6-คาน เหล็กเสริม'!$A:$A,0))^2/162</f>
        <v/>
      </c>
      <c r="P27" s="8">
        <f>INDEX('6-คาน เหล็กเสริม'!$I:$I,MATCH($B27,'6-คาน เหล็กเสริม'!$A:$A,0))*2*(0.3*G27+INDEX('6-คาน เหล็กเสริม'!$Q:$Q,MATCH($B27,'6-คาน เหล็กเสริม'!$A:$A,0))*INDEX('6-คาน เหล็กเสริม'!$J:$J,MATCH($B27,'6-คาน เหล็กเสริม'!$A:$A,0))/1000)*INDEX('6-คาน เหล็กเสริม'!$J:$J,MATCH($B27,'6-คาน เหล็กเสริม'!$A:$A,0))^2/162+INDEX('6-คาน เหล็กเสริม'!$K:$K,MATCH($B27,'6-คาน เหล็กเสริม'!$A:$A,0))*0.7*G27*INDEX('6-คาน เหล็กเสริม'!$L:$L,MATCH($B27,'6-คาน เหล็กเสริม'!$A:$A,0))^2/162</f>
        <v/>
      </c>
      <c r="Q27" s="8">
        <f>R27*(2*(H27+I27)-8*INDEX('6-คาน เหล็กเสริม'!$P:$P,MATCH($B27,'6-คาน เหล็กเสริม'!$A:$A,0))+24*INDEX('6-คาน เหล็กเสริม'!$M:$M,MATCH($B27,'6-คาน เหล็กเสริม'!$A:$A,0))/1000)*INDEX('6-คาน เหล็กเสริม'!$M:$M,MATCH($B27,'6-คาน เหล็กเสริม'!$A:$A,0))^2/162</f>
        <v/>
      </c>
      <c r="R27" s="8">
        <f>IF(INDEX('6-คาน เหล็กเสริม'!$M:$M,MATCH($B27,'6-คาน เหล็กเสริม'!$A:$A,0))=0,0,2*ROUNDUP(G27/4/INDEX('6-คาน เหล็กเสริม'!$N:$N,MATCH($B27,'6-คาน เหล็กเสริม'!$A:$A,0)),0)+ROUNDUP(G27/2/INDEX('6-คาน เหล็กเสริม'!$O:$O,MATCH($B27,'6-คาน เหล็กเสริม'!$A:$A,0)),0)+1)</f>
        <v/>
      </c>
      <c r="S27" s="8">
        <f>SUM(N27:Q27)</f>
        <v/>
      </c>
      <c r="T27" s="8" t="inlineStr">
        <is>
          <t>แบบ</t>
        </is>
      </c>
    </row>
    <row r="28">
      <c r="A28" s="8" t="inlineStr">
        <is>
          <t>B1-025</t>
        </is>
      </c>
      <c r="B28" s="8" t="inlineStr">
        <is>
          <t>B1</t>
        </is>
      </c>
      <c r="C28" s="8" t="inlineStr">
        <is>
          <t>แนว 11</t>
        </is>
      </c>
      <c r="D28" s="8" t="inlineStr">
        <is>
          <t>11/E</t>
        </is>
      </c>
      <c r="E28" s="8" t="inlineStr">
        <is>
          <t>11/F</t>
        </is>
      </c>
      <c r="F28" s="9" t="n">
        <v>6</v>
      </c>
      <c r="G28" s="9" t="n">
        <v>5.7</v>
      </c>
      <c r="H28" s="9" t="n">
        <v>0.2</v>
      </c>
      <c r="I28" s="9" t="n">
        <v>0.6</v>
      </c>
      <c r="J28" s="9" t="n">
        <v>0.5</v>
      </c>
      <c r="K28" s="9" t="n">
        <v>-0.1</v>
      </c>
      <c r="L28" s="8">
        <f>H28*I28*G28</f>
        <v/>
      </c>
      <c r="M28" s="8">
        <f>(2*I28+H28)*G28</f>
        <v/>
      </c>
      <c r="N28" s="8">
        <f>INDEX('6-คาน เหล็กเสริม'!$E:$E,MATCH($B28,'6-คาน เหล็กเสริม'!$A:$A,0))*(F28+2*INDEX('6-คาน เหล็กเสริม'!$Q:$Q,MATCH($B28,'6-คาน เหล็กเสริม'!$A:$A,0))*INDEX('6-คาน เหล็กเสริม'!$F:$F,MATCH($B28,'6-คาน เหล็กเสริม'!$A:$A,0))/1000)*INDEX('6-คาน เหล็กเสริม'!$F:$F,MATCH($B28,'6-คาน เหล็กเสริม'!$A:$A,0))^2/162</f>
        <v/>
      </c>
      <c r="O28" s="8">
        <f>INDEX('6-คาน เหล็กเสริม'!$G:$G,MATCH($B28,'6-คาน เหล็กเสริม'!$A:$A,0))*(F28+2*INDEX('6-คาน เหล็กเสริม'!$Q:$Q,MATCH($B28,'6-คาน เหล็กเสริม'!$A:$A,0))*INDEX('6-คาน เหล็กเสริม'!$H:$H,MATCH($B28,'6-คาน เหล็กเสริม'!$A:$A,0))/1000)*INDEX('6-คาน เหล็กเสริม'!$H:$H,MATCH($B28,'6-คาน เหล็กเสริม'!$A:$A,0))^2/162</f>
        <v/>
      </c>
      <c r="P28" s="8">
        <f>INDEX('6-คาน เหล็กเสริม'!$I:$I,MATCH($B28,'6-คาน เหล็กเสริม'!$A:$A,0))*2*(0.3*G28+INDEX('6-คาน เหล็กเสริม'!$Q:$Q,MATCH($B28,'6-คาน เหล็กเสริม'!$A:$A,0))*INDEX('6-คาน เหล็กเสริม'!$J:$J,MATCH($B28,'6-คาน เหล็กเสริม'!$A:$A,0))/1000)*INDEX('6-คาน เหล็กเสริม'!$J:$J,MATCH($B28,'6-คาน เหล็กเสริม'!$A:$A,0))^2/162+INDEX('6-คาน เหล็กเสริม'!$K:$K,MATCH($B28,'6-คาน เหล็กเสริม'!$A:$A,0))*0.7*G28*INDEX('6-คาน เหล็กเสริม'!$L:$L,MATCH($B28,'6-คาน เหล็กเสริม'!$A:$A,0))^2/162</f>
        <v/>
      </c>
      <c r="Q28" s="8">
        <f>R28*(2*(H28+I28)-8*INDEX('6-คาน เหล็กเสริม'!$P:$P,MATCH($B28,'6-คาน เหล็กเสริม'!$A:$A,0))+24*INDEX('6-คาน เหล็กเสริม'!$M:$M,MATCH($B28,'6-คาน เหล็กเสริม'!$A:$A,0))/1000)*INDEX('6-คาน เหล็กเสริม'!$M:$M,MATCH($B28,'6-คาน เหล็กเสริม'!$A:$A,0))^2/162</f>
        <v/>
      </c>
      <c r="R28" s="8">
        <f>IF(INDEX('6-คาน เหล็กเสริม'!$M:$M,MATCH($B28,'6-คาน เหล็กเสริม'!$A:$A,0))=0,0,2*ROUNDUP(G28/4/INDEX('6-คาน เหล็กเสริม'!$N:$N,MATCH($B28,'6-คาน เหล็กเสริม'!$A:$A,0)),0)+ROUNDUP(G28/2/INDEX('6-คาน เหล็กเสริม'!$O:$O,MATCH($B28,'6-คาน เหล็กเสริม'!$A:$A,0)),0)+1)</f>
        <v/>
      </c>
      <c r="S28" s="8">
        <f>SUM(N28:Q28)</f>
        <v/>
      </c>
      <c r="T28" s="8" t="inlineStr">
        <is>
          <t>แบบ</t>
        </is>
      </c>
    </row>
    <row r="29">
      <c r="A29" s="8" t="inlineStr">
        <is>
          <t>B1-026</t>
        </is>
      </c>
      <c r="B29" s="8" t="inlineStr">
        <is>
          <t>B1</t>
        </is>
      </c>
      <c r="C29" s="8" t="inlineStr">
        <is>
          <t>แนว 1</t>
        </is>
      </c>
      <c r="D29" s="8" t="inlineStr">
        <is>
          <t>1/F</t>
        </is>
      </c>
      <c r="E29" s="8" t="inlineStr">
        <is>
          <t>1/G</t>
        </is>
      </c>
      <c r="F29" s="9" t="n">
        <v>6</v>
      </c>
      <c r="G29" s="9" t="n">
        <v>5.7</v>
      </c>
      <c r="H29" s="9" t="n">
        <v>0.2</v>
      </c>
      <c r="I29" s="9" t="n">
        <v>0.6</v>
      </c>
      <c r="J29" s="9" t="n">
        <v>0.5</v>
      </c>
      <c r="K29" s="9" t="n">
        <v>-0.1</v>
      </c>
      <c r="L29" s="8">
        <f>H29*I29*G29</f>
        <v/>
      </c>
      <c r="M29" s="8">
        <f>(2*I29+H29)*G29</f>
        <v/>
      </c>
      <c r="N29" s="8">
        <f>INDEX('6-คาน เหล็กเสริม'!$E:$E,MATCH($B29,'6-คาน เหล็กเสริม'!$A:$A,0))*(F29+2*INDEX('6-คาน เหล็กเสริม'!$Q:$Q,MATCH($B29,'6-คาน เหล็กเสริม'!$A:$A,0))*INDEX('6-คาน เหล็กเสริม'!$F:$F,MATCH($B29,'6-คาน เหล็กเสริม'!$A:$A,0))/1000)*INDEX('6-คาน เหล็กเสริม'!$F:$F,MATCH($B29,'6-คาน เหล็กเสริม'!$A:$A,0))^2/162</f>
        <v/>
      </c>
      <c r="O29" s="8">
        <f>INDEX('6-คาน เหล็กเสริม'!$G:$G,MATCH($B29,'6-คาน เหล็กเสริม'!$A:$A,0))*(F29+2*INDEX('6-คาน เหล็กเสริม'!$Q:$Q,MATCH($B29,'6-คาน เหล็กเสริม'!$A:$A,0))*INDEX('6-คาน เหล็กเสริม'!$H:$H,MATCH($B29,'6-คาน เหล็กเสริม'!$A:$A,0))/1000)*INDEX('6-คาน เหล็กเสริม'!$H:$H,MATCH($B29,'6-คาน เหล็กเสริม'!$A:$A,0))^2/162</f>
        <v/>
      </c>
      <c r="P29" s="8">
        <f>INDEX('6-คาน เหล็กเสริม'!$I:$I,MATCH($B29,'6-คาน เหล็กเสริม'!$A:$A,0))*2*(0.3*G29+INDEX('6-คาน เหล็กเสริม'!$Q:$Q,MATCH($B29,'6-คาน เหล็กเสริม'!$A:$A,0))*INDEX('6-คาน เหล็กเสริม'!$J:$J,MATCH($B29,'6-คาน เหล็กเสริม'!$A:$A,0))/1000)*INDEX('6-คาน เหล็กเสริม'!$J:$J,MATCH($B29,'6-คาน เหล็กเสริม'!$A:$A,0))^2/162+INDEX('6-คาน เหล็กเสริม'!$K:$K,MATCH($B29,'6-คาน เหล็กเสริม'!$A:$A,0))*0.7*G29*INDEX('6-คาน เหล็กเสริม'!$L:$L,MATCH($B29,'6-คาน เหล็กเสริม'!$A:$A,0))^2/162</f>
        <v/>
      </c>
      <c r="Q29" s="8">
        <f>R29*(2*(H29+I29)-8*INDEX('6-คาน เหล็กเสริม'!$P:$P,MATCH($B29,'6-คาน เหล็กเสริม'!$A:$A,0))+24*INDEX('6-คาน เหล็กเสริม'!$M:$M,MATCH($B29,'6-คาน เหล็กเสริม'!$A:$A,0))/1000)*INDEX('6-คาน เหล็กเสริม'!$M:$M,MATCH($B29,'6-คาน เหล็กเสริม'!$A:$A,0))^2/162</f>
        <v/>
      </c>
      <c r="R29" s="8">
        <f>IF(INDEX('6-คาน เหล็กเสริม'!$M:$M,MATCH($B29,'6-คาน เหล็กเสริม'!$A:$A,0))=0,0,2*ROUNDUP(G29/4/INDEX('6-คาน เหล็กเสริม'!$N:$N,MATCH($B29,'6-คาน เหล็กเสริม'!$A:$A,0)),0)+ROUNDUP(G29/2/INDEX('6-คาน เหล็กเสริม'!$O:$O,MATCH($B29,'6-คาน เหล็กเสริม'!$A:$A,0)),0)+1)</f>
        <v/>
      </c>
      <c r="S29" s="8">
        <f>SUM(N29:Q29)</f>
        <v/>
      </c>
      <c r="T29" s="8" t="inlineStr">
        <is>
          <t>แบบ</t>
        </is>
      </c>
    </row>
    <row r="30">
      <c r="A30" s="8" t="inlineStr">
        <is>
          <t>B1-027</t>
        </is>
      </c>
      <c r="B30" s="8" t="inlineStr">
        <is>
          <t>B1</t>
        </is>
      </c>
      <c r="C30" s="8" t="inlineStr">
        <is>
          <t>แนว 6</t>
        </is>
      </c>
      <c r="D30" s="8" t="inlineStr">
        <is>
          <t>6/F</t>
        </is>
      </c>
      <c r="E30" s="8" t="inlineStr">
        <is>
          <t>6/G</t>
        </is>
      </c>
      <c r="F30" s="9" t="n">
        <v>6</v>
      </c>
      <c r="G30" s="9" t="n">
        <v>5.7</v>
      </c>
      <c r="H30" s="9" t="n">
        <v>0.2</v>
      </c>
      <c r="I30" s="9" t="n">
        <v>0.6</v>
      </c>
      <c r="J30" s="9" t="n">
        <v>0.5</v>
      </c>
      <c r="K30" s="9" t="n">
        <v>-0.1</v>
      </c>
      <c r="L30" s="8">
        <f>H30*I30*G30</f>
        <v/>
      </c>
      <c r="M30" s="8">
        <f>(2*I30+H30)*G30</f>
        <v/>
      </c>
      <c r="N30" s="8">
        <f>INDEX('6-คาน เหล็กเสริม'!$E:$E,MATCH($B30,'6-คาน เหล็กเสริม'!$A:$A,0))*(F30+2*INDEX('6-คาน เหล็กเสริม'!$Q:$Q,MATCH($B30,'6-คาน เหล็กเสริม'!$A:$A,0))*INDEX('6-คาน เหล็กเสริม'!$F:$F,MATCH($B30,'6-คาน เหล็กเสริม'!$A:$A,0))/1000)*INDEX('6-คาน เหล็กเสริม'!$F:$F,MATCH($B30,'6-คาน เหล็กเสริม'!$A:$A,0))^2/162</f>
        <v/>
      </c>
      <c r="O30" s="8">
        <f>INDEX('6-คาน เหล็กเสริม'!$G:$G,MATCH($B30,'6-คาน เหล็กเสริม'!$A:$A,0))*(F30+2*INDEX('6-คาน เหล็กเสริม'!$Q:$Q,MATCH($B30,'6-คาน เหล็กเสริม'!$A:$A,0))*INDEX('6-คาน เหล็กเสริม'!$H:$H,MATCH($B30,'6-คาน เหล็กเสริม'!$A:$A,0))/1000)*INDEX('6-คาน เหล็กเสริม'!$H:$H,MATCH($B30,'6-คาน เหล็กเสริม'!$A:$A,0))^2/162</f>
        <v/>
      </c>
      <c r="P30" s="8">
        <f>INDEX('6-คาน เหล็กเสริม'!$I:$I,MATCH($B30,'6-คาน เหล็กเสริม'!$A:$A,0))*2*(0.3*G30+INDEX('6-คาน เหล็กเสริม'!$Q:$Q,MATCH($B30,'6-คาน เหล็กเสริม'!$A:$A,0))*INDEX('6-คาน เหล็กเสริม'!$J:$J,MATCH($B30,'6-คาน เหล็กเสริม'!$A:$A,0))/1000)*INDEX('6-คาน เหล็กเสริม'!$J:$J,MATCH($B30,'6-คาน เหล็กเสริม'!$A:$A,0))^2/162+INDEX('6-คาน เหล็กเสริม'!$K:$K,MATCH($B30,'6-คาน เหล็กเสริม'!$A:$A,0))*0.7*G30*INDEX('6-คาน เหล็กเสริม'!$L:$L,MATCH($B30,'6-คาน เหล็กเสริม'!$A:$A,0))^2/162</f>
        <v/>
      </c>
      <c r="Q30" s="8">
        <f>R30*(2*(H30+I30)-8*INDEX('6-คาน เหล็กเสริม'!$P:$P,MATCH($B30,'6-คาน เหล็กเสริม'!$A:$A,0))+24*INDEX('6-คาน เหล็กเสริม'!$M:$M,MATCH($B30,'6-คาน เหล็กเสริม'!$A:$A,0))/1000)*INDEX('6-คาน เหล็กเสริม'!$M:$M,MATCH($B30,'6-คาน เหล็กเสริม'!$A:$A,0))^2/162</f>
        <v/>
      </c>
      <c r="R30" s="8">
        <f>IF(INDEX('6-คาน เหล็กเสริม'!$M:$M,MATCH($B30,'6-คาน เหล็กเสริม'!$A:$A,0))=0,0,2*ROUNDUP(G30/4/INDEX('6-คาน เหล็กเสริม'!$N:$N,MATCH($B30,'6-คาน เหล็กเสริม'!$A:$A,0)),0)+ROUNDUP(G30/2/INDEX('6-คาน เหล็กเสริม'!$O:$O,MATCH($B30,'6-คาน เหล็กเสริม'!$A:$A,0)),0)+1)</f>
        <v/>
      </c>
      <c r="S30" s="8">
        <f>SUM(N30:Q30)</f>
        <v/>
      </c>
      <c r="T30" s="8" t="inlineStr">
        <is>
          <t>แบบ</t>
        </is>
      </c>
    </row>
    <row r="31">
      <c r="A31" s="8" t="inlineStr">
        <is>
          <t>B1-028</t>
        </is>
      </c>
      <c r="B31" s="8" t="inlineStr">
        <is>
          <t>B1</t>
        </is>
      </c>
      <c r="C31" s="8" t="inlineStr">
        <is>
          <t>แนว 11</t>
        </is>
      </c>
      <c r="D31" s="8" t="inlineStr">
        <is>
          <t>11/F</t>
        </is>
      </c>
      <c r="E31" s="8" t="inlineStr">
        <is>
          <t>11/G</t>
        </is>
      </c>
      <c r="F31" s="9" t="n">
        <v>6</v>
      </c>
      <c r="G31" s="9" t="n">
        <v>5.7</v>
      </c>
      <c r="H31" s="9" t="n">
        <v>0.2</v>
      </c>
      <c r="I31" s="9" t="n">
        <v>0.6</v>
      </c>
      <c r="J31" s="9" t="n">
        <v>0.5</v>
      </c>
      <c r="K31" s="9" t="n">
        <v>-0.1</v>
      </c>
      <c r="L31" s="8">
        <f>H31*I31*G31</f>
        <v/>
      </c>
      <c r="M31" s="8">
        <f>(2*I31+H31)*G31</f>
        <v/>
      </c>
      <c r="N31" s="8">
        <f>INDEX('6-คาน เหล็กเสริม'!$E:$E,MATCH($B31,'6-คาน เหล็กเสริม'!$A:$A,0))*(F31+2*INDEX('6-คาน เหล็กเสริม'!$Q:$Q,MATCH($B31,'6-คาน เหล็กเสริม'!$A:$A,0))*INDEX('6-คาน เหล็กเสริม'!$F:$F,MATCH($B31,'6-คาน เหล็กเสริม'!$A:$A,0))/1000)*INDEX('6-คาน เหล็กเสริม'!$F:$F,MATCH($B31,'6-คาน เหล็กเสริม'!$A:$A,0))^2/162</f>
        <v/>
      </c>
      <c r="O31" s="8">
        <f>INDEX('6-คาน เหล็กเสริม'!$G:$G,MATCH($B31,'6-คาน เหล็กเสริม'!$A:$A,0))*(F31+2*INDEX('6-คาน เหล็กเสริม'!$Q:$Q,MATCH($B31,'6-คาน เหล็กเสริม'!$A:$A,0))*INDEX('6-คาน เหล็กเสริม'!$H:$H,MATCH($B31,'6-คาน เหล็กเสริม'!$A:$A,0))/1000)*INDEX('6-คาน เหล็กเสริม'!$H:$H,MATCH($B31,'6-คาน เหล็กเสริม'!$A:$A,0))^2/162</f>
        <v/>
      </c>
      <c r="P31" s="8">
        <f>INDEX('6-คาน เหล็กเสริม'!$I:$I,MATCH($B31,'6-คาน เหล็กเสริม'!$A:$A,0))*2*(0.3*G31+INDEX('6-คาน เหล็กเสริม'!$Q:$Q,MATCH($B31,'6-คาน เหล็กเสริม'!$A:$A,0))*INDEX('6-คาน เหล็กเสริม'!$J:$J,MATCH($B31,'6-คาน เหล็กเสริม'!$A:$A,0))/1000)*INDEX('6-คาน เหล็กเสริม'!$J:$J,MATCH($B31,'6-คาน เหล็กเสริม'!$A:$A,0))^2/162+INDEX('6-คาน เหล็กเสริม'!$K:$K,MATCH($B31,'6-คาน เหล็กเสริม'!$A:$A,0))*0.7*G31*INDEX('6-คาน เหล็กเสริม'!$L:$L,MATCH($B31,'6-คาน เหล็กเสริม'!$A:$A,0))^2/162</f>
        <v/>
      </c>
      <c r="Q31" s="8">
        <f>R31*(2*(H31+I31)-8*INDEX('6-คาน เหล็กเสริม'!$P:$P,MATCH($B31,'6-คาน เหล็กเสริม'!$A:$A,0))+24*INDEX('6-คาน เหล็กเสริม'!$M:$M,MATCH($B31,'6-คาน เหล็กเสริม'!$A:$A,0))/1000)*INDEX('6-คาน เหล็กเสริม'!$M:$M,MATCH($B31,'6-คาน เหล็กเสริม'!$A:$A,0))^2/162</f>
        <v/>
      </c>
      <c r="R31" s="8">
        <f>IF(INDEX('6-คาน เหล็กเสริม'!$M:$M,MATCH($B31,'6-คาน เหล็กเสริม'!$A:$A,0))=0,0,2*ROUNDUP(G31/4/INDEX('6-คาน เหล็กเสริม'!$N:$N,MATCH($B31,'6-คาน เหล็กเสริม'!$A:$A,0)),0)+ROUNDUP(G31/2/INDEX('6-คาน เหล็กเสริม'!$O:$O,MATCH($B31,'6-คาน เหล็กเสริม'!$A:$A,0)),0)+1)</f>
        <v/>
      </c>
      <c r="S31" s="8">
        <f>SUM(N31:Q31)</f>
        <v/>
      </c>
      <c r="T31" s="8" t="inlineStr">
        <is>
          <t>แบบ</t>
        </is>
      </c>
    </row>
    <row r="32">
      <c r="A32" s="8" t="inlineStr">
        <is>
          <t>B1-029</t>
        </is>
      </c>
      <c r="B32" s="8" t="inlineStr">
        <is>
          <t>B1</t>
        </is>
      </c>
      <c r="C32" s="8" t="inlineStr">
        <is>
          <t>แนว 1</t>
        </is>
      </c>
      <c r="D32" s="8" t="inlineStr">
        <is>
          <t>1/G</t>
        </is>
      </c>
      <c r="E32" s="8" t="inlineStr">
        <is>
          <t>1/H</t>
        </is>
      </c>
      <c r="F32" s="9" t="n">
        <v>6</v>
      </c>
      <c r="G32" s="9" t="n">
        <v>5.7</v>
      </c>
      <c r="H32" s="9" t="n">
        <v>0.2</v>
      </c>
      <c r="I32" s="9" t="n">
        <v>0.6</v>
      </c>
      <c r="J32" s="9" t="n">
        <v>0.5</v>
      </c>
      <c r="K32" s="9" t="n">
        <v>-0.1</v>
      </c>
      <c r="L32" s="8">
        <f>H32*I32*G32</f>
        <v/>
      </c>
      <c r="M32" s="8">
        <f>(2*I32+H32)*G32</f>
        <v/>
      </c>
      <c r="N32" s="8">
        <f>INDEX('6-คาน เหล็กเสริม'!$E:$E,MATCH($B32,'6-คาน เหล็กเสริม'!$A:$A,0))*(F32+2*INDEX('6-คาน เหล็กเสริม'!$Q:$Q,MATCH($B32,'6-คาน เหล็กเสริม'!$A:$A,0))*INDEX('6-คาน เหล็กเสริม'!$F:$F,MATCH($B32,'6-คาน เหล็กเสริม'!$A:$A,0))/1000)*INDEX('6-คาน เหล็กเสริม'!$F:$F,MATCH($B32,'6-คาน เหล็กเสริม'!$A:$A,0))^2/162</f>
        <v/>
      </c>
      <c r="O32" s="8">
        <f>INDEX('6-คาน เหล็กเสริม'!$G:$G,MATCH($B32,'6-คาน เหล็กเสริม'!$A:$A,0))*(F32+2*INDEX('6-คาน เหล็กเสริม'!$Q:$Q,MATCH($B32,'6-คาน เหล็กเสริม'!$A:$A,0))*INDEX('6-คาน เหล็กเสริม'!$H:$H,MATCH($B32,'6-คาน เหล็กเสริม'!$A:$A,0))/1000)*INDEX('6-คาน เหล็กเสริม'!$H:$H,MATCH($B32,'6-คาน เหล็กเสริม'!$A:$A,0))^2/162</f>
        <v/>
      </c>
      <c r="P32" s="8">
        <f>INDEX('6-คาน เหล็กเสริม'!$I:$I,MATCH($B32,'6-คาน เหล็กเสริม'!$A:$A,0))*2*(0.3*G32+INDEX('6-คาน เหล็กเสริม'!$Q:$Q,MATCH($B32,'6-คาน เหล็กเสริม'!$A:$A,0))*INDEX('6-คาน เหล็กเสริม'!$J:$J,MATCH($B32,'6-คาน เหล็กเสริม'!$A:$A,0))/1000)*INDEX('6-คาน เหล็กเสริม'!$J:$J,MATCH($B32,'6-คาน เหล็กเสริม'!$A:$A,0))^2/162+INDEX('6-คาน เหล็กเสริม'!$K:$K,MATCH($B32,'6-คาน เหล็กเสริม'!$A:$A,0))*0.7*G32*INDEX('6-คาน เหล็กเสริม'!$L:$L,MATCH($B32,'6-คาน เหล็กเสริม'!$A:$A,0))^2/162</f>
        <v/>
      </c>
      <c r="Q32" s="8">
        <f>R32*(2*(H32+I32)-8*INDEX('6-คาน เหล็กเสริม'!$P:$P,MATCH($B32,'6-คาน เหล็กเสริม'!$A:$A,0))+24*INDEX('6-คาน เหล็กเสริม'!$M:$M,MATCH($B32,'6-คาน เหล็กเสริม'!$A:$A,0))/1000)*INDEX('6-คาน เหล็กเสริม'!$M:$M,MATCH($B32,'6-คาน เหล็กเสริม'!$A:$A,0))^2/162</f>
        <v/>
      </c>
      <c r="R32" s="8">
        <f>IF(INDEX('6-คาน เหล็กเสริม'!$M:$M,MATCH($B32,'6-คาน เหล็กเสริม'!$A:$A,0))=0,0,2*ROUNDUP(G32/4/INDEX('6-คาน เหล็กเสริม'!$N:$N,MATCH($B32,'6-คาน เหล็กเสริม'!$A:$A,0)),0)+ROUNDUP(G32/2/INDEX('6-คาน เหล็กเสริม'!$O:$O,MATCH($B32,'6-คาน เหล็กเสริม'!$A:$A,0)),0)+1)</f>
        <v/>
      </c>
      <c r="S32" s="8">
        <f>SUM(N32:Q32)</f>
        <v/>
      </c>
      <c r="T32" s="8" t="inlineStr">
        <is>
          <t>แบบ</t>
        </is>
      </c>
    </row>
    <row r="33">
      <c r="A33" s="8" t="inlineStr">
        <is>
          <t>B1-030</t>
        </is>
      </c>
      <c r="B33" s="8" t="inlineStr">
        <is>
          <t>B1</t>
        </is>
      </c>
      <c r="C33" s="8" t="inlineStr">
        <is>
          <t>แนว 6</t>
        </is>
      </c>
      <c r="D33" s="8" t="inlineStr">
        <is>
          <t>6/G</t>
        </is>
      </c>
      <c r="E33" s="8" t="inlineStr">
        <is>
          <t>6/H</t>
        </is>
      </c>
      <c r="F33" s="9" t="n">
        <v>6</v>
      </c>
      <c r="G33" s="9" t="n">
        <v>5.7</v>
      </c>
      <c r="H33" s="9" t="n">
        <v>0.2</v>
      </c>
      <c r="I33" s="9" t="n">
        <v>0.6</v>
      </c>
      <c r="J33" s="9" t="n">
        <v>0.5</v>
      </c>
      <c r="K33" s="9" t="n">
        <v>-0.1</v>
      </c>
      <c r="L33" s="8">
        <f>H33*I33*G33</f>
        <v/>
      </c>
      <c r="M33" s="8">
        <f>(2*I33+H33)*G33</f>
        <v/>
      </c>
      <c r="N33" s="8">
        <f>INDEX('6-คาน เหล็กเสริม'!$E:$E,MATCH($B33,'6-คาน เหล็กเสริม'!$A:$A,0))*(F33+2*INDEX('6-คาน เหล็กเสริม'!$Q:$Q,MATCH($B33,'6-คาน เหล็กเสริม'!$A:$A,0))*INDEX('6-คาน เหล็กเสริม'!$F:$F,MATCH($B33,'6-คาน เหล็กเสริม'!$A:$A,0))/1000)*INDEX('6-คาน เหล็กเสริม'!$F:$F,MATCH($B33,'6-คาน เหล็กเสริม'!$A:$A,0))^2/162</f>
        <v/>
      </c>
      <c r="O33" s="8">
        <f>INDEX('6-คาน เหล็กเสริม'!$G:$G,MATCH($B33,'6-คาน เหล็กเสริม'!$A:$A,0))*(F33+2*INDEX('6-คาน เหล็กเสริม'!$Q:$Q,MATCH($B33,'6-คาน เหล็กเสริม'!$A:$A,0))*INDEX('6-คาน เหล็กเสริม'!$H:$H,MATCH($B33,'6-คาน เหล็กเสริม'!$A:$A,0))/1000)*INDEX('6-คาน เหล็กเสริม'!$H:$H,MATCH($B33,'6-คาน เหล็กเสริม'!$A:$A,0))^2/162</f>
        <v/>
      </c>
      <c r="P33" s="8">
        <f>INDEX('6-คาน เหล็กเสริม'!$I:$I,MATCH($B33,'6-คาน เหล็กเสริม'!$A:$A,0))*2*(0.3*G33+INDEX('6-คาน เหล็กเสริม'!$Q:$Q,MATCH($B33,'6-คาน เหล็กเสริม'!$A:$A,0))*INDEX('6-คาน เหล็กเสริม'!$J:$J,MATCH($B33,'6-คาน เหล็กเสริม'!$A:$A,0))/1000)*INDEX('6-คาน เหล็กเสริม'!$J:$J,MATCH($B33,'6-คาน เหล็กเสริม'!$A:$A,0))^2/162+INDEX('6-คาน เหล็กเสริม'!$K:$K,MATCH($B33,'6-คาน เหล็กเสริม'!$A:$A,0))*0.7*G33*INDEX('6-คาน เหล็กเสริม'!$L:$L,MATCH($B33,'6-คาน เหล็กเสริม'!$A:$A,0))^2/162</f>
        <v/>
      </c>
      <c r="Q33" s="8">
        <f>R33*(2*(H33+I33)-8*INDEX('6-คาน เหล็กเสริม'!$P:$P,MATCH($B33,'6-คาน เหล็กเสริม'!$A:$A,0))+24*INDEX('6-คาน เหล็กเสริม'!$M:$M,MATCH($B33,'6-คาน เหล็กเสริม'!$A:$A,0))/1000)*INDEX('6-คาน เหล็กเสริม'!$M:$M,MATCH($B33,'6-คาน เหล็กเสริม'!$A:$A,0))^2/162</f>
        <v/>
      </c>
      <c r="R33" s="8">
        <f>IF(INDEX('6-คาน เหล็กเสริม'!$M:$M,MATCH($B33,'6-คาน เหล็กเสริม'!$A:$A,0))=0,0,2*ROUNDUP(G33/4/INDEX('6-คาน เหล็กเสริม'!$N:$N,MATCH($B33,'6-คาน เหล็กเสริม'!$A:$A,0)),0)+ROUNDUP(G33/2/INDEX('6-คาน เหล็กเสริม'!$O:$O,MATCH($B33,'6-คาน เหล็กเสริม'!$A:$A,0)),0)+1)</f>
        <v/>
      </c>
      <c r="S33" s="8">
        <f>SUM(N33:Q33)</f>
        <v/>
      </c>
      <c r="T33" s="8" t="inlineStr">
        <is>
          <t>แบบ</t>
        </is>
      </c>
    </row>
    <row r="34">
      <c r="A34" s="8" t="inlineStr">
        <is>
          <t>B1-031</t>
        </is>
      </c>
      <c r="B34" s="8" t="inlineStr">
        <is>
          <t>B1</t>
        </is>
      </c>
      <c r="C34" s="8" t="inlineStr">
        <is>
          <t>แนว 11</t>
        </is>
      </c>
      <c r="D34" s="8" t="inlineStr">
        <is>
          <t>11/G</t>
        </is>
      </c>
      <c r="E34" s="8" t="inlineStr">
        <is>
          <t>11/H</t>
        </is>
      </c>
      <c r="F34" s="9" t="n">
        <v>6</v>
      </c>
      <c r="G34" s="9" t="n">
        <v>5.7</v>
      </c>
      <c r="H34" s="9" t="n">
        <v>0.2</v>
      </c>
      <c r="I34" s="9" t="n">
        <v>0.6</v>
      </c>
      <c r="J34" s="9" t="n">
        <v>0.5</v>
      </c>
      <c r="K34" s="9" t="n">
        <v>-0.1</v>
      </c>
      <c r="L34" s="8">
        <f>H34*I34*G34</f>
        <v/>
      </c>
      <c r="M34" s="8">
        <f>(2*I34+H34)*G34</f>
        <v/>
      </c>
      <c r="N34" s="8">
        <f>INDEX('6-คาน เหล็กเสริม'!$E:$E,MATCH($B34,'6-คาน เหล็กเสริม'!$A:$A,0))*(F34+2*INDEX('6-คาน เหล็กเสริม'!$Q:$Q,MATCH($B34,'6-คาน เหล็กเสริม'!$A:$A,0))*INDEX('6-คาน เหล็กเสริม'!$F:$F,MATCH($B34,'6-คาน เหล็กเสริม'!$A:$A,0))/1000)*INDEX('6-คาน เหล็กเสริม'!$F:$F,MATCH($B34,'6-คาน เหล็กเสริม'!$A:$A,0))^2/162</f>
        <v/>
      </c>
      <c r="O34" s="8">
        <f>INDEX('6-คาน เหล็กเสริม'!$G:$G,MATCH($B34,'6-คาน เหล็กเสริม'!$A:$A,0))*(F34+2*INDEX('6-คาน เหล็กเสริม'!$Q:$Q,MATCH($B34,'6-คาน เหล็กเสริม'!$A:$A,0))*INDEX('6-คาน เหล็กเสริม'!$H:$H,MATCH($B34,'6-คาน เหล็กเสริม'!$A:$A,0))/1000)*INDEX('6-คาน เหล็กเสริม'!$H:$H,MATCH($B34,'6-คาน เหล็กเสริม'!$A:$A,0))^2/162</f>
        <v/>
      </c>
      <c r="P34" s="8">
        <f>INDEX('6-คาน เหล็กเสริม'!$I:$I,MATCH($B34,'6-คาน เหล็กเสริม'!$A:$A,0))*2*(0.3*G34+INDEX('6-คาน เหล็กเสริม'!$Q:$Q,MATCH($B34,'6-คาน เหล็กเสริม'!$A:$A,0))*INDEX('6-คาน เหล็กเสริม'!$J:$J,MATCH($B34,'6-คาน เหล็กเสริม'!$A:$A,0))/1000)*INDEX('6-คาน เหล็กเสริม'!$J:$J,MATCH($B34,'6-คาน เหล็กเสริม'!$A:$A,0))^2/162+INDEX('6-คาน เหล็กเสริม'!$K:$K,MATCH($B34,'6-คาน เหล็กเสริม'!$A:$A,0))*0.7*G34*INDEX('6-คาน เหล็กเสริม'!$L:$L,MATCH($B34,'6-คาน เหล็กเสริม'!$A:$A,0))^2/162</f>
        <v/>
      </c>
      <c r="Q34" s="8">
        <f>R34*(2*(H34+I34)-8*INDEX('6-คาน เหล็กเสริม'!$P:$P,MATCH($B34,'6-คาน เหล็กเสริม'!$A:$A,0))+24*INDEX('6-คาน เหล็กเสริม'!$M:$M,MATCH($B34,'6-คาน เหล็กเสริม'!$A:$A,0))/1000)*INDEX('6-คาน เหล็กเสริม'!$M:$M,MATCH($B34,'6-คาน เหล็กเสริม'!$A:$A,0))^2/162</f>
        <v/>
      </c>
      <c r="R34" s="8">
        <f>IF(INDEX('6-คาน เหล็กเสริม'!$M:$M,MATCH($B34,'6-คาน เหล็กเสริม'!$A:$A,0))=0,0,2*ROUNDUP(G34/4/INDEX('6-คาน เหล็กเสริม'!$N:$N,MATCH($B34,'6-คาน เหล็กเสริม'!$A:$A,0)),0)+ROUNDUP(G34/2/INDEX('6-คาน เหล็กเสริม'!$O:$O,MATCH($B34,'6-คาน เหล็กเสริม'!$A:$A,0)),0)+1)</f>
        <v/>
      </c>
      <c r="S34" s="8">
        <f>SUM(N34:Q34)</f>
        <v/>
      </c>
      <c r="T34" s="8" t="inlineStr">
        <is>
          <t>แบบ</t>
        </is>
      </c>
    </row>
    <row r="35">
      <c r="A35" s="8" t="inlineStr">
        <is>
          <t>B1-032</t>
        </is>
      </c>
      <c r="B35" s="8" t="inlineStr">
        <is>
          <t>B1</t>
        </is>
      </c>
      <c r="C35" s="8" t="inlineStr">
        <is>
          <t>แนว 1</t>
        </is>
      </c>
      <c r="D35" s="8" t="inlineStr">
        <is>
          <t>1/H</t>
        </is>
      </c>
      <c r="E35" s="8" t="inlineStr">
        <is>
          <t>1/I</t>
        </is>
      </c>
      <c r="F35" s="9" t="n">
        <v>6</v>
      </c>
      <c r="G35" s="9" t="n">
        <v>5.7</v>
      </c>
      <c r="H35" s="9" t="n">
        <v>0.2</v>
      </c>
      <c r="I35" s="9" t="n">
        <v>0.6</v>
      </c>
      <c r="J35" s="9" t="n">
        <v>0.5</v>
      </c>
      <c r="K35" s="9" t="n">
        <v>-0.1</v>
      </c>
      <c r="L35" s="8">
        <f>H35*I35*G35</f>
        <v/>
      </c>
      <c r="M35" s="8">
        <f>(2*I35+H35)*G35</f>
        <v/>
      </c>
      <c r="N35" s="8">
        <f>INDEX('6-คาน เหล็กเสริม'!$E:$E,MATCH($B35,'6-คาน เหล็กเสริม'!$A:$A,0))*(F35+2*INDEX('6-คาน เหล็กเสริม'!$Q:$Q,MATCH($B35,'6-คาน เหล็กเสริม'!$A:$A,0))*INDEX('6-คาน เหล็กเสริม'!$F:$F,MATCH($B35,'6-คาน เหล็กเสริม'!$A:$A,0))/1000)*INDEX('6-คาน เหล็กเสริม'!$F:$F,MATCH($B35,'6-คาน เหล็กเสริม'!$A:$A,0))^2/162</f>
        <v/>
      </c>
      <c r="O35" s="8">
        <f>INDEX('6-คาน เหล็กเสริม'!$G:$G,MATCH($B35,'6-คาน เหล็กเสริม'!$A:$A,0))*(F35+2*INDEX('6-คาน เหล็กเสริม'!$Q:$Q,MATCH($B35,'6-คาน เหล็กเสริม'!$A:$A,0))*INDEX('6-คาน เหล็กเสริม'!$H:$H,MATCH($B35,'6-คาน เหล็กเสริม'!$A:$A,0))/1000)*INDEX('6-คาน เหล็กเสริม'!$H:$H,MATCH($B35,'6-คาน เหล็กเสริม'!$A:$A,0))^2/162</f>
        <v/>
      </c>
      <c r="P35" s="8">
        <f>INDEX('6-คาน เหล็กเสริม'!$I:$I,MATCH($B35,'6-คาน เหล็กเสริม'!$A:$A,0))*2*(0.3*G35+INDEX('6-คาน เหล็กเสริม'!$Q:$Q,MATCH($B35,'6-คาน เหล็กเสริม'!$A:$A,0))*INDEX('6-คาน เหล็กเสริม'!$J:$J,MATCH($B35,'6-คาน เหล็กเสริม'!$A:$A,0))/1000)*INDEX('6-คาน เหล็กเสริม'!$J:$J,MATCH($B35,'6-คาน เหล็กเสริม'!$A:$A,0))^2/162+INDEX('6-คาน เหล็กเสริม'!$K:$K,MATCH($B35,'6-คาน เหล็กเสริม'!$A:$A,0))*0.7*G35*INDEX('6-คาน เหล็กเสริม'!$L:$L,MATCH($B35,'6-คาน เหล็กเสริม'!$A:$A,0))^2/162</f>
        <v/>
      </c>
      <c r="Q35" s="8">
        <f>R35*(2*(H35+I35)-8*INDEX('6-คาน เหล็กเสริม'!$P:$P,MATCH($B35,'6-คาน เหล็กเสริม'!$A:$A,0))+24*INDEX('6-คาน เหล็กเสริม'!$M:$M,MATCH($B35,'6-คาน เหล็กเสริม'!$A:$A,0))/1000)*INDEX('6-คาน เหล็กเสริม'!$M:$M,MATCH($B35,'6-คาน เหล็กเสริม'!$A:$A,0))^2/162</f>
        <v/>
      </c>
      <c r="R35" s="8">
        <f>IF(INDEX('6-คาน เหล็กเสริม'!$M:$M,MATCH($B35,'6-คาน เหล็กเสริม'!$A:$A,0))=0,0,2*ROUNDUP(G35/4/INDEX('6-คาน เหล็กเสริม'!$N:$N,MATCH($B35,'6-คาน เหล็กเสริม'!$A:$A,0)),0)+ROUNDUP(G35/2/INDEX('6-คาน เหล็กเสริม'!$O:$O,MATCH($B35,'6-คาน เหล็กเสริม'!$A:$A,0)),0)+1)</f>
        <v/>
      </c>
      <c r="S35" s="8">
        <f>SUM(N35:Q35)</f>
        <v/>
      </c>
      <c r="T35" s="8" t="inlineStr">
        <is>
          <t>แบบ</t>
        </is>
      </c>
    </row>
    <row r="36">
      <c r="A36" s="8" t="inlineStr">
        <is>
          <t>B1-033</t>
        </is>
      </c>
      <c r="B36" s="8" t="inlineStr">
        <is>
          <t>B1</t>
        </is>
      </c>
      <c r="C36" s="8" t="inlineStr">
        <is>
          <t>แนว 6</t>
        </is>
      </c>
      <c r="D36" s="8" t="inlineStr">
        <is>
          <t>6/H</t>
        </is>
      </c>
      <c r="E36" s="8" t="inlineStr">
        <is>
          <t>6/I</t>
        </is>
      </c>
      <c r="F36" s="9" t="n">
        <v>6</v>
      </c>
      <c r="G36" s="9" t="n">
        <v>5.7</v>
      </c>
      <c r="H36" s="9" t="n">
        <v>0.2</v>
      </c>
      <c r="I36" s="9" t="n">
        <v>0.6</v>
      </c>
      <c r="J36" s="9" t="n">
        <v>0.5</v>
      </c>
      <c r="K36" s="9" t="n">
        <v>-0.1</v>
      </c>
      <c r="L36" s="8">
        <f>H36*I36*G36</f>
        <v/>
      </c>
      <c r="M36" s="8">
        <f>(2*I36+H36)*G36</f>
        <v/>
      </c>
      <c r="N36" s="8">
        <f>INDEX('6-คาน เหล็กเสริม'!$E:$E,MATCH($B36,'6-คาน เหล็กเสริม'!$A:$A,0))*(F36+2*INDEX('6-คาน เหล็กเสริม'!$Q:$Q,MATCH($B36,'6-คาน เหล็กเสริม'!$A:$A,0))*INDEX('6-คาน เหล็กเสริม'!$F:$F,MATCH($B36,'6-คาน เหล็กเสริม'!$A:$A,0))/1000)*INDEX('6-คาน เหล็กเสริม'!$F:$F,MATCH($B36,'6-คาน เหล็กเสริม'!$A:$A,0))^2/162</f>
        <v/>
      </c>
      <c r="O36" s="8">
        <f>INDEX('6-คาน เหล็กเสริม'!$G:$G,MATCH($B36,'6-คาน เหล็กเสริม'!$A:$A,0))*(F36+2*INDEX('6-คาน เหล็กเสริม'!$Q:$Q,MATCH($B36,'6-คาน เหล็กเสริม'!$A:$A,0))*INDEX('6-คาน เหล็กเสริม'!$H:$H,MATCH($B36,'6-คาน เหล็กเสริม'!$A:$A,0))/1000)*INDEX('6-คาน เหล็กเสริม'!$H:$H,MATCH($B36,'6-คาน เหล็กเสริม'!$A:$A,0))^2/162</f>
        <v/>
      </c>
      <c r="P36" s="8">
        <f>INDEX('6-คาน เหล็กเสริม'!$I:$I,MATCH($B36,'6-คาน เหล็กเสริม'!$A:$A,0))*2*(0.3*G36+INDEX('6-คาน เหล็กเสริม'!$Q:$Q,MATCH($B36,'6-คาน เหล็กเสริม'!$A:$A,0))*INDEX('6-คาน เหล็กเสริม'!$J:$J,MATCH($B36,'6-คาน เหล็กเสริม'!$A:$A,0))/1000)*INDEX('6-คาน เหล็กเสริม'!$J:$J,MATCH($B36,'6-คาน เหล็กเสริม'!$A:$A,0))^2/162+INDEX('6-คาน เหล็กเสริม'!$K:$K,MATCH($B36,'6-คาน เหล็กเสริม'!$A:$A,0))*0.7*G36*INDEX('6-คาน เหล็กเสริม'!$L:$L,MATCH($B36,'6-คาน เหล็กเสริม'!$A:$A,0))^2/162</f>
        <v/>
      </c>
      <c r="Q36" s="8">
        <f>R36*(2*(H36+I36)-8*INDEX('6-คาน เหล็กเสริม'!$P:$P,MATCH($B36,'6-คาน เหล็กเสริม'!$A:$A,0))+24*INDEX('6-คาน เหล็กเสริม'!$M:$M,MATCH($B36,'6-คาน เหล็กเสริม'!$A:$A,0))/1000)*INDEX('6-คาน เหล็กเสริม'!$M:$M,MATCH($B36,'6-คาน เหล็กเสริม'!$A:$A,0))^2/162</f>
        <v/>
      </c>
      <c r="R36" s="8">
        <f>IF(INDEX('6-คาน เหล็กเสริม'!$M:$M,MATCH($B36,'6-คาน เหล็กเสริม'!$A:$A,0))=0,0,2*ROUNDUP(G36/4/INDEX('6-คาน เหล็กเสริม'!$N:$N,MATCH($B36,'6-คาน เหล็กเสริม'!$A:$A,0)),0)+ROUNDUP(G36/2/INDEX('6-คาน เหล็กเสริม'!$O:$O,MATCH($B36,'6-คาน เหล็กเสริม'!$A:$A,0)),0)+1)</f>
        <v/>
      </c>
      <c r="S36" s="8">
        <f>SUM(N36:Q36)</f>
        <v/>
      </c>
      <c r="T36" s="8" t="inlineStr">
        <is>
          <t>แบบ</t>
        </is>
      </c>
    </row>
    <row r="37">
      <c r="A37" s="8" t="inlineStr">
        <is>
          <t>B1-034</t>
        </is>
      </c>
      <c r="B37" s="8" t="inlineStr">
        <is>
          <t>B1</t>
        </is>
      </c>
      <c r="C37" s="8" t="inlineStr">
        <is>
          <t>แนว 11</t>
        </is>
      </c>
      <c r="D37" s="8" t="inlineStr">
        <is>
          <t>11/H</t>
        </is>
      </c>
      <c r="E37" s="8" t="inlineStr">
        <is>
          <t>11/I</t>
        </is>
      </c>
      <c r="F37" s="9" t="n">
        <v>6</v>
      </c>
      <c r="G37" s="9" t="n">
        <v>5.7</v>
      </c>
      <c r="H37" s="9" t="n">
        <v>0.2</v>
      </c>
      <c r="I37" s="9" t="n">
        <v>0.6</v>
      </c>
      <c r="J37" s="9" t="n">
        <v>0.5</v>
      </c>
      <c r="K37" s="9" t="n">
        <v>-0.1</v>
      </c>
      <c r="L37" s="8">
        <f>H37*I37*G37</f>
        <v/>
      </c>
      <c r="M37" s="8">
        <f>(2*I37+H37)*G37</f>
        <v/>
      </c>
      <c r="N37" s="8">
        <f>INDEX('6-คาน เหล็กเสริม'!$E:$E,MATCH($B37,'6-คาน เหล็กเสริม'!$A:$A,0))*(F37+2*INDEX('6-คาน เหล็กเสริม'!$Q:$Q,MATCH($B37,'6-คาน เหล็กเสริม'!$A:$A,0))*INDEX('6-คาน เหล็กเสริม'!$F:$F,MATCH($B37,'6-คาน เหล็กเสริม'!$A:$A,0))/1000)*INDEX('6-คาน เหล็กเสริม'!$F:$F,MATCH($B37,'6-คาน เหล็กเสริม'!$A:$A,0))^2/162</f>
        <v/>
      </c>
      <c r="O37" s="8">
        <f>INDEX('6-คาน เหล็กเสริม'!$G:$G,MATCH($B37,'6-คาน เหล็กเสริม'!$A:$A,0))*(F37+2*INDEX('6-คาน เหล็กเสริม'!$Q:$Q,MATCH($B37,'6-คาน เหล็กเสริม'!$A:$A,0))*INDEX('6-คาน เหล็กเสริม'!$H:$H,MATCH($B37,'6-คาน เหล็กเสริม'!$A:$A,0))/1000)*INDEX('6-คาน เหล็กเสริม'!$H:$H,MATCH($B37,'6-คาน เหล็กเสริม'!$A:$A,0))^2/162</f>
        <v/>
      </c>
      <c r="P37" s="8">
        <f>INDEX('6-คาน เหล็กเสริม'!$I:$I,MATCH($B37,'6-คาน เหล็กเสริม'!$A:$A,0))*2*(0.3*G37+INDEX('6-คาน เหล็กเสริม'!$Q:$Q,MATCH($B37,'6-คาน เหล็กเสริม'!$A:$A,0))*INDEX('6-คาน เหล็กเสริม'!$J:$J,MATCH($B37,'6-คาน เหล็กเสริม'!$A:$A,0))/1000)*INDEX('6-คาน เหล็กเสริม'!$J:$J,MATCH($B37,'6-คาน เหล็กเสริม'!$A:$A,0))^2/162+INDEX('6-คาน เหล็กเสริม'!$K:$K,MATCH($B37,'6-คาน เหล็กเสริม'!$A:$A,0))*0.7*G37*INDEX('6-คาน เหล็กเสริม'!$L:$L,MATCH($B37,'6-คาน เหล็กเสริม'!$A:$A,0))^2/162</f>
        <v/>
      </c>
      <c r="Q37" s="8">
        <f>R37*(2*(H37+I37)-8*INDEX('6-คาน เหล็กเสริม'!$P:$P,MATCH($B37,'6-คาน เหล็กเสริม'!$A:$A,0))+24*INDEX('6-คาน เหล็กเสริม'!$M:$M,MATCH($B37,'6-คาน เหล็กเสริม'!$A:$A,0))/1000)*INDEX('6-คาน เหล็กเสริม'!$M:$M,MATCH($B37,'6-คาน เหล็กเสริม'!$A:$A,0))^2/162</f>
        <v/>
      </c>
      <c r="R37" s="8">
        <f>IF(INDEX('6-คาน เหล็กเสริม'!$M:$M,MATCH($B37,'6-คาน เหล็กเสริม'!$A:$A,0))=0,0,2*ROUNDUP(G37/4/INDEX('6-คาน เหล็กเสริม'!$N:$N,MATCH($B37,'6-คาน เหล็กเสริม'!$A:$A,0)),0)+ROUNDUP(G37/2/INDEX('6-คาน เหล็กเสริม'!$O:$O,MATCH($B37,'6-คาน เหล็กเสริม'!$A:$A,0)),0)+1)</f>
        <v/>
      </c>
      <c r="S37" s="8">
        <f>SUM(N37:Q37)</f>
        <v/>
      </c>
      <c r="T37" s="8" t="inlineStr">
        <is>
          <t>แบบ</t>
        </is>
      </c>
    </row>
    <row r="38">
      <c r="A38" s="8" t="inlineStr">
        <is>
          <t>B1-035</t>
        </is>
      </c>
      <c r="B38" s="8" t="inlineStr">
        <is>
          <t>B1</t>
        </is>
      </c>
      <c r="C38" s="8" t="inlineStr">
        <is>
          <t>แนว 1</t>
        </is>
      </c>
      <c r="D38" s="8" t="inlineStr">
        <is>
          <t>1/I</t>
        </is>
      </c>
      <c r="E38" s="8" t="inlineStr">
        <is>
          <t>1/J</t>
        </is>
      </c>
      <c r="F38" s="9" t="n">
        <v>6</v>
      </c>
      <c r="G38" s="9" t="n">
        <v>5.7</v>
      </c>
      <c r="H38" s="9" t="n">
        <v>0.2</v>
      </c>
      <c r="I38" s="9" t="n">
        <v>0.6</v>
      </c>
      <c r="J38" s="9" t="n">
        <v>0.5</v>
      </c>
      <c r="K38" s="9" t="n">
        <v>-0.1</v>
      </c>
      <c r="L38" s="8">
        <f>H38*I38*G38</f>
        <v/>
      </c>
      <c r="M38" s="8">
        <f>(2*I38+H38)*G38</f>
        <v/>
      </c>
      <c r="N38" s="8">
        <f>INDEX('6-คาน เหล็กเสริม'!$E:$E,MATCH($B38,'6-คาน เหล็กเสริม'!$A:$A,0))*(F38+2*INDEX('6-คาน เหล็กเสริม'!$Q:$Q,MATCH($B38,'6-คาน เหล็กเสริม'!$A:$A,0))*INDEX('6-คาน เหล็กเสริม'!$F:$F,MATCH($B38,'6-คาน เหล็กเสริม'!$A:$A,0))/1000)*INDEX('6-คาน เหล็กเสริม'!$F:$F,MATCH($B38,'6-คาน เหล็กเสริม'!$A:$A,0))^2/162</f>
        <v/>
      </c>
      <c r="O38" s="8">
        <f>INDEX('6-คาน เหล็กเสริม'!$G:$G,MATCH($B38,'6-คาน เหล็กเสริม'!$A:$A,0))*(F38+2*INDEX('6-คาน เหล็กเสริม'!$Q:$Q,MATCH($B38,'6-คาน เหล็กเสริม'!$A:$A,0))*INDEX('6-คาน เหล็กเสริม'!$H:$H,MATCH($B38,'6-คาน เหล็กเสริม'!$A:$A,0))/1000)*INDEX('6-คาน เหล็กเสริม'!$H:$H,MATCH($B38,'6-คาน เหล็กเสริม'!$A:$A,0))^2/162</f>
        <v/>
      </c>
      <c r="P38" s="8">
        <f>INDEX('6-คาน เหล็กเสริม'!$I:$I,MATCH($B38,'6-คาน เหล็กเสริม'!$A:$A,0))*2*(0.3*G38+INDEX('6-คาน เหล็กเสริม'!$Q:$Q,MATCH($B38,'6-คาน เหล็กเสริม'!$A:$A,0))*INDEX('6-คาน เหล็กเสริม'!$J:$J,MATCH($B38,'6-คาน เหล็กเสริม'!$A:$A,0))/1000)*INDEX('6-คาน เหล็กเสริม'!$J:$J,MATCH($B38,'6-คาน เหล็กเสริม'!$A:$A,0))^2/162+INDEX('6-คาน เหล็กเสริม'!$K:$K,MATCH($B38,'6-คาน เหล็กเสริม'!$A:$A,0))*0.7*G38*INDEX('6-คาน เหล็กเสริม'!$L:$L,MATCH($B38,'6-คาน เหล็กเสริม'!$A:$A,0))^2/162</f>
        <v/>
      </c>
      <c r="Q38" s="8">
        <f>R38*(2*(H38+I38)-8*INDEX('6-คาน เหล็กเสริม'!$P:$P,MATCH($B38,'6-คาน เหล็กเสริม'!$A:$A,0))+24*INDEX('6-คาน เหล็กเสริม'!$M:$M,MATCH($B38,'6-คาน เหล็กเสริม'!$A:$A,0))/1000)*INDEX('6-คาน เหล็กเสริม'!$M:$M,MATCH($B38,'6-คาน เหล็กเสริม'!$A:$A,0))^2/162</f>
        <v/>
      </c>
      <c r="R38" s="8">
        <f>IF(INDEX('6-คาน เหล็กเสริม'!$M:$M,MATCH($B38,'6-คาน เหล็กเสริม'!$A:$A,0))=0,0,2*ROUNDUP(G38/4/INDEX('6-คาน เหล็กเสริม'!$N:$N,MATCH($B38,'6-คาน เหล็กเสริม'!$A:$A,0)),0)+ROUNDUP(G38/2/INDEX('6-คาน เหล็กเสริม'!$O:$O,MATCH($B38,'6-คาน เหล็กเสริม'!$A:$A,0)),0)+1)</f>
        <v/>
      </c>
      <c r="S38" s="8">
        <f>SUM(N38:Q38)</f>
        <v/>
      </c>
      <c r="T38" s="8" t="inlineStr">
        <is>
          <t>แบบ</t>
        </is>
      </c>
    </row>
    <row r="39">
      <c r="A39" s="8" t="inlineStr">
        <is>
          <t>B1-036</t>
        </is>
      </c>
      <c r="B39" s="8" t="inlineStr">
        <is>
          <t>B1</t>
        </is>
      </c>
      <c r="C39" s="8" t="inlineStr">
        <is>
          <t>แนว 6</t>
        </is>
      </c>
      <c r="D39" s="8" t="inlineStr">
        <is>
          <t>6/I</t>
        </is>
      </c>
      <c r="E39" s="8" t="inlineStr">
        <is>
          <t>6/J</t>
        </is>
      </c>
      <c r="F39" s="9" t="n">
        <v>6</v>
      </c>
      <c r="G39" s="9" t="n">
        <v>5.7</v>
      </c>
      <c r="H39" s="9" t="n">
        <v>0.2</v>
      </c>
      <c r="I39" s="9" t="n">
        <v>0.6</v>
      </c>
      <c r="J39" s="9" t="n">
        <v>0.5</v>
      </c>
      <c r="K39" s="9" t="n">
        <v>-0.1</v>
      </c>
      <c r="L39" s="8">
        <f>H39*I39*G39</f>
        <v/>
      </c>
      <c r="M39" s="8">
        <f>(2*I39+H39)*G39</f>
        <v/>
      </c>
      <c r="N39" s="8">
        <f>INDEX('6-คาน เหล็กเสริม'!$E:$E,MATCH($B39,'6-คาน เหล็กเสริม'!$A:$A,0))*(F39+2*INDEX('6-คาน เหล็กเสริม'!$Q:$Q,MATCH($B39,'6-คาน เหล็กเสริม'!$A:$A,0))*INDEX('6-คาน เหล็กเสริม'!$F:$F,MATCH($B39,'6-คาน เหล็กเสริม'!$A:$A,0))/1000)*INDEX('6-คาน เหล็กเสริม'!$F:$F,MATCH($B39,'6-คาน เหล็กเสริม'!$A:$A,0))^2/162</f>
        <v/>
      </c>
      <c r="O39" s="8">
        <f>INDEX('6-คาน เหล็กเสริม'!$G:$G,MATCH($B39,'6-คาน เหล็กเสริม'!$A:$A,0))*(F39+2*INDEX('6-คาน เหล็กเสริม'!$Q:$Q,MATCH($B39,'6-คาน เหล็กเสริม'!$A:$A,0))*INDEX('6-คาน เหล็กเสริม'!$H:$H,MATCH($B39,'6-คาน เหล็กเสริม'!$A:$A,0))/1000)*INDEX('6-คาน เหล็กเสริม'!$H:$H,MATCH($B39,'6-คาน เหล็กเสริม'!$A:$A,0))^2/162</f>
        <v/>
      </c>
      <c r="P39" s="8">
        <f>INDEX('6-คาน เหล็กเสริม'!$I:$I,MATCH($B39,'6-คาน เหล็กเสริม'!$A:$A,0))*2*(0.3*G39+INDEX('6-คาน เหล็กเสริม'!$Q:$Q,MATCH($B39,'6-คาน เหล็กเสริม'!$A:$A,0))*INDEX('6-คาน เหล็กเสริม'!$J:$J,MATCH($B39,'6-คาน เหล็กเสริม'!$A:$A,0))/1000)*INDEX('6-คาน เหล็กเสริม'!$J:$J,MATCH($B39,'6-คาน เหล็กเสริม'!$A:$A,0))^2/162+INDEX('6-คาน เหล็กเสริม'!$K:$K,MATCH($B39,'6-คาน เหล็กเสริม'!$A:$A,0))*0.7*G39*INDEX('6-คาน เหล็กเสริม'!$L:$L,MATCH($B39,'6-คาน เหล็กเสริม'!$A:$A,0))^2/162</f>
        <v/>
      </c>
      <c r="Q39" s="8">
        <f>R39*(2*(H39+I39)-8*INDEX('6-คาน เหล็กเสริม'!$P:$P,MATCH($B39,'6-คาน เหล็กเสริม'!$A:$A,0))+24*INDEX('6-คาน เหล็กเสริม'!$M:$M,MATCH($B39,'6-คาน เหล็กเสริม'!$A:$A,0))/1000)*INDEX('6-คาน เหล็กเสริม'!$M:$M,MATCH($B39,'6-คาน เหล็กเสริม'!$A:$A,0))^2/162</f>
        <v/>
      </c>
      <c r="R39" s="8">
        <f>IF(INDEX('6-คาน เหล็กเสริม'!$M:$M,MATCH($B39,'6-คาน เหล็กเสริม'!$A:$A,0))=0,0,2*ROUNDUP(G39/4/INDEX('6-คาน เหล็กเสริม'!$N:$N,MATCH($B39,'6-คาน เหล็กเสริม'!$A:$A,0)),0)+ROUNDUP(G39/2/INDEX('6-คาน เหล็กเสริม'!$O:$O,MATCH($B39,'6-คาน เหล็กเสริม'!$A:$A,0)),0)+1)</f>
        <v/>
      </c>
      <c r="S39" s="8">
        <f>SUM(N39:Q39)</f>
        <v/>
      </c>
      <c r="T39" s="8" t="inlineStr">
        <is>
          <t>แบบ</t>
        </is>
      </c>
    </row>
    <row r="40">
      <c r="A40" s="8" t="inlineStr">
        <is>
          <t>B1-037</t>
        </is>
      </c>
      <c r="B40" s="8" t="inlineStr">
        <is>
          <t>B1</t>
        </is>
      </c>
      <c r="C40" s="8" t="inlineStr">
        <is>
          <t>แนว 11</t>
        </is>
      </c>
      <c r="D40" s="8" t="inlineStr">
        <is>
          <t>11/I</t>
        </is>
      </c>
      <c r="E40" s="8" t="inlineStr">
        <is>
          <t>11/J</t>
        </is>
      </c>
      <c r="F40" s="9" t="n">
        <v>6</v>
      </c>
      <c r="G40" s="9" t="n">
        <v>5.7</v>
      </c>
      <c r="H40" s="9" t="n">
        <v>0.2</v>
      </c>
      <c r="I40" s="9" t="n">
        <v>0.6</v>
      </c>
      <c r="J40" s="9" t="n">
        <v>0.5</v>
      </c>
      <c r="K40" s="9" t="n">
        <v>-0.1</v>
      </c>
      <c r="L40" s="8">
        <f>H40*I40*G40</f>
        <v/>
      </c>
      <c r="M40" s="8">
        <f>(2*I40+H40)*G40</f>
        <v/>
      </c>
      <c r="N40" s="8">
        <f>INDEX('6-คาน เหล็กเสริม'!$E:$E,MATCH($B40,'6-คาน เหล็กเสริม'!$A:$A,0))*(F40+2*INDEX('6-คาน เหล็กเสริม'!$Q:$Q,MATCH($B40,'6-คาน เหล็กเสริม'!$A:$A,0))*INDEX('6-คาน เหล็กเสริม'!$F:$F,MATCH($B40,'6-คาน เหล็กเสริม'!$A:$A,0))/1000)*INDEX('6-คาน เหล็กเสริม'!$F:$F,MATCH($B40,'6-คาน เหล็กเสริม'!$A:$A,0))^2/162</f>
        <v/>
      </c>
      <c r="O40" s="8">
        <f>INDEX('6-คาน เหล็กเสริม'!$G:$G,MATCH($B40,'6-คาน เหล็กเสริม'!$A:$A,0))*(F40+2*INDEX('6-คาน เหล็กเสริม'!$Q:$Q,MATCH($B40,'6-คาน เหล็กเสริม'!$A:$A,0))*INDEX('6-คาน เหล็กเสริม'!$H:$H,MATCH($B40,'6-คาน เหล็กเสริม'!$A:$A,0))/1000)*INDEX('6-คาน เหล็กเสริม'!$H:$H,MATCH($B40,'6-คาน เหล็กเสริม'!$A:$A,0))^2/162</f>
        <v/>
      </c>
      <c r="P40" s="8">
        <f>INDEX('6-คาน เหล็กเสริม'!$I:$I,MATCH($B40,'6-คาน เหล็กเสริม'!$A:$A,0))*2*(0.3*G40+INDEX('6-คาน เหล็กเสริม'!$Q:$Q,MATCH($B40,'6-คาน เหล็กเสริม'!$A:$A,0))*INDEX('6-คาน เหล็กเสริม'!$J:$J,MATCH($B40,'6-คาน เหล็กเสริม'!$A:$A,0))/1000)*INDEX('6-คาน เหล็กเสริม'!$J:$J,MATCH($B40,'6-คาน เหล็กเสริม'!$A:$A,0))^2/162+INDEX('6-คาน เหล็กเสริม'!$K:$K,MATCH($B40,'6-คาน เหล็กเสริม'!$A:$A,0))*0.7*G40*INDEX('6-คาน เหล็กเสริม'!$L:$L,MATCH($B40,'6-คาน เหล็กเสริม'!$A:$A,0))^2/162</f>
        <v/>
      </c>
      <c r="Q40" s="8">
        <f>R40*(2*(H40+I40)-8*INDEX('6-คาน เหล็กเสริม'!$P:$P,MATCH($B40,'6-คาน เหล็กเสริม'!$A:$A,0))+24*INDEX('6-คาน เหล็กเสริม'!$M:$M,MATCH($B40,'6-คาน เหล็กเสริม'!$A:$A,0))/1000)*INDEX('6-คาน เหล็กเสริม'!$M:$M,MATCH($B40,'6-คาน เหล็กเสริม'!$A:$A,0))^2/162</f>
        <v/>
      </c>
      <c r="R40" s="8">
        <f>IF(INDEX('6-คาน เหล็กเสริม'!$M:$M,MATCH($B40,'6-คาน เหล็กเสริม'!$A:$A,0))=0,0,2*ROUNDUP(G40/4/INDEX('6-คาน เหล็กเสริม'!$N:$N,MATCH($B40,'6-คาน เหล็กเสริม'!$A:$A,0)),0)+ROUNDUP(G40/2/INDEX('6-คาน เหล็กเสริม'!$O:$O,MATCH($B40,'6-คาน เหล็กเสริม'!$A:$A,0)),0)+1)</f>
        <v/>
      </c>
      <c r="S40" s="8">
        <f>SUM(N40:Q40)</f>
        <v/>
      </c>
      <c r="T40" s="8" t="inlineStr">
        <is>
          <t>แบบ</t>
        </is>
      </c>
    </row>
    <row r="41">
      <c r="A41" s="8" t="inlineStr">
        <is>
          <t>B1-038</t>
        </is>
      </c>
      <c r="B41" s="8" t="inlineStr">
        <is>
          <t>B1</t>
        </is>
      </c>
      <c r="C41" s="8" t="inlineStr">
        <is>
          <t>แนว J</t>
        </is>
      </c>
      <c r="D41" s="8" t="inlineStr">
        <is>
          <t>1/J</t>
        </is>
      </c>
      <c r="E41" s="8" t="inlineStr">
        <is>
          <t>2/J</t>
        </is>
      </c>
      <c r="F41" s="9" t="n">
        <v>6</v>
      </c>
      <c r="G41" s="9" t="n">
        <v>5.7</v>
      </c>
      <c r="H41" s="9" t="n">
        <v>0.2</v>
      </c>
      <c r="I41" s="9" t="n">
        <v>0.6</v>
      </c>
      <c r="J41" s="9" t="n">
        <v>0.5</v>
      </c>
      <c r="K41" s="9" t="n">
        <v>-0.1</v>
      </c>
      <c r="L41" s="8">
        <f>H41*I41*G41</f>
        <v/>
      </c>
      <c r="M41" s="8">
        <f>(2*I41+H41)*G41</f>
        <v/>
      </c>
      <c r="N41" s="8">
        <f>INDEX('6-คาน เหล็กเสริม'!$E:$E,MATCH($B41,'6-คาน เหล็กเสริม'!$A:$A,0))*(F41+2*INDEX('6-คาน เหล็กเสริม'!$Q:$Q,MATCH($B41,'6-คาน เหล็กเสริม'!$A:$A,0))*INDEX('6-คาน เหล็กเสริม'!$F:$F,MATCH($B41,'6-คาน เหล็กเสริม'!$A:$A,0))/1000)*INDEX('6-คาน เหล็กเสริม'!$F:$F,MATCH($B41,'6-คาน เหล็กเสริม'!$A:$A,0))^2/162</f>
        <v/>
      </c>
      <c r="O41" s="8">
        <f>INDEX('6-คาน เหล็กเสริม'!$G:$G,MATCH($B41,'6-คาน เหล็กเสริม'!$A:$A,0))*(F41+2*INDEX('6-คาน เหล็กเสริม'!$Q:$Q,MATCH($B41,'6-คาน เหล็กเสริม'!$A:$A,0))*INDEX('6-คาน เหล็กเสริม'!$H:$H,MATCH($B41,'6-คาน เหล็กเสริม'!$A:$A,0))/1000)*INDEX('6-คาน เหล็กเสริม'!$H:$H,MATCH($B41,'6-คาน เหล็กเสริม'!$A:$A,0))^2/162</f>
        <v/>
      </c>
      <c r="P41" s="8">
        <f>INDEX('6-คาน เหล็กเสริม'!$I:$I,MATCH($B41,'6-คาน เหล็กเสริม'!$A:$A,0))*2*(0.3*G41+INDEX('6-คาน เหล็กเสริม'!$Q:$Q,MATCH($B41,'6-คาน เหล็กเสริม'!$A:$A,0))*INDEX('6-คาน เหล็กเสริม'!$J:$J,MATCH($B41,'6-คาน เหล็กเสริม'!$A:$A,0))/1000)*INDEX('6-คาน เหล็กเสริม'!$J:$J,MATCH($B41,'6-คาน เหล็กเสริม'!$A:$A,0))^2/162+INDEX('6-คาน เหล็กเสริม'!$K:$K,MATCH($B41,'6-คาน เหล็กเสริม'!$A:$A,0))*0.7*G41*INDEX('6-คาน เหล็กเสริม'!$L:$L,MATCH($B41,'6-คาน เหล็กเสริม'!$A:$A,0))^2/162</f>
        <v/>
      </c>
      <c r="Q41" s="8">
        <f>R41*(2*(H41+I41)-8*INDEX('6-คาน เหล็กเสริม'!$P:$P,MATCH($B41,'6-คาน เหล็กเสริม'!$A:$A,0))+24*INDEX('6-คาน เหล็กเสริม'!$M:$M,MATCH($B41,'6-คาน เหล็กเสริม'!$A:$A,0))/1000)*INDEX('6-คาน เหล็กเสริม'!$M:$M,MATCH($B41,'6-คาน เหล็กเสริม'!$A:$A,0))^2/162</f>
        <v/>
      </c>
      <c r="R41" s="8">
        <f>IF(INDEX('6-คาน เหล็กเสริม'!$M:$M,MATCH($B41,'6-คาน เหล็กเสริม'!$A:$A,0))=0,0,2*ROUNDUP(G41/4/INDEX('6-คาน เหล็กเสริม'!$N:$N,MATCH($B41,'6-คาน เหล็กเสริม'!$A:$A,0)),0)+ROUNDUP(G41/2/INDEX('6-คาน เหล็กเสริม'!$O:$O,MATCH($B41,'6-คาน เหล็กเสริม'!$A:$A,0)),0)+1)</f>
        <v/>
      </c>
      <c r="S41" s="8">
        <f>SUM(N41:Q41)</f>
        <v/>
      </c>
      <c r="T41" s="8" t="inlineStr">
        <is>
          <t>แบบ</t>
        </is>
      </c>
    </row>
    <row r="42">
      <c r="A42" s="8" t="inlineStr">
        <is>
          <t>B1-039</t>
        </is>
      </c>
      <c r="B42" s="8" t="inlineStr">
        <is>
          <t>B1</t>
        </is>
      </c>
      <c r="C42" s="8" t="inlineStr">
        <is>
          <t>แนว J</t>
        </is>
      </c>
      <c r="D42" s="8" t="inlineStr">
        <is>
          <t>2/J</t>
        </is>
      </c>
      <c r="E42" s="8" t="inlineStr">
        <is>
          <t>3/J</t>
        </is>
      </c>
      <c r="F42" s="9" t="n">
        <v>6</v>
      </c>
      <c r="G42" s="9" t="n">
        <v>5.7</v>
      </c>
      <c r="H42" s="9" t="n">
        <v>0.2</v>
      </c>
      <c r="I42" s="9" t="n">
        <v>0.6</v>
      </c>
      <c r="J42" s="9" t="n">
        <v>0.5</v>
      </c>
      <c r="K42" s="9" t="n">
        <v>-0.1</v>
      </c>
      <c r="L42" s="8">
        <f>H42*I42*G42</f>
        <v/>
      </c>
      <c r="M42" s="8">
        <f>(2*I42+H42)*G42</f>
        <v/>
      </c>
      <c r="N42" s="8">
        <f>INDEX('6-คาน เหล็กเสริม'!$E:$E,MATCH($B42,'6-คาน เหล็กเสริม'!$A:$A,0))*(F42+2*INDEX('6-คาน เหล็กเสริม'!$Q:$Q,MATCH($B42,'6-คาน เหล็กเสริม'!$A:$A,0))*INDEX('6-คาน เหล็กเสริม'!$F:$F,MATCH($B42,'6-คาน เหล็กเสริม'!$A:$A,0))/1000)*INDEX('6-คาน เหล็กเสริม'!$F:$F,MATCH($B42,'6-คาน เหล็กเสริม'!$A:$A,0))^2/162</f>
        <v/>
      </c>
      <c r="O42" s="8">
        <f>INDEX('6-คาน เหล็กเสริม'!$G:$G,MATCH($B42,'6-คาน เหล็กเสริม'!$A:$A,0))*(F42+2*INDEX('6-คาน เหล็กเสริม'!$Q:$Q,MATCH($B42,'6-คาน เหล็กเสริม'!$A:$A,0))*INDEX('6-คาน เหล็กเสริม'!$H:$H,MATCH($B42,'6-คาน เหล็กเสริม'!$A:$A,0))/1000)*INDEX('6-คาน เหล็กเสริม'!$H:$H,MATCH($B42,'6-คาน เหล็กเสริม'!$A:$A,0))^2/162</f>
        <v/>
      </c>
      <c r="P42" s="8">
        <f>INDEX('6-คาน เหล็กเสริม'!$I:$I,MATCH($B42,'6-คาน เหล็กเสริม'!$A:$A,0))*2*(0.3*G42+INDEX('6-คาน เหล็กเสริม'!$Q:$Q,MATCH($B42,'6-คาน เหล็กเสริม'!$A:$A,0))*INDEX('6-คาน เหล็กเสริม'!$J:$J,MATCH($B42,'6-คาน เหล็กเสริม'!$A:$A,0))/1000)*INDEX('6-คาน เหล็กเสริม'!$J:$J,MATCH($B42,'6-คาน เหล็กเสริม'!$A:$A,0))^2/162+INDEX('6-คาน เหล็กเสริม'!$K:$K,MATCH($B42,'6-คาน เหล็กเสริม'!$A:$A,0))*0.7*G42*INDEX('6-คาน เหล็กเสริม'!$L:$L,MATCH($B42,'6-คาน เหล็กเสริม'!$A:$A,0))^2/162</f>
        <v/>
      </c>
      <c r="Q42" s="8">
        <f>R42*(2*(H42+I42)-8*INDEX('6-คาน เหล็กเสริม'!$P:$P,MATCH($B42,'6-คาน เหล็กเสริม'!$A:$A,0))+24*INDEX('6-คาน เหล็กเสริม'!$M:$M,MATCH($B42,'6-คาน เหล็กเสริม'!$A:$A,0))/1000)*INDEX('6-คาน เหล็กเสริม'!$M:$M,MATCH($B42,'6-คาน เหล็กเสริม'!$A:$A,0))^2/162</f>
        <v/>
      </c>
      <c r="R42" s="8">
        <f>IF(INDEX('6-คาน เหล็กเสริม'!$M:$M,MATCH($B42,'6-คาน เหล็กเสริม'!$A:$A,0))=0,0,2*ROUNDUP(G42/4/INDEX('6-คาน เหล็กเสริม'!$N:$N,MATCH($B42,'6-คาน เหล็กเสริม'!$A:$A,0)),0)+ROUNDUP(G42/2/INDEX('6-คาน เหล็กเสริม'!$O:$O,MATCH($B42,'6-คาน เหล็กเสริม'!$A:$A,0)),0)+1)</f>
        <v/>
      </c>
      <c r="S42" s="8">
        <f>SUM(N42:Q42)</f>
        <v/>
      </c>
      <c r="T42" s="8" t="inlineStr">
        <is>
          <t>แบบ</t>
        </is>
      </c>
    </row>
    <row r="43">
      <c r="A43" s="8" t="inlineStr">
        <is>
          <t>B1-040</t>
        </is>
      </c>
      <c r="B43" s="8" t="inlineStr">
        <is>
          <t>B1</t>
        </is>
      </c>
      <c r="C43" s="8" t="inlineStr">
        <is>
          <t>แนว J</t>
        </is>
      </c>
      <c r="D43" s="8" t="inlineStr">
        <is>
          <t>3/J</t>
        </is>
      </c>
      <c r="E43" s="8" t="inlineStr">
        <is>
          <t>4/J</t>
        </is>
      </c>
      <c r="F43" s="9" t="n">
        <v>6</v>
      </c>
      <c r="G43" s="9" t="n">
        <v>5.7</v>
      </c>
      <c r="H43" s="9" t="n">
        <v>0.2</v>
      </c>
      <c r="I43" s="9" t="n">
        <v>0.6</v>
      </c>
      <c r="J43" s="9" t="n">
        <v>0.5</v>
      </c>
      <c r="K43" s="9" t="n">
        <v>-0.1</v>
      </c>
      <c r="L43" s="8">
        <f>H43*I43*G43</f>
        <v/>
      </c>
      <c r="M43" s="8">
        <f>(2*I43+H43)*G43</f>
        <v/>
      </c>
      <c r="N43" s="8">
        <f>INDEX('6-คาน เหล็กเสริม'!$E:$E,MATCH($B43,'6-คาน เหล็กเสริม'!$A:$A,0))*(F43+2*INDEX('6-คาน เหล็กเสริม'!$Q:$Q,MATCH($B43,'6-คาน เหล็กเสริม'!$A:$A,0))*INDEX('6-คาน เหล็กเสริม'!$F:$F,MATCH($B43,'6-คาน เหล็กเสริม'!$A:$A,0))/1000)*INDEX('6-คาน เหล็กเสริม'!$F:$F,MATCH($B43,'6-คาน เหล็กเสริม'!$A:$A,0))^2/162</f>
        <v/>
      </c>
      <c r="O43" s="8">
        <f>INDEX('6-คาน เหล็กเสริม'!$G:$G,MATCH($B43,'6-คาน เหล็กเสริม'!$A:$A,0))*(F43+2*INDEX('6-คาน เหล็กเสริม'!$Q:$Q,MATCH($B43,'6-คาน เหล็กเสริม'!$A:$A,0))*INDEX('6-คาน เหล็กเสริม'!$H:$H,MATCH($B43,'6-คาน เหล็กเสริม'!$A:$A,0))/1000)*INDEX('6-คาน เหล็กเสริม'!$H:$H,MATCH($B43,'6-คาน เหล็กเสริม'!$A:$A,0))^2/162</f>
        <v/>
      </c>
      <c r="P43" s="8">
        <f>INDEX('6-คาน เหล็กเสริม'!$I:$I,MATCH($B43,'6-คาน เหล็กเสริม'!$A:$A,0))*2*(0.3*G43+INDEX('6-คาน เหล็กเสริม'!$Q:$Q,MATCH($B43,'6-คาน เหล็กเสริม'!$A:$A,0))*INDEX('6-คาน เหล็กเสริม'!$J:$J,MATCH($B43,'6-คาน เหล็กเสริม'!$A:$A,0))/1000)*INDEX('6-คาน เหล็กเสริม'!$J:$J,MATCH($B43,'6-คาน เหล็กเสริม'!$A:$A,0))^2/162+INDEX('6-คาน เหล็กเสริม'!$K:$K,MATCH($B43,'6-คาน เหล็กเสริม'!$A:$A,0))*0.7*G43*INDEX('6-คาน เหล็กเสริม'!$L:$L,MATCH($B43,'6-คาน เหล็กเสริม'!$A:$A,0))^2/162</f>
        <v/>
      </c>
      <c r="Q43" s="8">
        <f>R43*(2*(H43+I43)-8*INDEX('6-คาน เหล็กเสริม'!$P:$P,MATCH($B43,'6-คาน เหล็กเสริม'!$A:$A,0))+24*INDEX('6-คาน เหล็กเสริม'!$M:$M,MATCH($B43,'6-คาน เหล็กเสริม'!$A:$A,0))/1000)*INDEX('6-คาน เหล็กเสริม'!$M:$M,MATCH($B43,'6-คาน เหล็กเสริม'!$A:$A,0))^2/162</f>
        <v/>
      </c>
      <c r="R43" s="8">
        <f>IF(INDEX('6-คาน เหล็กเสริม'!$M:$M,MATCH($B43,'6-คาน เหล็กเสริม'!$A:$A,0))=0,0,2*ROUNDUP(G43/4/INDEX('6-คาน เหล็กเสริม'!$N:$N,MATCH($B43,'6-คาน เหล็กเสริม'!$A:$A,0)),0)+ROUNDUP(G43/2/INDEX('6-คาน เหล็กเสริม'!$O:$O,MATCH($B43,'6-คาน เหล็กเสริม'!$A:$A,0)),0)+1)</f>
        <v/>
      </c>
      <c r="S43" s="8">
        <f>SUM(N43:Q43)</f>
        <v/>
      </c>
      <c r="T43" s="8" t="inlineStr">
        <is>
          <t>แบบ</t>
        </is>
      </c>
    </row>
    <row r="44">
      <c r="A44" s="8" t="inlineStr">
        <is>
          <t>B1-041</t>
        </is>
      </c>
      <c r="B44" s="8" t="inlineStr">
        <is>
          <t>B1</t>
        </is>
      </c>
      <c r="C44" s="8" t="inlineStr">
        <is>
          <t>แนว J</t>
        </is>
      </c>
      <c r="D44" s="8" t="inlineStr">
        <is>
          <t>4/J</t>
        </is>
      </c>
      <c r="E44" s="8" t="inlineStr">
        <is>
          <t>5/J</t>
        </is>
      </c>
      <c r="F44" s="9" t="n">
        <v>6</v>
      </c>
      <c r="G44" s="9" t="n">
        <v>5.7</v>
      </c>
      <c r="H44" s="9" t="n">
        <v>0.2</v>
      </c>
      <c r="I44" s="9" t="n">
        <v>0.6</v>
      </c>
      <c r="J44" s="9" t="n">
        <v>0.5</v>
      </c>
      <c r="K44" s="9" t="n">
        <v>-0.1</v>
      </c>
      <c r="L44" s="8">
        <f>H44*I44*G44</f>
        <v/>
      </c>
      <c r="M44" s="8">
        <f>(2*I44+H44)*G44</f>
        <v/>
      </c>
      <c r="N44" s="8">
        <f>INDEX('6-คาน เหล็กเสริม'!$E:$E,MATCH($B44,'6-คาน เหล็กเสริม'!$A:$A,0))*(F44+2*INDEX('6-คาน เหล็กเสริม'!$Q:$Q,MATCH($B44,'6-คาน เหล็กเสริม'!$A:$A,0))*INDEX('6-คาน เหล็กเสริม'!$F:$F,MATCH($B44,'6-คาน เหล็กเสริม'!$A:$A,0))/1000)*INDEX('6-คาน เหล็กเสริม'!$F:$F,MATCH($B44,'6-คาน เหล็กเสริม'!$A:$A,0))^2/162</f>
        <v/>
      </c>
      <c r="O44" s="8">
        <f>INDEX('6-คาน เหล็กเสริม'!$G:$G,MATCH($B44,'6-คาน เหล็กเสริม'!$A:$A,0))*(F44+2*INDEX('6-คาน เหล็กเสริม'!$Q:$Q,MATCH($B44,'6-คาน เหล็กเสริม'!$A:$A,0))*INDEX('6-คาน เหล็กเสริม'!$H:$H,MATCH($B44,'6-คาน เหล็กเสริม'!$A:$A,0))/1000)*INDEX('6-คาน เหล็กเสริม'!$H:$H,MATCH($B44,'6-คาน เหล็กเสริม'!$A:$A,0))^2/162</f>
        <v/>
      </c>
      <c r="P44" s="8">
        <f>INDEX('6-คาน เหล็กเสริม'!$I:$I,MATCH($B44,'6-คาน เหล็กเสริม'!$A:$A,0))*2*(0.3*G44+INDEX('6-คาน เหล็กเสริม'!$Q:$Q,MATCH($B44,'6-คาน เหล็กเสริม'!$A:$A,0))*INDEX('6-คาน เหล็กเสริม'!$J:$J,MATCH($B44,'6-คาน เหล็กเสริม'!$A:$A,0))/1000)*INDEX('6-คาน เหล็กเสริม'!$J:$J,MATCH($B44,'6-คาน เหล็กเสริม'!$A:$A,0))^2/162+INDEX('6-คาน เหล็กเสริม'!$K:$K,MATCH($B44,'6-คาน เหล็กเสริม'!$A:$A,0))*0.7*G44*INDEX('6-คาน เหล็กเสริม'!$L:$L,MATCH($B44,'6-คาน เหล็กเสริม'!$A:$A,0))^2/162</f>
        <v/>
      </c>
      <c r="Q44" s="8">
        <f>R44*(2*(H44+I44)-8*INDEX('6-คาน เหล็กเสริม'!$P:$P,MATCH($B44,'6-คาน เหล็กเสริม'!$A:$A,0))+24*INDEX('6-คาน เหล็กเสริม'!$M:$M,MATCH($B44,'6-คาน เหล็กเสริม'!$A:$A,0))/1000)*INDEX('6-คาน เหล็กเสริม'!$M:$M,MATCH($B44,'6-คาน เหล็กเสริม'!$A:$A,0))^2/162</f>
        <v/>
      </c>
      <c r="R44" s="8">
        <f>IF(INDEX('6-คาน เหล็กเสริม'!$M:$M,MATCH($B44,'6-คาน เหล็กเสริม'!$A:$A,0))=0,0,2*ROUNDUP(G44/4/INDEX('6-คาน เหล็กเสริม'!$N:$N,MATCH($B44,'6-คาน เหล็กเสริม'!$A:$A,0)),0)+ROUNDUP(G44/2/INDEX('6-คาน เหล็กเสริม'!$O:$O,MATCH($B44,'6-คาน เหล็กเสริม'!$A:$A,0)),0)+1)</f>
        <v/>
      </c>
      <c r="S44" s="8">
        <f>SUM(N44:Q44)</f>
        <v/>
      </c>
      <c r="T44" s="8" t="inlineStr">
        <is>
          <t>แบบ</t>
        </is>
      </c>
    </row>
    <row r="45">
      <c r="A45" s="8" t="inlineStr">
        <is>
          <t>B1-042</t>
        </is>
      </c>
      <c r="B45" s="8" t="inlineStr">
        <is>
          <t>B1</t>
        </is>
      </c>
      <c r="C45" s="8" t="inlineStr">
        <is>
          <t>แนว J</t>
        </is>
      </c>
      <c r="D45" s="8" t="inlineStr">
        <is>
          <t>5/J</t>
        </is>
      </c>
      <c r="E45" s="8" t="inlineStr">
        <is>
          <t>6/J</t>
        </is>
      </c>
      <c r="F45" s="9" t="n">
        <v>6</v>
      </c>
      <c r="G45" s="9" t="n">
        <v>5.7</v>
      </c>
      <c r="H45" s="9" t="n">
        <v>0.2</v>
      </c>
      <c r="I45" s="9" t="n">
        <v>0.6</v>
      </c>
      <c r="J45" s="9" t="n">
        <v>0.5</v>
      </c>
      <c r="K45" s="9" t="n">
        <v>-0.1</v>
      </c>
      <c r="L45" s="8">
        <f>H45*I45*G45</f>
        <v/>
      </c>
      <c r="M45" s="8">
        <f>(2*I45+H45)*G45</f>
        <v/>
      </c>
      <c r="N45" s="8">
        <f>INDEX('6-คาน เหล็กเสริม'!$E:$E,MATCH($B45,'6-คาน เหล็กเสริม'!$A:$A,0))*(F45+2*INDEX('6-คาน เหล็กเสริม'!$Q:$Q,MATCH($B45,'6-คาน เหล็กเสริม'!$A:$A,0))*INDEX('6-คาน เหล็กเสริม'!$F:$F,MATCH($B45,'6-คาน เหล็กเสริม'!$A:$A,0))/1000)*INDEX('6-คาน เหล็กเสริม'!$F:$F,MATCH($B45,'6-คาน เหล็กเสริม'!$A:$A,0))^2/162</f>
        <v/>
      </c>
      <c r="O45" s="8">
        <f>INDEX('6-คาน เหล็กเสริม'!$G:$G,MATCH($B45,'6-คาน เหล็กเสริม'!$A:$A,0))*(F45+2*INDEX('6-คาน เหล็กเสริม'!$Q:$Q,MATCH($B45,'6-คาน เหล็กเสริม'!$A:$A,0))*INDEX('6-คาน เหล็กเสริม'!$H:$H,MATCH($B45,'6-คาน เหล็กเสริม'!$A:$A,0))/1000)*INDEX('6-คาน เหล็กเสริม'!$H:$H,MATCH($B45,'6-คาน เหล็กเสริม'!$A:$A,0))^2/162</f>
        <v/>
      </c>
      <c r="P45" s="8">
        <f>INDEX('6-คาน เหล็กเสริม'!$I:$I,MATCH($B45,'6-คาน เหล็กเสริม'!$A:$A,0))*2*(0.3*G45+INDEX('6-คาน เหล็กเสริม'!$Q:$Q,MATCH($B45,'6-คาน เหล็กเสริม'!$A:$A,0))*INDEX('6-คาน เหล็กเสริม'!$J:$J,MATCH($B45,'6-คาน เหล็กเสริม'!$A:$A,0))/1000)*INDEX('6-คาน เหล็กเสริม'!$J:$J,MATCH($B45,'6-คาน เหล็กเสริม'!$A:$A,0))^2/162+INDEX('6-คาน เหล็กเสริม'!$K:$K,MATCH($B45,'6-คาน เหล็กเสริม'!$A:$A,0))*0.7*G45*INDEX('6-คาน เหล็กเสริม'!$L:$L,MATCH($B45,'6-คาน เหล็กเสริม'!$A:$A,0))^2/162</f>
        <v/>
      </c>
      <c r="Q45" s="8">
        <f>R45*(2*(H45+I45)-8*INDEX('6-คาน เหล็กเสริม'!$P:$P,MATCH($B45,'6-คาน เหล็กเสริม'!$A:$A,0))+24*INDEX('6-คาน เหล็กเสริม'!$M:$M,MATCH($B45,'6-คาน เหล็กเสริม'!$A:$A,0))/1000)*INDEX('6-คาน เหล็กเสริม'!$M:$M,MATCH($B45,'6-คาน เหล็กเสริม'!$A:$A,0))^2/162</f>
        <v/>
      </c>
      <c r="R45" s="8">
        <f>IF(INDEX('6-คาน เหล็กเสริม'!$M:$M,MATCH($B45,'6-คาน เหล็กเสริม'!$A:$A,0))=0,0,2*ROUNDUP(G45/4/INDEX('6-คาน เหล็กเสริม'!$N:$N,MATCH($B45,'6-คาน เหล็กเสริม'!$A:$A,0)),0)+ROUNDUP(G45/2/INDEX('6-คาน เหล็กเสริม'!$O:$O,MATCH($B45,'6-คาน เหล็กเสริม'!$A:$A,0)),0)+1)</f>
        <v/>
      </c>
      <c r="S45" s="8">
        <f>SUM(N45:Q45)</f>
        <v/>
      </c>
      <c r="T45" s="8" t="inlineStr">
        <is>
          <t>แบบ</t>
        </is>
      </c>
    </row>
    <row r="46">
      <c r="A46" s="8" t="inlineStr">
        <is>
          <t>B1-043</t>
        </is>
      </c>
      <c r="B46" s="8" t="inlineStr">
        <is>
          <t>B1</t>
        </is>
      </c>
      <c r="C46" s="8" t="inlineStr">
        <is>
          <t>แนว J</t>
        </is>
      </c>
      <c r="D46" s="8" t="inlineStr">
        <is>
          <t>6/J</t>
        </is>
      </c>
      <c r="E46" s="8" t="inlineStr">
        <is>
          <t>7/J</t>
        </is>
      </c>
      <c r="F46" s="9" t="n">
        <v>6</v>
      </c>
      <c r="G46" s="9" t="n">
        <v>5.7</v>
      </c>
      <c r="H46" s="9" t="n">
        <v>0.2</v>
      </c>
      <c r="I46" s="9" t="n">
        <v>0.6</v>
      </c>
      <c r="J46" s="9" t="n">
        <v>0.5</v>
      </c>
      <c r="K46" s="9" t="n">
        <v>-0.1</v>
      </c>
      <c r="L46" s="8">
        <f>H46*I46*G46</f>
        <v/>
      </c>
      <c r="M46" s="8">
        <f>(2*I46+H46)*G46</f>
        <v/>
      </c>
      <c r="N46" s="8">
        <f>INDEX('6-คาน เหล็กเสริม'!$E:$E,MATCH($B46,'6-คาน เหล็กเสริม'!$A:$A,0))*(F46+2*INDEX('6-คาน เหล็กเสริม'!$Q:$Q,MATCH($B46,'6-คาน เหล็กเสริม'!$A:$A,0))*INDEX('6-คาน เหล็กเสริม'!$F:$F,MATCH($B46,'6-คาน เหล็กเสริม'!$A:$A,0))/1000)*INDEX('6-คาน เหล็กเสริม'!$F:$F,MATCH($B46,'6-คาน เหล็กเสริม'!$A:$A,0))^2/162</f>
        <v/>
      </c>
      <c r="O46" s="8">
        <f>INDEX('6-คาน เหล็กเสริม'!$G:$G,MATCH($B46,'6-คาน เหล็กเสริม'!$A:$A,0))*(F46+2*INDEX('6-คาน เหล็กเสริม'!$Q:$Q,MATCH($B46,'6-คาน เหล็กเสริม'!$A:$A,0))*INDEX('6-คาน เหล็กเสริม'!$H:$H,MATCH($B46,'6-คาน เหล็กเสริม'!$A:$A,0))/1000)*INDEX('6-คาน เหล็กเสริม'!$H:$H,MATCH($B46,'6-คาน เหล็กเสริม'!$A:$A,0))^2/162</f>
        <v/>
      </c>
      <c r="P46" s="8">
        <f>INDEX('6-คาน เหล็กเสริม'!$I:$I,MATCH($B46,'6-คาน เหล็กเสริม'!$A:$A,0))*2*(0.3*G46+INDEX('6-คาน เหล็กเสริม'!$Q:$Q,MATCH($B46,'6-คาน เหล็กเสริม'!$A:$A,0))*INDEX('6-คาน เหล็กเสริม'!$J:$J,MATCH($B46,'6-คาน เหล็กเสริม'!$A:$A,0))/1000)*INDEX('6-คาน เหล็กเสริม'!$J:$J,MATCH($B46,'6-คาน เหล็กเสริม'!$A:$A,0))^2/162+INDEX('6-คาน เหล็กเสริม'!$K:$K,MATCH($B46,'6-คาน เหล็กเสริม'!$A:$A,0))*0.7*G46*INDEX('6-คาน เหล็กเสริม'!$L:$L,MATCH($B46,'6-คาน เหล็กเสริม'!$A:$A,0))^2/162</f>
        <v/>
      </c>
      <c r="Q46" s="8">
        <f>R46*(2*(H46+I46)-8*INDEX('6-คาน เหล็กเสริม'!$P:$P,MATCH($B46,'6-คาน เหล็กเสริม'!$A:$A,0))+24*INDEX('6-คาน เหล็กเสริม'!$M:$M,MATCH($B46,'6-คาน เหล็กเสริม'!$A:$A,0))/1000)*INDEX('6-คาน เหล็กเสริม'!$M:$M,MATCH($B46,'6-คาน เหล็กเสริม'!$A:$A,0))^2/162</f>
        <v/>
      </c>
      <c r="R46" s="8">
        <f>IF(INDEX('6-คาน เหล็กเสริม'!$M:$M,MATCH($B46,'6-คาน เหล็กเสริม'!$A:$A,0))=0,0,2*ROUNDUP(G46/4/INDEX('6-คาน เหล็กเสริม'!$N:$N,MATCH($B46,'6-คาน เหล็กเสริม'!$A:$A,0)),0)+ROUNDUP(G46/2/INDEX('6-คาน เหล็กเสริม'!$O:$O,MATCH($B46,'6-คาน เหล็กเสริม'!$A:$A,0)),0)+1)</f>
        <v/>
      </c>
      <c r="S46" s="8">
        <f>SUM(N46:Q46)</f>
        <v/>
      </c>
      <c r="T46" s="8" t="inlineStr">
        <is>
          <t>แบบ</t>
        </is>
      </c>
    </row>
    <row r="47">
      <c r="A47" s="8" t="inlineStr">
        <is>
          <t>B1-044</t>
        </is>
      </c>
      <c r="B47" s="8" t="inlineStr">
        <is>
          <t>B1</t>
        </is>
      </c>
      <c r="C47" s="8" t="inlineStr">
        <is>
          <t>แนว J</t>
        </is>
      </c>
      <c r="D47" s="8" t="inlineStr">
        <is>
          <t>7/J</t>
        </is>
      </c>
      <c r="E47" s="8" t="inlineStr">
        <is>
          <t>8/J</t>
        </is>
      </c>
      <c r="F47" s="9" t="n">
        <v>6</v>
      </c>
      <c r="G47" s="9" t="n">
        <v>5.7</v>
      </c>
      <c r="H47" s="9" t="n">
        <v>0.2</v>
      </c>
      <c r="I47" s="9" t="n">
        <v>0.6</v>
      </c>
      <c r="J47" s="9" t="n">
        <v>0.5</v>
      </c>
      <c r="K47" s="9" t="n">
        <v>-0.1</v>
      </c>
      <c r="L47" s="8">
        <f>H47*I47*G47</f>
        <v/>
      </c>
      <c r="M47" s="8">
        <f>(2*I47+H47)*G47</f>
        <v/>
      </c>
      <c r="N47" s="8">
        <f>INDEX('6-คาน เหล็กเสริม'!$E:$E,MATCH($B47,'6-คาน เหล็กเสริม'!$A:$A,0))*(F47+2*INDEX('6-คาน เหล็กเสริม'!$Q:$Q,MATCH($B47,'6-คาน เหล็กเสริม'!$A:$A,0))*INDEX('6-คาน เหล็กเสริม'!$F:$F,MATCH($B47,'6-คาน เหล็กเสริม'!$A:$A,0))/1000)*INDEX('6-คาน เหล็กเสริม'!$F:$F,MATCH($B47,'6-คาน เหล็กเสริม'!$A:$A,0))^2/162</f>
        <v/>
      </c>
      <c r="O47" s="8">
        <f>INDEX('6-คาน เหล็กเสริม'!$G:$G,MATCH($B47,'6-คาน เหล็กเสริม'!$A:$A,0))*(F47+2*INDEX('6-คาน เหล็กเสริม'!$Q:$Q,MATCH($B47,'6-คาน เหล็กเสริม'!$A:$A,0))*INDEX('6-คาน เหล็กเสริม'!$H:$H,MATCH($B47,'6-คาน เหล็กเสริม'!$A:$A,0))/1000)*INDEX('6-คาน เหล็กเสริม'!$H:$H,MATCH($B47,'6-คาน เหล็กเสริม'!$A:$A,0))^2/162</f>
        <v/>
      </c>
      <c r="P47" s="8">
        <f>INDEX('6-คาน เหล็กเสริม'!$I:$I,MATCH($B47,'6-คาน เหล็กเสริม'!$A:$A,0))*2*(0.3*G47+INDEX('6-คาน เหล็กเสริม'!$Q:$Q,MATCH($B47,'6-คาน เหล็กเสริม'!$A:$A,0))*INDEX('6-คาน เหล็กเสริม'!$J:$J,MATCH($B47,'6-คาน เหล็กเสริม'!$A:$A,0))/1000)*INDEX('6-คาน เหล็กเสริม'!$J:$J,MATCH($B47,'6-คาน เหล็กเสริม'!$A:$A,0))^2/162+INDEX('6-คาน เหล็กเสริม'!$K:$K,MATCH($B47,'6-คาน เหล็กเสริม'!$A:$A,0))*0.7*G47*INDEX('6-คาน เหล็กเสริม'!$L:$L,MATCH($B47,'6-คาน เหล็กเสริม'!$A:$A,0))^2/162</f>
        <v/>
      </c>
      <c r="Q47" s="8">
        <f>R47*(2*(H47+I47)-8*INDEX('6-คาน เหล็กเสริม'!$P:$P,MATCH($B47,'6-คาน เหล็กเสริม'!$A:$A,0))+24*INDEX('6-คาน เหล็กเสริม'!$M:$M,MATCH($B47,'6-คาน เหล็กเสริม'!$A:$A,0))/1000)*INDEX('6-คาน เหล็กเสริม'!$M:$M,MATCH($B47,'6-คาน เหล็กเสริม'!$A:$A,0))^2/162</f>
        <v/>
      </c>
      <c r="R47" s="8">
        <f>IF(INDEX('6-คาน เหล็กเสริม'!$M:$M,MATCH($B47,'6-คาน เหล็กเสริม'!$A:$A,0))=0,0,2*ROUNDUP(G47/4/INDEX('6-คาน เหล็กเสริม'!$N:$N,MATCH($B47,'6-คาน เหล็กเสริม'!$A:$A,0)),0)+ROUNDUP(G47/2/INDEX('6-คาน เหล็กเสริม'!$O:$O,MATCH($B47,'6-คาน เหล็กเสริม'!$A:$A,0)),0)+1)</f>
        <v/>
      </c>
      <c r="S47" s="8">
        <f>SUM(N47:Q47)</f>
        <v/>
      </c>
      <c r="T47" s="8" t="inlineStr">
        <is>
          <t>แบบ</t>
        </is>
      </c>
    </row>
    <row r="48">
      <c r="A48" s="8" t="inlineStr">
        <is>
          <t>B1-045</t>
        </is>
      </c>
      <c r="B48" s="8" t="inlineStr">
        <is>
          <t>B1</t>
        </is>
      </c>
      <c r="C48" s="8" t="inlineStr">
        <is>
          <t>แนว J</t>
        </is>
      </c>
      <c r="D48" s="8" t="inlineStr">
        <is>
          <t>8/J</t>
        </is>
      </c>
      <c r="E48" s="8" t="inlineStr">
        <is>
          <t>9/J</t>
        </is>
      </c>
      <c r="F48" s="9" t="n">
        <v>6</v>
      </c>
      <c r="G48" s="9" t="n">
        <v>5.7</v>
      </c>
      <c r="H48" s="9" t="n">
        <v>0.2</v>
      </c>
      <c r="I48" s="9" t="n">
        <v>0.6</v>
      </c>
      <c r="J48" s="9" t="n">
        <v>0.5</v>
      </c>
      <c r="K48" s="9" t="n">
        <v>-0.1</v>
      </c>
      <c r="L48" s="8">
        <f>H48*I48*G48</f>
        <v/>
      </c>
      <c r="M48" s="8">
        <f>(2*I48+H48)*G48</f>
        <v/>
      </c>
      <c r="N48" s="8">
        <f>INDEX('6-คาน เหล็กเสริม'!$E:$E,MATCH($B48,'6-คาน เหล็กเสริม'!$A:$A,0))*(F48+2*INDEX('6-คาน เหล็กเสริม'!$Q:$Q,MATCH($B48,'6-คาน เหล็กเสริม'!$A:$A,0))*INDEX('6-คาน เหล็กเสริม'!$F:$F,MATCH($B48,'6-คาน เหล็กเสริม'!$A:$A,0))/1000)*INDEX('6-คาน เหล็กเสริม'!$F:$F,MATCH($B48,'6-คาน เหล็กเสริม'!$A:$A,0))^2/162</f>
        <v/>
      </c>
      <c r="O48" s="8">
        <f>INDEX('6-คาน เหล็กเสริม'!$G:$G,MATCH($B48,'6-คาน เหล็กเสริม'!$A:$A,0))*(F48+2*INDEX('6-คาน เหล็กเสริม'!$Q:$Q,MATCH($B48,'6-คาน เหล็กเสริม'!$A:$A,0))*INDEX('6-คาน เหล็กเสริม'!$H:$H,MATCH($B48,'6-คาน เหล็กเสริม'!$A:$A,0))/1000)*INDEX('6-คาน เหล็กเสริม'!$H:$H,MATCH($B48,'6-คาน เหล็กเสริม'!$A:$A,0))^2/162</f>
        <v/>
      </c>
      <c r="P48" s="8">
        <f>INDEX('6-คาน เหล็กเสริม'!$I:$I,MATCH($B48,'6-คาน เหล็กเสริม'!$A:$A,0))*2*(0.3*G48+INDEX('6-คาน เหล็กเสริม'!$Q:$Q,MATCH($B48,'6-คาน เหล็กเสริม'!$A:$A,0))*INDEX('6-คาน เหล็กเสริม'!$J:$J,MATCH($B48,'6-คาน เหล็กเสริม'!$A:$A,0))/1000)*INDEX('6-คาน เหล็กเสริม'!$J:$J,MATCH($B48,'6-คาน เหล็กเสริม'!$A:$A,0))^2/162+INDEX('6-คาน เหล็กเสริม'!$K:$K,MATCH($B48,'6-คาน เหล็กเสริม'!$A:$A,0))*0.7*G48*INDEX('6-คาน เหล็กเสริม'!$L:$L,MATCH($B48,'6-คาน เหล็กเสริม'!$A:$A,0))^2/162</f>
        <v/>
      </c>
      <c r="Q48" s="8">
        <f>R48*(2*(H48+I48)-8*INDEX('6-คาน เหล็กเสริม'!$P:$P,MATCH($B48,'6-คาน เหล็กเสริม'!$A:$A,0))+24*INDEX('6-คาน เหล็กเสริม'!$M:$M,MATCH($B48,'6-คาน เหล็กเสริม'!$A:$A,0))/1000)*INDEX('6-คาน เหล็กเสริม'!$M:$M,MATCH($B48,'6-คาน เหล็กเสริม'!$A:$A,0))^2/162</f>
        <v/>
      </c>
      <c r="R48" s="8">
        <f>IF(INDEX('6-คาน เหล็กเสริม'!$M:$M,MATCH($B48,'6-คาน เหล็กเสริม'!$A:$A,0))=0,0,2*ROUNDUP(G48/4/INDEX('6-คาน เหล็กเสริม'!$N:$N,MATCH($B48,'6-คาน เหล็กเสริม'!$A:$A,0)),0)+ROUNDUP(G48/2/INDEX('6-คาน เหล็กเสริม'!$O:$O,MATCH($B48,'6-คาน เหล็กเสริม'!$A:$A,0)),0)+1)</f>
        <v/>
      </c>
      <c r="S48" s="8">
        <f>SUM(N48:Q48)</f>
        <v/>
      </c>
      <c r="T48" s="8" t="inlineStr">
        <is>
          <t>แบบ</t>
        </is>
      </c>
    </row>
    <row r="49">
      <c r="A49" s="8" t="inlineStr">
        <is>
          <t>B1-046</t>
        </is>
      </c>
      <c r="B49" s="8" t="inlineStr">
        <is>
          <t>B1</t>
        </is>
      </c>
      <c r="C49" s="8" t="inlineStr">
        <is>
          <t>แนว J</t>
        </is>
      </c>
      <c r="D49" s="8" t="inlineStr">
        <is>
          <t>9/J</t>
        </is>
      </c>
      <c r="E49" s="8" t="inlineStr">
        <is>
          <t>10/J</t>
        </is>
      </c>
      <c r="F49" s="9" t="n">
        <v>6</v>
      </c>
      <c r="G49" s="9" t="n">
        <v>5.7</v>
      </c>
      <c r="H49" s="9" t="n">
        <v>0.2</v>
      </c>
      <c r="I49" s="9" t="n">
        <v>0.6</v>
      </c>
      <c r="J49" s="9" t="n">
        <v>0.5</v>
      </c>
      <c r="K49" s="9" t="n">
        <v>-0.1</v>
      </c>
      <c r="L49" s="8">
        <f>H49*I49*G49</f>
        <v/>
      </c>
      <c r="M49" s="8">
        <f>(2*I49+H49)*G49</f>
        <v/>
      </c>
      <c r="N49" s="8">
        <f>INDEX('6-คาน เหล็กเสริม'!$E:$E,MATCH($B49,'6-คาน เหล็กเสริม'!$A:$A,0))*(F49+2*INDEX('6-คาน เหล็กเสริม'!$Q:$Q,MATCH($B49,'6-คาน เหล็กเสริม'!$A:$A,0))*INDEX('6-คาน เหล็กเสริม'!$F:$F,MATCH($B49,'6-คาน เหล็กเสริม'!$A:$A,0))/1000)*INDEX('6-คาน เหล็กเสริม'!$F:$F,MATCH($B49,'6-คาน เหล็กเสริม'!$A:$A,0))^2/162</f>
        <v/>
      </c>
      <c r="O49" s="8">
        <f>INDEX('6-คาน เหล็กเสริม'!$G:$G,MATCH($B49,'6-คาน เหล็กเสริม'!$A:$A,0))*(F49+2*INDEX('6-คาน เหล็กเสริม'!$Q:$Q,MATCH($B49,'6-คาน เหล็กเสริม'!$A:$A,0))*INDEX('6-คาน เหล็กเสริม'!$H:$H,MATCH($B49,'6-คาน เหล็กเสริม'!$A:$A,0))/1000)*INDEX('6-คาน เหล็กเสริม'!$H:$H,MATCH($B49,'6-คาน เหล็กเสริม'!$A:$A,0))^2/162</f>
        <v/>
      </c>
      <c r="P49" s="8">
        <f>INDEX('6-คาน เหล็กเสริม'!$I:$I,MATCH($B49,'6-คาน เหล็กเสริม'!$A:$A,0))*2*(0.3*G49+INDEX('6-คาน เหล็กเสริม'!$Q:$Q,MATCH($B49,'6-คาน เหล็กเสริม'!$A:$A,0))*INDEX('6-คาน เหล็กเสริม'!$J:$J,MATCH($B49,'6-คาน เหล็กเสริม'!$A:$A,0))/1000)*INDEX('6-คาน เหล็กเสริม'!$J:$J,MATCH($B49,'6-คาน เหล็กเสริม'!$A:$A,0))^2/162+INDEX('6-คาน เหล็กเสริม'!$K:$K,MATCH($B49,'6-คาน เหล็กเสริม'!$A:$A,0))*0.7*G49*INDEX('6-คาน เหล็กเสริม'!$L:$L,MATCH($B49,'6-คาน เหล็กเสริม'!$A:$A,0))^2/162</f>
        <v/>
      </c>
      <c r="Q49" s="8">
        <f>R49*(2*(H49+I49)-8*INDEX('6-คาน เหล็กเสริม'!$P:$P,MATCH($B49,'6-คาน เหล็กเสริม'!$A:$A,0))+24*INDEX('6-คาน เหล็กเสริม'!$M:$M,MATCH($B49,'6-คาน เหล็กเสริม'!$A:$A,0))/1000)*INDEX('6-คาน เหล็กเสริม'!$M:$M,MATCH($B49,'6-คาน เหล็กเสริม'!$A:$A,0))^2/162</f>
        <v/>
      </c>
      <c r="R49" s="8">
        <f>IF(INDEX('6-คาน เหล็กเสริม'!$M:$M,MATCH($B49,'6-คาน เหล็กเสริม'!$A:$A,0))=0,0,2*ROUNDUP(G49/4/INDEX('6-คาน เหล็กเสริม'!$N:$N,MATCH($B49,'6-คาน เหล็กเสริม'!$A:$A,0)),0)+ROUNDUP(G49/2/INDEX('6-คาน เหล็กเสริม'!$O:$O,MATCH($B49,'6-คาน เหล็กเสริม'!$A:$A,0)),0)+1)</f>
        <v/>
      </c>
      <c r="S49" s="8">
        <f>SUM(N49:Q49)</f>
        <v/>
      </c>
      <c r="T49" s="8" t="inlineStr">
        <is>
          <t>แบบ</t>
        </is>
      </c>
    </row>
    <row r="50">
      <c r="A50" s="8" t="inlineStr">
        <is>
          <t>B1-047</t>
        </is>
      </c>
      <c r="B50" s="8" t="inlineStr">
        <is>
          <t>B1</t>
        </is>
      </c>
      <c r="C50" s="8" t="inlineStr">
        <is>
          <t>แนว J</t>
        </is>
      </c>
      <c r="D50" s="8" t="inlineStr">
        <is>
          <t>10/J</t>
        </is>
      </c>
      <c r="E50" s="8" t="inlineStr">
        <is>
          <t>11/J</t>
        </is>
      </c>
      <c r="F50" s="9" t="n">
        <v>6</v>
      </c>
      <c r="G50" s="9" t="n">
        <v>5.7</v>
      </c>
      <c r="H50" s="9" t="n">
        <v>0.2</v>
      </c>
      <c r="I50" s="9" t="n">
        <v>0.6</v>
      </c>
      <c r="J50" s="9" t="n">
        <v>0.5</v>
      </c>
      <c r="K50" s="9" t="n">
        <v>-0.1</v>
      </c>
      <c r="L50" s="8">
        <f>H50*I50*G50</f>
        <v/>
      </c>
      <c r="M50" s="8">
        <f>(2*I50+H50)*G50</f>
        <v/>
      </c>
      <c r="N50" s="8">
        <f>INDEX('6-คาน เหล็กเสริม'!$E:$E,MATCH($B50,'6-คาน เหล็กเสริม'!$A:$A,0))*(F50+2*INDEX('6-คาน เหล็กเสริม'!$Q:$Q,MATCH($B50,'6-คาน เหล็กเสริม'!$A:$A,0))*INDEX('6-คาน เหล็กเสริม'!$F:$F,MATCH($B50,'6-คาน เหล็กเสริม'!$A:$A,0))/1000)*INDEX('6-คาน เหล็กเสริม'!$F:$F,MATCH($B50,'6-คาน เหล็กเสริม'!$A:$A,0))^2/162</f>
        <v/>
      </c>
      <c r="O50" s="8">
        <f>INDEX('6-คาน เหล็กเสริม'!$G:$G,MATCH($B50,'6-คาน เหล็กเสริม'!$A:$A,0))*(F50+2*INDEX('6-คาน เหล็กเสริม'!$Q:$Q,MATCH($B50,'6-คาน เหล็กเสริม'!$A:$A,0))*INDEX('6-คาน เหล็กเสริม'!$H:$H,MATCH($B50,'6-คาน เหล็กเสริม'!$A:$A,0))/1000)*INDEX('6-คาน เหล็กเสริม'!$H:$H,MATCH($B50,'6-คาน เหล็กเสริม'!$A:$A,0))^2/162</f>
        <v/>
      </c>
      <c r="P50" s="8">
        <f>INDEX('6-คาน เหล็กเสริม'!$I:$I,MATCH($B50,'6-คาน เหล็กเสริม'!$A:$A,0))*2*(0.3*G50+INDEX('6-คาน เหล็กเสริม'!$Q:$Q,MATCH($B50,'6-คาน เหล็กเสริม'!$A:$A,0))*INDEX('6-คาน เหล็กเสริม'!$J:$J,MATCH($B50,'6-คาน เหล็กเสริม'!$A:$A,0))/1000)*INDEX('6-คาน เหล็กเสริม'!$J:$J,MATCH($B50,'6-คาน เหล็กเสริม'!$A:$A,0))^2/162+INDEX('6-คาน เหล็กเสริม'!$K:$K,MATCH($B50,'6-คาน เหล็กเสริม'!$A:$A,0))*0.7*G50*INDEX('6-คาน เหล็กเสริม'!$L:$L,MATCH($B50,'6-คาน เหล็กเสริม'!$A:$A,0))^2/162</f>
        <v/>
      </c>
      <c r="Q50" s="8">
        <f>R50*(2*(H50+I50)-8*INDEX('6-คาน เหล็กเสริม'!$P:$P,MATCH($B50,'6-คาน เหล็กเสริม'!$A:$A,0))+24*INDEX('6-คาน เหล็กเสริม'!$M:$M,MATCH($B50,'6-คาน เหล็กเสริม'!$A:$A,0))/1000)*INDEX('6-คาน เหล็กเสริม'!$M:$M,MATCH($B50,'6-คาน เหล็กเสริม'!$A:$A,0))^2/162</f>
        <v/>
      </c>
      <c r="R50" s="8">
        <f>IF(INDEX('6-คาน เหล็กเสริม'!$M:$M,MATCH($B50,'6-คาน เหล็กเสริม'!$A:$A,0))=0,0,2*ROUNDUP(G50/4/INDEX('6-คาน เหล็กเสริม'!$N:$N,MATCH($B50,'6-คาน เหล็กเสริม'!$A:$A,0)),0)+ROUNDUP(G50/2/INDEX('6-คาน เหล็กเสริม'!$O:$O,MATCH($B50,'6-คาน เหล็กเสริม'!$A:$A,0)),0)+1)</f>
        <v/>
      </c>
      <c r="S50" s="8">
        <f>SUM(N50:Q50)</f>
        <v/>
      </c>
      <c r="T50" s="8" t="inlineStr">
        <is>
          <t>แบบ</t>
        </is>
      </c>
    </row>
    <row r="51">
      <c r="A51" s="8" t="inlineStr">
        <is>
          <t>B3-001</t>
        </is>
      </c>
      <c r="B51" s="8" t="inlineStr">
        <is>
          <t>B3</t>
        </is>
      </c>
      <c r="C51" s="8" t="inlineStr">
        <is>
          <t>แนว A</t>
        </is>
      </c>
      <c r="D51" s="8" t="inlineStr">
        <is>
          <t>1-4.01/A</t>
        </is>
      </c>
      <c r="E51" s="8" t="inlineStr">
        <is>
          <t>1/A</t>
        </is>
      </c>
      <c r="F51" s="9" t="n">
        <v>4.015</v>
      </c>
      <c r="G51" s="9" t="n">
        <v>3.815</v>
      </c>
      <c r="H51" s="9" t="n">
        <v>0.2</v>
      </c>
      <c r="I51" s="9" t="n">
        <v>0.4</v>
      </c>
      <c r="J51" s="9" t="n">
        <v>0.4</v>
      </c>
      <c r="K51" s="9" t="n">
        <v>0</v>
      </c>
      <c r="L51" s="8">
        <f>H51*I51*G51</f>
        <v/>
      </c>
      <c r="M51" s="8">
        <f>(2*I51+H51)*G51</f>
        <v/>
      </c>
      <c r="N51" s="8">
        <f>INDEX('6-คาน เหล็กเสริม'!$E:$E,MATCH($B51,'6-คาน เหล็กเสริม'!$A:$A,0))*(F51+2*INDEX('6-คาน เหล็กเสริม'!$Q:$Q,MATCH($B51,'6-คาน เหล็กเสริม'!$A:$A,0))*INDEX('6-คาน เหล็กเสริม'!$F:$F,MATCH($B51,'6-คาน เหล็กเสริม'!$A:$A,0))/1000)*INDEX('6-คาน เหล็กเสริม'!$F:$F,MATCH($B51,'6-คาน เหล็กเสริม'!$A:$A,0))^2/162</f>
        <v/>
      </c>
      <c r="O51" s="8">
        <f>INDEX('6-คาน เหล็กเสริม'!$G:$G,MATCH($B51,'6-คาน เหล็กเสริม'!$A:$A,0))*(F51+2*INDEX('6-คาน เหล็กเสริม'!$Q:$Q,MATCH($B51,'6-คาน เหล็กเสริม'!$A:$A,0))*INDEX('6-คาน เหล็กเสริม'!$H:$H,MATCH($B51,'6-คาน เหล็กเสริม'!$A:$A,0))/1000)*INDEX('6-คาน เหล็กเสริม'!$H:$H,MATCH($B51,'6-คาน เหล็กเสริม'!$A:$A,0))^2/162</f>
        <v/>
      </c>
      <c r="P51" s="8">
        <f>INDEX('6-คาน เหล็กเสริม'!$I:$I,MATCH($B51,'6-คาน เหล็กเสริม'!$A:$A,0))*2*(0.3*G51+INDEX('6-คาน เหล็กเสริม'!$Q:$Q,MATCH($B51,'6-คาน เหล็กเสริม'!$A:$A,0))*INDEX('6-คาน เหล็กเสริม'!$J:$J,MATCH($B51,'6-คาน เหล็กเสริม'!$A:$A,0))/1000)*INDEX('6-คาน เหล็กเสริม'!$J:$J,MATCH($B51,'6-คาน เหล็กเสริม'!$A:$A,0))^2/162+INDEX('6-คาน เหล็กเสริม'!$K:$K,MATCH($B51,'6-คาน เหล็กเสริม'!$A:$A,0))*0.7*G51*INDEX('6-คาน เหล็กเสริม'!$L:$L,MATCH($B51,'6-คาน เหล็กเสริม'!$A:$A,0))^2/162</f>
        <v/>
      </c>
      <c r="Q51" s="8">
        <f>R51*(2*(H51+I51)-8*INDEX('6-คาน เหล็กเสริม'!$P:$P,MATCH($B51,'6-คาน เหล็กเสริม'!$A:$A,0))+24*INDEX('6-คาน เหล็กเสริม'!$M:$M,MATCH($B51,'6-คาน เหล็กเสริม'!$A:$A,0))/1000)*INDEX('6-คาน เหล็กเสริม'!$M:$M,MATCH($B51,'6-คาน เหล็กเสริม'!$A:$A,0))^2/162</f>
        <v/>
      </c>
      <c r="R51" s="8">
        <f>IF(INDEX('6-คาน เหล็กเสริม'!$M:$M,MATCH($B51,'6-คาน เหล็กเสริม'!$A:$A,0))=0,0,2*ROUNDUP(G51/4/INDEX('6-คาน เหล็กเสริม'!$N:$N,MATCH($B51,'6-คาน เหล็กเสริม'!$A:$A,0)),0)+ROUNDUP(G51/2/INDEX('6-คาน เหล็กเสริม'!$O:$O,MATCH($B51,'6-คาน เหล็กเสริม'!$A:$A,0)),0)+1)</f>
        <v/>
      </c>
      <c r="S51" s="8">
        <f>SUM(N51:Q51)</f>
        <v/>
      </c>
      <c r="T51" s="8" t="inlineStr">
        <is>
          <t>แบบ S202 (ตำแหน่ง+ระดับ)</t>
        </is>
      </c>
    </row>
    <row r="52">
      <c r="A52" s="8" t="inlineStr">
        <is>
          <t>B3-002</t>
        </is>
      </c>
      <c r="B52" s="8" t="inlineStr">
        <is>
          <t>B3</t>
        </is>
      </c>
      <c r="C52" s="8" t="inlineStr">
        <is>
          <t>แนว 1-4.01</t>
        </is>
      </c>
      <c r="D52" s="8" t="inlineStr">
        <is>
          <t>1-4.01/B</t>
        </is>
      </c>
      <c r="E52" s="8" t="inlineStr">
        <is>
          <t>1-4.01/A</t>
        </is>
      </c>
      <c r="F52" s="9" t="n">
        <v>6.012</v>
      </c>
      <c r="G52" s="9" t="n">
        <v>5.812</v>
      </c>
      <c r="H52" s="9" t="n">
        <v>0.2</v>
      </c>
      <c r="I52" s="9" t="n">
        <v>0.4</v>
      </c>
      <c r="J52" s="9" t="n">
        <v>0.4</v>
      </c>
      <c r="K52" s="9" t="n">
        <v>0</v>
      </c>
      <c r="L52" s="8">
        <f>H52*I52*G52</f>
        <v/>
      </c>
      <c r="M52" s="8">
        <f>(2*I52+H52)*G52</f>
        <v/>
      </c>
      <c r="N52" s="8">
        <f>INDEX('6-คาน เหล็กเสริม'!$E:$E,MATCH($B52,'6-คาน เหล็กเสริม'!$A:$A,0))*(F52+2*INDEX('6-คาน เหล็กเสริม'!$Q:$Q,MATCH($B52,'6-คาน เหล็กเสริม'!$A:$A,0))*INDEX('6-คาน เหล็กเสริม'!$F:$F,MATCH($B52,'6-คาน เหล็กเสริม'!$A:$A,0))/1000)*INDEX('6-คาน เหล็กเสริม'!$F:$F,MATCH($B52,'6-คาน เหล็กเสริม'!$A:$A,0))^2/162</f>
        <v/>
      </c>
      <c r="O52" s="8">
        <f>INDEX('6-คาน เหล็กเสริม'!$G:$G,MATCH($B52,'6-คาน เหล็กเสริม'!$A:$A,0))*(F52+2*INDEX('6-คาน เหล็กเสริม'!$Q:$Q,MATCH($B52,'6-คาน เหล็กเสริม'!$A:$A,0))*INDEX('6-คาน เหล็กเสริม'!$H:$H,MATCH($B52,'6-คาน เหล็กเสริม'!$A:$A,0))/1000)*INDEX('6-คาน เหล็กเสริม'!$H:$H,MATCH($B52,'6-คาน เหล็กเสริม'!$A:$A,0))^2/162</f>
        <v/>
      </c>
      <c r="P52" s="8">
        <f>INDEX('6-คาน เหล็กเสริม'!$I:$I,MATCH($B52,'6-คาน เหล็กเสริม'!$A:$A,0))*2*(0.3*G52+INDEX('6-คาน เหล็กเสริม'!$Q:$Q,MATCH($B52,'6-คาน เหล็กเสริม'!$A:$A,0))*INDEX('6-คาน เหล็กเสริม'!$J:$J,MATCH($B52,'6-คาน เหล็กเสริม'!$A:$A,0))/1000)*INDEX('6-คาน เหล็กเสริม'!$J:$J,MATCH($B52,'6-คาน เหล็กเสริม'!$A:$A,0))^2/162+INDEX('6-คาน เหล็กเสริม'!$K:$K,MATCH($B52,'6-คาน เหล็กเสริม'!$A:$A,0))*0.7*G52*INDEX('6-คาน เหล็กเสริม'!$L:$L,MATCH($B52,'6-คาน เหล็กเสริม'!$A:$A,0))^2/162</f>
        <v/>
      </c>
      <c r="Q52" s="8">
        <f>R52*(2*(H52+I52)-8*INDEX('6-คาน เหล็กเสริม'!$P:$P,MATCH($B52,'6-คาน เหล็กเสริม'!$A:$A,0))+24*INDEX('6-คาน เหล็กเสริม'!$M:$M,MATCH($B52,'6-คาน เหล็กเสริม'!$A:$A,0))/1000)*INDEX('6-คาน เหล็กเสริม'!$M:$M,MATCH($B52,'6-คาน เหล็กเสริม'!$A:$A,0))^2/162</f>
        <v/>
      </c>
      <c r="R52" s="8">
        <f>IF(INDEX('6-คาน เหล็กเสริม'!$M:$M,MATCH($B52,'6-คาน เหล็กเสริม'!$A:$A,0))=0,0,2*ROUNDUP(G52/4/INDEX('6-คาน เหล็กเสริม'!$N:$N,MATCH($B52,'6-คาน เหล็กเสริม'!$A:$A,0)),0)+ROUNDUP(G52/2/INDEX('6-คาน เหล็กเสริม'!$O:$O,MATCH($B52,'6-คาน เหล็กเสริม'!$A:$A,0)),0)+1)</f>
        <v/>
      </c>
      <c r="S52" s="8">
        <f>SUM(N52:Q52)</f>
        <v/>
      </c>
      <c r="T52" s="8" t="inlineStr">
        <is>
          <t>แบบ S202 (ตำแหน่ง+ระดับ)</t>
        </is>
      </c>
    </row>
    <row r="53">
      <c r="A53" s="8" t="inlineStr">
        <is>
          <t>B3-003</t>
        </is>
      </c>
      <c r="B53" s="8" t="inlineStr">
        <is>
          <t>B3</t>
        </is>
      </c>
      <c r="C53" s="8" t="inlineStr">
        <is>
          <t>แนว B-2.99</t>
        </is>
      </c>
      <c r="D53" s="8" t="inlineStr">
        <is>
          <t>1-4.01/B-2.99</t>
        </is>
      </c>
      <c r="E53" s="8" t="inlineStr">
        <is>
          <t>1/B-2.99</t>
        </is>
      </c>
      <c r="F53" s="9" t="n">
        <v>4.015</v>
      </c>
      <c r="G53" s="9" t="n">
        <v>3.815</v>
      </c>
      <c r="H53" s="9" t="n">
        <v>0.2</v>
      </c>
      <c r="I53" s="9" t="n">
        <v>0.4</v>
      </c>
      <c r="J53" s="9" t="n">
        <v>0.4</v>
      </c>
      <c r="K53" s="9" t="n">
        <v>0</v>
      </c>
      <c r="L53" s="8">
        <f>H53*I53*G53</f>
        <v/>
      </c>
      <c r="M53" s="8">
        <f>(2*I53+H53)*G53</f>
        <v/>
      </c>
      <c r="N53" s="8">
        <f>INDEX('6-คาน เหล็กเสริม'!$E:$E,MATCH($B53,'6-คาน เหล็กเสริม'!$A:$A,0))*(F53+2*INDEX('6-คาน เหล็กเสริม'!$Q:$Q,MATCH($B53,'6-คาน เหล็กเสริม'!$A:$A,0))*INDEX('6-คาน เหล็กเสริม'!$F:$F,MATCH($B53,'6-คาน เหล็กเสริม'!$A:$A,0))/1000)*INDEX('6-คาน เหล็กเสริม'!$F:$F,MATCH($B53,'6-คาน เหล็กเสริม'!$A:$A,0))^2/162</f>
        <v/>
      </c>
      <c r="O53" s="8">
        <f>INDEX('6-คาน เหล็กเสริม'!$G:$G,MATCH($B53,'6-คาน เหล็กเสริม'!$A:$A,0))*(F53+2*INDEX('6-คาน เหล็กเสริม'!$Q:$Q,MATCH($B53,'6-คาน เหล็กเสริม'!$A:$A,0))*INDEX('6-คาน เหล็กเสริม'!$H:$H,MATCH($B53,'6-คาน เหล็กเสริม'!$A:$A,0))/1000)*INDEX('6-คาน เหล็กเสริม'!$H:$H,MATCH($B53,'6-คาน เหล็กเสริม'!$A:$A,0))^2/162</f>
        <v/>
      </c>
      <c r="P53" s="8">
        <f>INDEX('6-คาน เหล็กเสริม'!$I:$I,MATCH($B53,'6-คาน เหล็กเสริม'!$A:$A,0))*2*(0.3*G53+INDEX('6-คาน เหล็กเสริม'!$Q:$Q,MATCH($B53,'6-คาน เหล็กเสริม'!$A:$A,0))*INDEX('6-คาน เหล็กเสริม'!$J:$J,MATCH($B53,'6-คาน เหล็กเสริม'!$A:$A,0))/1000)*INDEX('6-คาน เหล็กเสริม'!$J:$J,MATCH($B53,'6-คาน เหล็กเสริม'!$A:$A,0))^2/162+INDEX('6-คาน เหล็กเสริม'!$K:$K,MATCH($B53,'6-คาน เหล็กเสริม'!$A:$A,0))*0.7*G53*INDEX('6-คาน เหล็กเสริม'!$L:$L,MATCH($B53,'6-คาน เหล็กเสริม'!$A:$A,0))^2/162</f>
        <v/>
      </c>
      <c r="Q53" s="8">
        <f>R53*(2*(H53+I53)-8*INDEX('6-คาน เหล็กเสริม'!$P:$P,MATCH($B53,'6-คาน เหล็กเสริม'!$A:$A,0))+24*INDEX('6-คาน เหล็กเสริม'!$M:$M,MATCH($B53,'6-คาน เหล็กเสริม'!$A:$A,0))/1000)*INDEX('6-คาน เหล็กเสริม'!$M:$M,MATCH($B53,'6-คาน เหล็กเสริม'!$A:$A,0))^2/162</f>
        <v/>
      </c>
      <c r="R53" s="8">
        <f>IF(INDEX('6-คาน เหล็กเสริม'!$M:$M,MATCH($B53,'6-คาน เหล็กเสริม'!$A:$A,0))=0,0,2*ROUNDUP(G53/4/INDEX('6-คาน เหล็กเสริม'!$N:$N,MATCH($B53,'6-คาน เหล็กเสริม'!$A:$A,0)),0)+ROUNDUP(G53/2/INDEX('6-คาน เหล็กเสริม'!$O:$O,MATCH($B53,'6-คาน เหล็กเสริม'!$A:$A,0)),0)+1)</f>
        <v/>
      </c>
      <c r="S53" s="8">
        <f>SUM(N53:Q53)</f>
        <v/>
      </c>
      <c r="T53" s="8" t="inlineStr">
        <is>
          <t>แบบ S202 (ตำแหน่ง+ระดับ)</t>
        </is>
      </c>
    </row>
    <row r="54">
      <c r="A54" s="8" t="inlineStr">
        <is>
          <t>B3-004</t>
        </is>
      </c>
      <c r="B54" s="8" t="inlineStr">
        <is>
          <t>B3</t>
        </is>
      </c>
      <c r="C54" s="8" t="inlineStr">
        <is>
          <t>แนว B</t>
        </is>
      </c>
      <c r="D54" s="8" t="inlineStr">
        <is>
          <t>1/B</t>
        </is>
      </c>
      <c r="E54" s="8" t="inlineStr">
        <is>
          <t>1-4.01/B</t>
        </is>
      </c>
      <c r="F54" s="9" t="n">
        <v>4.015</v>
      </c>
      <c r="G54" s="9" t="n">
        <v>3.815</v>
      </c>
      <c r="H54" s="9" t="n">
        <v>0.2</v>
      </c>
      <c r="I54" s="9" t="n">
        <v>0.4</v>
      </c>
      <c r="J54" s="9" t="n">
        <v>0.4</v>
      </c>
      <c r="K54" s="9" t="n">
        <v>0</v>
      </c>
      <c r="L54" s="8">
        <f>H54*I54*G54</f>
        <v/>
      </c>
      <c r="M54" s="8">
        <f>(2*I54+H54)*G54</f>
        <v/>
      </c>
      <c r="N54" s="8">
        <f>INDEX('6-คาน เหล็กเสริม'!$E:$E,MATCH($B54,'6-คาน เหล็กเสริม'!$A:$A,0))*(F54+2*INDEX('6-คาน เหล็กเสริม'!$Q:$Q,MATCH($B54,'6-คาน เหล็กเสริม'!$A:$A,0))*INDEX('6-คาน เหล็กเสริม'!$F:$F,MATCH($B54,'6-คาน เหล็กเสริม'!$A:$A,0))/1000)*INDEX('6-คาน เหล็กเสริม'!$F:$F,MATCH($B54,'6-คาน เหล็กเสริม'!$A:$A,0))^2/162</f>
        <v/>
      </c>
      <c r="O54" s="8">
        <f>INDEX('6-คาน เหล็กเสริม'!$G:$G,MATCH($B54,'6-คาน เหล็กเสริม'!$A:$A,0))*(F54+2*INDEX('6-คาน เหล็กเสริม'!$Q:$Q,MATCH($B54,'6-คาน เหล็กเสริม'!$A:$A,0))*INDEX('6-คาน เหล็กเสริม'!$H:$H,MATCH($B54,'6-คาน เหล็กเสริม'!$A:$A,0))/1000)*INDEX('6-คาน เหล็กเสริม'!$H:$H,MATCH($B54,'6-คาน เหล็กเสริม'!$A:$A,0))^2/162</f>
        <v/>
      </c>
      <c r="P54" s="8">
        <f>INDEX('6-คาน เหล็กเสริม'!$I:$I,MATCH($B54,'6-คาน เหล็กเสริม'!$A:$A,0))*2*(0.3*G54+INDEX('6-คาน เหล็กเสริม'!$Q:$Q,MATCH($B54,'6-คาน เหล็กเสริม'!$A:$A,0))*INDEX('6-คาน เหล็กเสริม'!$J:$J,MATCH($B54,'6-คาน เหล็กเสริม'!$A:$A,0))/1000)*INDEX('6-คาน เหล็กเสริม'!$J:$J,MATCH($B54,'6-คาน เหล็กเสริม'!$A:$A,0))^2/162+INDEX('6-คาน เหล็กเสริม'!$K:$K,MATCH($B54,'6-คาน เหล็กเสริม'!$A:$A,0))*0.7*G54*INDEX('6-คาน เหล็กเสริม'!$L:$L,MATCH($B54,'6-คาน เหล็กเสริม'!$A:$A,0))^2/162</f>
        <v/>
      </c>
      <c r="Q54" s="8">
        <f>R54*(2*(H54+I54)-8*INDEX('6-คาน เหล็กเสริม'!$P:$P,MATCH($B54,'6-คาน เหล็กเสริม'!$A:$A,0))+24*INDEX('6-คาน เหล็กเสริม'!$M:$M,MATCH($B54,'6-คาน เหล็กเสริม'!$A:$A,0))/1000)*INDEX('6-คาน เหล็กเสริม'!$M:$M,MATCH($B54,'6-คาน เหล็กเสริม'!$A:$A,0))^2/162</f>
        <v/>
      </c>
      <c r="R54" s="8">
        <f>IF(INDEX('6-คาน เหล็กเสริม'!$M:$M,MATCH($B54,'6-คาน เหล็กเสริม'!$A:$A,0))=0,0,2*ROUNDUP(G54/4/INDEX('6-คาน เหล็กเสริม'!$N:$N,MATCH($B54,'6-คาน เหล็กเสริม'!$A:$A,0)),0)+ROUNDUP(G54/2/INDEX('6-คาน เหล็กเสริม'!$O:$O,MATCH($B54,'6-คาน เหล็กเสริม'!$A:$A,0)),0)+1)</f>
        <v/>
      </c>
      <c r="S54" s="8">
        <f>SUM(N54:Q54)</f>
        <v/>
      </c>
      <c r="T54" s="8" t="inlineStr">
        <is>
          <t>แบบ S202 (ตำแหน่ง+ระดับ)</t>
        </is>
      </c>
    </row>
    <row r="55">
      <c r="A55" s="8" t="inlineStr">
        <is>
          <t>B3-005</t>
        </is>
      </c>
      <c r="B55" s="8" t="inlineStr">
        <is>
          <t>B3</t>
        </is>
      </c>
      <c r="C55" s="8" t="inlineStr">
        <is>
          <t>แนว D</t>
        </is>
      </c>
      <c r="D55" s="8" t="inlineStr">
        <is>
          <t>1-7.37/D</t>
        </is>
      </c>
      <c r="E55" s="8" t="inlineStr">
        <is>
          <t>1-4.96/D</t>
        </is>
      </c>
      <c r="F55" s="9" t="n">
        <v>2.403</v>
      </c>
      <c r="G55" s="9" t="n">
        <v>2.203</v>
      </c>
      <c r="H55" s="9" t="n">
        <v>0.2</v>
      </c>
      <c r="I55" s="9" t="n">
        <v>0.4</v>
      </c>
      <c r="J55" s="9" t="n">
        <v>0.5</v>
      </c>
      <c r="K55" s="9" t="n">
        <v>0.1</v>
      </c>
      <c r="L55" s="8">
        <f>H55*I55*G55</f>
        <v/>
      </c>
      <c r="M55" s="8">
        <f>(2*I55+H55)*G55</f>
        <v/>
      </c>
      <c r="N55" s="8">
        <f>INDEX('6-คาน เหล็กเสริม'!$E:$E,MATCH($B55,'6-คาน เหล็กเสริม'!$A:$A,0))*(F55+2*INDEX('6-คาน เหล็กเสริม'!$Q:$Q,MATCH($B55,'6-คาน เหล็กเสริม'!$A:$A,0))*INDEX('6-คาน เหล็กเสริม'!$F:$F,MATCH($B55,'6-คาน เหล็กเสริม'!$A:$A,0))/1000)*INDEX('6-คาน เหล็กเสริม'!$F:$F,MATCH($B55,'6-คาน เหล็กเสริม'!$A:$A,0))^2/162</f>
        <v/>
      </c>
      <c r="O55" s="8">
        <f>INDEX('6-คาน เหล็กเสริม'!$G:$G,MATCH($B55,'6-คาน เหล็กเสริม'!$A:$A,0))*(F55+2*INDEX('6-คาน เหล็กเสริม'!$Q:$Q,MATCH($B55,'6-คาน เหล็กเสริม'!$A:$A,0))*INDEX('6-คาน เหล็กเสริม'!$H:$H,MATCH($B55,'6-คาน เหล็กเสริม'!$A:$A,0))/1000)*INDEX('6-คาน เหล็กเสริม'!$H:$H,MATCH($B55,'6-คาน เหล็กเสริม'!$A:$A,0))^2/162</f>
        <v/>
      </c>
      <c r="P55" s="8">
        <f>INDEX('6-คาน เหล็กเสริม'!$I:$I,MATCH($B55,'6-คาน เหล็กเสริม'!$A:$A,0))*2*(0.3*G55+INDEX('6-คาน เหล็กเสริม'!$Q:$Q,MATCH($B55,'6-คาน เหล็กเสริม'!$A:$A,0))*INDEX('6-คาน เหล็กเสริม'!$J:$J,MATCH($B55,'6-คาน เหล็กเสริม'!$A:$A,0))/1000)*INDEX('6-คาน เหล็กเสริม'!$J:$J,MATCH($B55,'6-คาน เหล็กเสริม'!$A:$A,0))^2/162+INDEX('6-คาน เหล็กเสริม'!$K:$K,MATCH($B55,'6-คาน เหล็กเสริม'!$A:$A,0))*0.7*G55*INDEX('6-คาน เหล็กเสริม'!$L:$L,MATCH($B55,'6-คาน เหล็กเสริม'!$A:$A,0))^2/162</f>
        <v/>
      </c>
      <c r="Q55" s="8">
        <f>R55*(2*(H55+I55)-8*INDEX('6-คาน เหล็กเสริม'!$P:$P,MATCH($B55,'6-คาน เหล็กเสริม'!$A:$A,0))+24*INDEX('6-คาน เหล็กเสริม'!$M:$M,MATCH($B55,'6-คาน เหล็กเสริม'!$A:$A,0))/1000)*INDEX('6-คาน เหล็กเสริม'!$M:$M,MATCH($B55,'6-คาน เหล็กเสริม'!$A:$A,0))^2/162</f>
        <v/>
      </c>
      <c r="R55" s="8">
        <f>IF(INDEX('6-คาน เหล็กเสริม'!$M:$M,MATCH($B55,'6-คาน เหล็กเสริม'!$A:$A,0))=0,0,2*ROUNDUP(G55/4/INDEX('6-คาน เหล็กเสริม'!$N:$N,MATCH($B55,'6-คาน เหล็กเสริม'!$A:$A,0)),0)+ROUNDUP(G55/2/INDEX('6-คาน เหล็กเสริม'!$O:$O,MATCH($B55,'6-คาน เหล็กเสริม'!$A:$A,0)),0)+1)</f>
        <v/>
      </c>
      <c r="S55" s="8">
        <f>SUM(N55:Q55)</f>
        <v/>
      </c>
      <c r="T55" s="8" t="inlineStr">
        <is>
          <t>แบบ S202 (ตำแหน่ง+ระดับ)</t>
        </is>
      </c>
    </row>
    <row r="56">
      <c r="A56" s="8" t="inlineStr">
        <is>
          <t>B3-006</t>
        </is>
      </c>
      <c r="B56" s="8" t="inlineStr">
        <is>
          <t>B3</t>
        </is>
      </c>
      <c r="C56" s="8" t="inlineStr">
        <is>
          <t>แนว 1-7.37</t>
        </is>
      </c>
      <c r="D56" s="8" t="inlineStr">
        <is>
          <t>1-7.37/E+2.01</t>
        </is>
      </c>
      <c r="E56" s="8" t="inlineStr">
        <is>
          <t>1-7.37/D</t>
        </is>
      </c>
      <c r="F56" s="9" t="n">
        <v>8.004</v>
      </c>
      <c r="G56" s="9" t="n">
        <v>7.804</v>
      </c>
      <c r="H56" s="9" t="n">
        <v>0.2</v>
      </c>
      <c r="I56" s="9" t="n">
        <v>0.4</v>
      </c>
      <c r="J56" s="9" t="n">
        <v>0.5</v>
      </c>
      <c r="K56" s="9" t="n">
        <v>0.1</v>
      </c>
      <c r="L56" s="8">
        <f>H56*I56*G56</f>
        <v/>
      </c>
      <c r="M56" s="8">
        <f>(2*I56+H56)*G56</f>
        <v/>
      </c>
      <c r="N56" s="8">
        <f>INDEX('6-คาน เหล็กเสริม'!$E:$E,MATCH($B56,'6-คาน เหล็กเสริม'!$A:$A,0))*(F56+2*INDEX('6-คาน เหล็กเสริม'!$Q:$Q,MATCH($B56,'6-คาน เหล็กเสริม'!$A:$A,0))*INDEX('6-คาน เหล็กเสริม'!$F:$F,MATCH($B56,'6-คาน เหล็กเสริม'!$A:$A,0))/1000)*INDEX('6-คาน เหล็กเสริม'!$F:$F,MATCH($B56,'6-คาน เหล็กเสริม'!$A:$A,0))^2/162</f>
        <v/>
      </c>
      <c r="O56" s="8">
        <f>INDEX('6-คาน เหล็กเสริม'!$G:$G,MATCH($B56,'6-คาน เหล็กเสริม'!$A:$A,0))*(F56+2*INDEX('6-คาน เหล็กเสริม'!$Q:$Q,MATCH($B56,'6-คาน เหล็กเสริม'!$A:$A,0))*INDEX('6-คาน เหล็กเสริม'!$H:$H,MATCH($B56,'6-คาน เหล็กเสริม'!$A:$A,0))/1000)*INDEX('6-คาน เหล็กเสริม'!$H:$H,MATCH($B56,'6-คาน เหล็กเสริม'!$A:$A,0))^2/162</f>
        <v/>
      </c>
      <c r="P56" s="8">
        <f>INDEX('6-คาน เหล็กเสริม'!$I:$I,MATCH($B56,'6-คาน เหล็กเสริม'!$A:$A,0))*2*(0.3*G56+INDEX('6-คาน เหล็กเสริม'!$Q:$Q,MATCH($B56,'6-คาน เหล็กเสริม'!$A:$A,0))*INDEX('6-คาน เหล็กเสริม'!$J:$J,MATCH($B56,'6-คาน เหล็กเสริม'!$A:$A,0))/1000)*INDEX('6-คาน เหล็กเสริม'!$J:$J,MATCH($B56,'6-คาน เหล็กเสริม'!$A:$A,0))^2/162+INDEX('6-คาน เหล็กเสริม'!$K:$K,MATCH($B56,'6-คาน เหล็กเสริม'!$A:$A,0))*0.7*G56*INDEX('6-คาน เหล็กเสริม'!$L:$L,MATCH($B56,'6-คาน เหล็กเสริม'!$A:$A,0))^2/162</f>
        <v/>
      </c>
      <c r="Q56" s="8">
        <f>R56*(2*(H56+I56)-8*INDEX('6-คาน เหล็กเสริม'!$P:$P,MATCH($B56,'6-คาน เหล็กเสริม'!$A:$A,0))+24*INDEX('6-คาน เหล็กเสริม'!$M:$M,MATCH($B56,'6-คาน เหล็กเสริม'!$A:$A,0))/1000)*INDEX('6-คาน เหล็กเสริม'!$M:$M,MATCH($B56,'6-คาน เหล็กเสริม'!$A:$A,0))^2/162</f>
        <v/>
      </c>
      <c r="R56" s="8">
        <f>IF(INDEX('6-คาน เหล็กเสริม'!$M:$M,MATCH($B56,'6-คาน เหล็กเสริม'!$A:$A,0))=0,0,2*ROUNDUP(G56/4/INDEX('6-คาน เหล็กเสริม'!$N:$N,MATCH($B56,'6-คาน เหล็กเสริม'!$A:$A,0)),0)+ROUNDUP(G56/2/INDEX('6-คาน เหล็กเสริม'!$O:$O,MATCH($B56,'6-คาน เหล็กเสริม'!$A:$A,0)),0)+1)</f>
        <v/>
      </c>
      <c r="S56" s="8">
        <f>SUM(N56:Q56)</f>
        <v/>
      </c>
      <c r="T56" s="8" t="inlineStr">
        <is>
          <t>แบบ S202 (ตำแหน่ง+ระดับ)</t>
        </is>
      </c>
    </row>
    <row r="57">
      <c r="A57" s="8" t="inlineStr">
        <is>
          <t>B3-007</t>
        </is>
      </c>
      <c r="B57" s="8" t="inlineStr">
        <is>
          <t>B3</t>
        </is>
      </c>
      <c r="C57" s="8" t="inlineStr">
        <is>
          <t>แนว 1-4.96</t>
        </is>
      </c>
      <c r="D57" s="8" t="inlineStr">
        <is>
          <t>1-4.96/D</t>
        </is>
      </c>
      <c r="E57" s="8" t="inlineStr">
        <is>
          <t>1-4.96/E+2.01</t>
        </is>
      </c>
      <c r="F57" s="9" t="n">
        <v>8.004</v>
      </c>
      <c r="G57" s="9" t="n">
        <v>7.804</v>
      </c>
      <c r="H57" s="9" t="n">
        <v>0.2</v>
      </c>
      <c r="I57" s="9" t="n">
        <v>0.4</v>
      </c>
      <c r="J57" s="9" t="n">
        <v>0.5</v>
      </c>
      <c r="K57" s="9" t="n">
        <v>0.1</v>
      </c>
      <c r="L57" s="8">
        <f>H57*I57*G57</f>
        <v/>
      </c>
      <c r="M57" s="8">
        <f>(2*I57+H57)*G57</f>
        <v/>
      </c>
      <c r="N57" s="8">
        <f>INDEX('6-คาน เหล็กเสริม'!$E:$E,MATCH($B57,'6-คาน เหล็กเสริม'!$A:$A,0))*(F57+2*INDEX('6-คาน เหล็กเสริม'!$Q:$Q,MATCH($B57,'6-คาน เหล็กเสริม'!$A:$A,0))*INDEX('6-คาน เหล็กเสริม'!$F:$F,MATCH($B57,'6-คาน เหล็กเสริม'!$A:$A,0))/1000)*INDEX('6-คาน เหล็กเสริม'!$F:$F,MATCH($B57,'6-คาน เหล็กเสริม'!$A:$A,0))^2/162</f>
        <v/>
      </c>
      <c r="O57" s="8">
        <f>INDEX('6-คาน เหล็กเสริม'!$G:$G,MATCH($B57,'6-คาน เหล็กเสริม'!$A:$A,0))*(F57+2*INDEX('6-คาน เหล็กเสริม'!$Q:$Q,MATCH($B57,'6-คาน เหล็กเสริม'!$A:$A,0))*INDEX('6-คาน เหล็กเสริม'!$H:$H,MATCH($B57,'6-คาน เหล็กเสริม'!$A:$A,0))/1000)*INDEX('6-คาน เหล็กเสริม'!$H:$H,MATCH($B57,'6-คาน เหล็กเสริม'!$A:$A,0))^2/162</f>
        <v/>
      </c>
      <c r="P57" s="8">
        <f>INDEX('6-คาน เหล็กเสริม'!$I:$I,MATCH($B57,'6-คาน เหล็กเสริม'!$A:$A,0))*2*(0.3*G57+INDEX('6-คาน เหล็กเสริม'!$Q:$Q,MATCH($B57,'6-คาน เหล็กเสริม'!$A:$A,0))*INDEX('6-คาน เหล็กเสริม'!$J:$J,MATCH($B57,'6-คาน เหล็กเสริม'!$A:$A,0))/1000)*INDEX('6-คาน เหล็กเสริม'!$J:$J,MATCH($B57,'6-คาน เหล็กเสริม'!$A:$A,0))^2/162+INDEX('6-คาน เหล็กเสริม'!$K:$K,MATCH($B57,'6-คาน เหล็กเสริม'!$A:$A,0))*0.7*G57*INDEX('6-คาน เหล็กเสริม'!$L:$L,MATCH($B57,'6-คาน เหล็กเสริม'!$A:$A,0))^2/162</f>
        <v/>
      </c>
      <c r="Q57" s="8">
        <f>R57*(2*(H57+I57)-8*INDEX('6-คาน เหล็กเสริม'!$P:$P,MATCH($B57,'6-คาน เหล็กเสริม'!$A:$A,0))+24*INDEX('6-คาน เหล็กเสริม'!$M:$M,MATCH($B57,'6-คาน เหล็กเสริม'!$A:$A,0))/1000)*INDEX('6-คาน เหล็กเสริม'!$M:$M,MATCH($B57,'6-คาน เหล็กเสริม'!$A:$A,0))^2/162</f>
        <v/>
      </c>
      <c r="R57" s="8">
        <f>IF(INDEX('6-คาน เหล็กเสริม'!$M:$M,MATCH($B57,'6-คาน เหล็กเสริม'!$A:$A,0))=0,0,2*ROUNDUP(G57/4/INDEX('6-คาน เหล็กเสริม'!$N:$N,MATCH($B57,'6-คาน เหล็กเสริม'!$A:$A,0)),0)+ROUNDUP(G57/2/INDEX('6-คาน เหล็กเสริม'!$O:$O,MATCH($B57,'6-คาน เหล็กเสริม'!$A:$A,0)),0)+1)</f>
        <v/>
      </c>
      <c r="S57" s="8">
        <f>SUM(N57:Q57)</f>
        <v/>
      </c>
      <c r="T57" s="8" t="inlineStr">
        <is>
          <t>แบบ S202 (ตำแหน่ง+ระดับ)</t>
        </is>
      </c>
    </row>
    <row r="58">
      <c r="A58" s="8" t="inlineStr">
        <is>
          <t>B3-008</t>
        </is>
      </c>
      <c r="B58" s="8" t="inlineStr">
        <is>
          <t>B3</t>
        </is>
      </c>
      <c r="C58" s="8" t="inlineStr">
        <is>
          <t>แนว E+2.01</t>
        </is>
      </c>
      <c r="D58" s="8" t="inlineStr">
        <is>
          <t>1-4.96/E+2.01</t>
        </is>
      </c>
      <c r="E58" s="8" t="inlineStr">
        <is>
          <t>1-7.37/E+2.01</t>
        </is>
      </c>
      <c r="F58" s="9" t="n">
        <v>2.403</v>
      </c>
      <c r="G58" s="9" t="n">
        <v>2.203</v>
      </c>
      <c r="H58" s="9" t="n">
        <v>0.2</v>
      </c>
      <c r="I58" s="9" t="n">
        <v>0.4</v>
      </c>
      <c r="J58" s="9" t="n">
        <v>0.5</v>
      </c>
      <c r="K58" s="9" t="n">
        <v>0.1</v>
      </c>
      <c r="L58" s="8">
        <f>H58*I58*G58</f>
        <v/>
      </c>
      <c r="M58" s="8">
        <f>(2*I58+H58)*G58</f>
        <v/>
      </c>
      <c r="N58" s="8">
        <f>INDEX('6-คาน เหล็กเสริม'!$E:$E,MATCH($B58,'6-คาน เหล็กเสริม'!$A:$A,0))*(F58+2*INDEX('6-คาน เหล็กเสริม'!$Q:$Q,MATCH($B58,'6-คาน เหล็กเสริม'!$A:$A,0))*INDEX('6-คาน เหล็กเสริม'!$F:$F,MATCH($B58,'6-คาน เหล็กเสริม'!$A:$A,0))/1000)*INDEX('6-คาน เหล็กเสริม'!$F:$F,MATCH($B58,'6-คาน เหล็กเสริม'!$A:$A,0))^2/162</f>
        <v/>
      </c>
      <c r="O58" s="8">
        <f>INDEX('6-คาน เหล็กเสริม'!$G:$G,MATCH($B58,'6-คาน เหล็กเสริม'!$A:$A,0))*(F58+2*INDEX('6-คาน เหล็กเสริม'!$Q:$Q,MATCH($B58,'6-คาน เหล็กเสริม'!$A:$A,0))*INDEX('6-คาน เหล็กเสริม'!$H:$H,MATCH($B58,'6-คาน เหล็กเสริม'!$A:$A,0))/1000)*INDEX('6-คาน เหล็กเสริม'!$H:$H,MATCH($B58,'6-คาน เหล็กเสริม'!$A:$A,0))^2/162</f>
        <v/>
      </c>
      <c r="P58" s="8">
        <f>INDEX('6-คาน เหล็กเสริม'!$I:$I,MATCH($B58,'6-คาน เหล็กเสริม'!$A:$A,0))*2*(0.3*G58+INDEX('6-คาน เหล็กเสริม'!$Q:$Q,MATCH($B58,'6-คาน เหล็กเสริม'!$A:$A,0))*INDEX('6-คาน เหล็กเสริม'!$J:$J,MATCH($B58,'6-คาน เหล็กเสริม'!$A:$A,0))/1000)*INDEX('6-คาน เหล็กเสริม'!$J:$J,MATCH($B58,'6-คาน เหล็กเสริม'!$A:$A,0))^2/162+INDEX('6-คาน เหล็กเสริม'!$K:$K,MATCH($B58,'6-คาน เหล็กเสริม'!$A:$A,0))*0.7*G58*INDEX('6-คาน เหล็กเสริม'!$L:$L,MATCH($B58,'6-คาน เหล็กเสริม'!$A:$A,0))^2/162</f>
        <v/>
      </c>
      <c r="Q58" s="8">
        <f>R58*(2*(H58+I58)-8*INDEX('6-คาน เหล็กเสริม'!$P:$P,MATCH($B58,'6-คาน เหล็กเสริม'!$A:$A,0))+24*INDEX('6-คาน เหล็กเสริม'!$M:$M,MATCH($B58,'6-คาน เหล็กเสริม'!$A:$A,0))/1000)*INDEX('6-คาน เหล็กเสริม'!$M:$M,MATCH($B58,'6-คาน เหล็กเสริม'!$A:$A,0))^2/162</f>
        <v/>
      </c>
      <c r="R58" s="8">
        <f>IF(INDEX('6-คาน เหล็กเสริม'!$M:$M,MATCH($B58,'6-คาน เหล็กเสริม'!$A:$A,0))=0,0,2*ROUNDUP(G58/4/INDEX('6-คาน เหล็กเสริม'!$N:$N,MATCH($B58,'6-คาน เหล็กเสริม'!$A:$A,0)),0)+ROUNDUP(G58/2/INDEX('6-คาน เหล็กเสริม'!$O:$O,MATCH($B58,'6-คาน เหล็กเสริม'!$A:$A,0)),0)+1)</f>
        <v/>
      </c>
      <c r="S58" s="8">
        <f>SUM(N58:Q58)</f>
        <v/>
      </c>
      <c r="T58" s="8" t="inlineStr">
        <is>
          <t>แบบ S202 (ตำแหน่ง+ระดับ)</t>
        </is>
      </c>
    </row>
    <row r="59">
      <c r="A59" s="8" t="inlineStr">
        <is>
          <t>LB-001</t>
        </is>
      </c>
      <c r="B59" s="8" t="inlineStr">
        <is>
          <t>LB</t>
        </is>
      </c>
      <c r="C59" s="8" t="inlineStr">
        <is>
          <t>แนว A</t>
        </is>
      </c>
      <c r="D59" s="8" t="inlineStr">
        <is>
          <t>1/A</t>
        </is>
      </c>
      <c r="E59" s="8" t="inlineStr">
        <is>
          <t>2/A</t>
        </is>
      </c>
      <c r="F59" s="9" t="n">
        <v>6</v>
      </c>
      <c r="G59" s="9" t="n">
        <v>5.7</v>
      </c>
      <c r="H59" s="9" t="n">
        <v>0.15</v>
      </c>
      <c r="I59" s="9" t="n">
        <v>0.15</v>
      </c>
      <c r="J59" s="9" t="n">
        <v>4.5</v>
      </c>
      <c r="K59" s="9" t="n">
        <v>4.35</v>
      </c>
      <c r="L59" s="8">
        <f>H59*I59*G59</f>
        <v/>
      </c>
      <c r="M59" s="8">
        <f>2*I59*G59</f>
        <v/>
      </c>
      <c r="N59" s="8">
        <f>INDEX('6-คาน เหล็กเสริม'!$E:$E,MATCH($B59,'6-คาน เหล็กเสริม'!$A:$A,0))*(F59+2*INDEX('6-คาน เหล็กเสริม'!$Q:$Q,MATCH($B59,'6-คาน เหล็กเสริม'!$A:$A,0))*INDEX('6-คาน เหล็กเสริม'!$F:$F,MATCH($B59,'6-คาน เหล็กเสริม'!$A:$A,0))/1000)*INDEX('6-คาน เหล็กเสริม'!$F:$F,MATCH($B59,'6-คาน เหล็กเสริม'!$A:$A,0))^2/162</f>
        <v/>
      </c>
      <c r="O59" s="8">
        <f>INDEX('6-คาน เหล็กเสริม'!$G:$G,MATCH($B59,'6-คาน เหล็กเสริม'!$A:$A,0))*(F59+2*INDEX('6-คาน เหล็กเสริม'!$Q:$Q,MATCH($B59,'6-คาน เหล็กเสริม'!$A:$A,0))*INDEX('6-คาน เหล็กเสริม'!$H:$H,MATCH($B59,'6-คาน เหล็กเสริม'!$A:$A,0))/1000)*INDEX('6-คาน เหล็กเสริม'!$H:$H,MATCH($B59,'6-คาน เหล็กเสริม'!$A:$A,0))^2/162</f>
        <v/>
      </c>
      <c r="P59" s="8">
        <f>INDEX('6-คาน เหล็กเสริม'!$I:$I,MATCH($B59,'6-คาน เหล็กเสริม'!$A:$A,0))*2*(0.3*G59+INDEX('6-คาน เหล็กเสริม'!$Q:$Q,MATCH($B59,'6-คาน เหล็กเสริม'!$A:$A,0))*INDEX('6-คาน เหล็กเสริม'!$J:$J,MATCH($B59,'6-คาน เหล็กเสริม'!$A:$A,0))/1000)*INDEX('6-คาน เหล็กเสริม'!$J:$J,MATCH($B59,'6-คาน เหล็กเสริม'!$A:$A,0))^2/162+INDEX('6-คาน เหล็กเสริม'!$K:$K,MATCH($B59,'6-คาน เหล็กเสริม'!$A:$A,0))*0.7*G59*INDEX('6-คาน เหล็กเสริม'!$L:$L,MATCH($B59,'6-คาน เหล็กเสริม'!$A:$A,0))^2/162</f>
        <v/>
      </c>
      <c r="Q59" s="8">
        <f>R59*(2*(H59+I59)-8*INDEX('6-คาน เหล็กเสริม'!$P:$P,MATCH($B59,'6-คาน เหล็กเสริม'!$A:$A,0))+24*INDEX('6-คาน เหล็กเสริม'!$M:$M,MATCH($B59,'6-คาน เหล็กเสริม'!$A:$A,0))/1000)*INDEX('6-คาน เหล็กเสริม'!$M:$M,MATCH($B59,'6-คาน เหล็กเสริม'!$A:$A,0))^2/162</f>
        <v/>
      </c>
      <c r="R59" s="8">
        <f>IF(INDEX('6-คาน เหล็กเสริม'!$M:$M,MATCH($B59,'6-คาน เหล็กเสริม'!$A:$A,0))=0,0,2*ROUNDUP(G59/4/INDEX('6-คาน เหล็กเสริม'!$N:$N,MATCH($B59,'6-คาน เหล็กเสริม'!$A:$A,0)),0)+ROUNDUP(G59/2/INDEX('6-คาน เหล็กเสริม'!$O:$O,MATCH($B59,'6-คาน เหล็กเสริม'!$A:$A,0)),0)+1)</f>
        <v/>
      </c>
      <c r="S59" s="8">
        <f>SUM(N59:Q59)</f>
        <v/>
      </c>
      <c r="T59" s="8" t="inlineStr">
        <is>
          <t>ผู้ว่าจ้างกำหนดระดับ</t>
        </is>
      </c>
    </row>
    <row r="60">
      <c r="A60" s="8" t="inlineStr">
        <is>
          <t>LB-002</t>
        </is>
      </c>
      <c r="B60" s="8" t="inlineStr">
        <is>
          <t>LB</t>
        </is>
      </c>
      <c r="C60" s="8" t="inlineStr">
        <is>
          <t>แนว A</t>
        </is>
      </c>
      <c r="D60" s="8" t="inlineStr">
        <is>
          <t>2/A</t>
        </is>
      </c>
      <c r="E60" s="8" t="inlineStr">
        <is>
          <t>3/A</t>
        </is>
      </c>
      <c r="F60" s="9" t="n">
        <v>6</v>
      </c>
      <c r="G60" s="9" t="n">
        <v>5.7</v>
      </c>
      <c r="H60" s="9" t="n">
        <v>0.15</v>
      </c>
      <c r="I60" s="9" t="n">
        <v>0.15</v>
      </c>
      <c r="J60" s="9" t="n">
        <v>4.5</v>
      </c>
      <c r="K60" s="9" t="n">
        <v>4.35</v>
      </c>
      <c r="L60" s="8">
        <f>H60*I60*G60</f>
        <v/>
      </c>
      <c r="M60" s="8">
        <f>2*I60*G60</f>
        <v/>
      </c>
      <c r="N60" s="8">
        <f>INDEX('6-คาน เหล็กเสริม'!$E:$E,MATCH($B60,'6-คาน เหล็กเสริม'!$A:$A,0))*(F60+2*INDEX('6-คาน เหล็กเสริม'!$Q:$Q,MATCH($B60,'6-คาน เหล็กเสริม'!$A:$A,0))*INDEX('6-คาน เหล็กเสริม'!$F:$F,MATCH($B60,'6-คาน เหล็กเสริม'!$A:$A,0))/1000)*INDEX('6-คาน เหล็กเสริม'!$F:$F,MATCH($B60,'6-คาน เหล็กเสริม'!$A:$A,0))^2/162</f>
        <v/>
      </c>
      <c r="O60" s="8">
        <f>INDEX('6-คาน เหล็กเสริม'!$G:$G,MATCH($B60,'6-คาน เหล็กเสริม'!$A:$A,0))*(F60+2*INDEX('6-คาน เหล็กเสริม'!$Q:$Q,MATCH($B60,'6-คาน เหล็กเสริม'!$A:$A,0))*INDEX('6-คาน เหล็กเสริม'!$H:$H,MATCH($B60,'6-คาน เหล็กเสริม'!$A:$A,0))/1000)*INDEX('6-คาน เหล็กเสริม'!$H:$H,MATCH($B60,'6-คาน เหล็กเสริม'!$A:$A,0))^2/162</f>
        <v/>
      </c>
      <c r="P60" s="8">
        <f>INDEX('6-คาน เหล็กเสริม'!$I:$I,MATCH($B60,'6-คาน เหล็กเสริม'!$A:$A,0))*2*(0.3*G60+INDEX('6-คาน เหล็กเสริม'!$Q:$Q,MATCH($B60,'6-คาน เหล็กเสริม'!$A:$A,0))*INDEX('6-คาน เหล็กเสริม'!$J:$J,MATCH($B60,'6-คาน เหล็กเสริม'!$A:$A,0))/1000)*INDEX('6-คาน เหล็กเสริม'!$J:$J,MATCH($B60,'6-คาน เหล็กเสริม'!$A:$A,0))^2/162+INDEX('6-คาน เหล็กเสริม'!$K:$K,MATCH($B60,'6-คาน เหล็กเสริม'!$A:$A,0))*0.7*G60*INDEX('6-คาน เหล็กเสริม'!$L:$L,MATCH($B60,'6-คาน เหล็กเสริม'!$A:$A,0))^2/162</f>
        <v/>
      </c>
      <c r="Q60" s="8">
        <f>R60*(2*(H60+I60)-8*INDEX('6-คาน เหล็กเสริม'!$P:$P,MATCH($B60,'6-คาน เหล็กเสริม'!$A:$A,0))+24*INDEX('6-คาน เหล็กเสริม'!$M:$M,MATCH($B60,'6-คาน เหล็กเสริม'!$A:$A,0))/1000)*INDEX('6-คาน เหล็กเสริม'!$M:$M,MATCH($B60,'6-คาน เหล็กเสริม'!$A:$A,0))^2/162</f>
        <v/>
      </c>
      <c r="R60" s="8">
        <f>IF(INDEX('6-คาน เหล็กเสริม'!$M:$M,MATCH($B60,'6-คาน เหล็กเสริม'!$A:$A,0))=0,0,2*ROUNDUP(G60/4/INDEX('6-คาน เหล็กเสริม'!$N:$N,MATCH($B60,'6-คาน เหล็กเสริม'!$A:$A,0)),0)+ROUNDUP(G60/2/INDEX('6-คาน เหล็กเสริม'!$O:$O,MATCH($B60,'6-คาน เหล็กเสริม'!$A:$A,0)),0)+1)</f>
        <v/>
      </c>
      <c r="S60" s="8">
        <f>SUM(N60:Q60)</f>
        <v/>
      </c>
      <c r="T60" s="8" t="inlineStr">
        <is>
          <t>ผู้ว่าจ้างกำหนดระดับ</t>
        </is>
      </c>
    </row>
    <row r="61">
      <c r="A61" s="8" t="inlineStr">
        <is>
          <t>LB-003</t>
        </is>
      </c>
      <c r="B61" s="8" t="inlineStr">
        <is>
          <t>LB</t>
        </is>
      </c>
      <c r="C61" s="8" t="inlineStr">
        <is>
          <t>แนว A</t>
        </is>
      </c>
      <c r="D61" s="8" t="inlineStr">
        <is>
          <t>3/A</t>
        </is>
      </c>
      <c r="E61" s="8" t="inlineStr">
        <is>
          <t>4/A</t>
        </is>
      </c>
      <c r="F61" s="9" t="n">
        <v>6</v>
      </c>
      <c r="G61" s="9" t="n">
        <v>5.7</v>
      </c>
      <c r="H61" s="9" t="n">
        <v>0.15</v>
      </c>
      <c r="I61" s="9" t="n">
        <v>0.15</v>
      </c>
      <c r="J61" s="9" t="n">
        <v>4.5</v>
      </c>
      <c r="K61" s="9" t="n">
        <v>4.35</v>
      </c>
      <c r="L61" s="8">
        <f>H61*I61*G61</f>
        <v/>
      </c>
      <c r="M61" s="8">
        <f>2*I61*G61</f>
        <v/>
      </c>
      <c r="N61" s="8">
        <f>INDEX('6-คาน เหล็กเสริม'!$E:$E,MATCH($B61,'6-คาน เหล็กเสริม'!$A:$A,0))*(F61+2*INDEX('6-คาน เหล็กเสริม'!$Q:$Q,MATCH($B61,'6-คาน เหล็กเสริม'!$A:$A,0))*INDEX('6-คาน เหล็กเสริม'!$F:$F,MATCH($B61,'6-คาน เหล็กเสริม'!$A:$A,0))/1000)*INDEX('6-คาน เหล็กเสริม'!$F:$F,MATCH($B61,'6-คาน เหล็กเสริม'!$A:$A,0))^2/162</f>
        <v/>
      </c>
      <c r="O61" s="8">
        <f>INDEX('6-คาน เหล็กเสริม'!$G:$G,MATCH($B61,'6-คาน เหล็กเสริม'!$A:$A,0))*(F61+2*INDEX('6-คาน เหล็กเสริม'!$Q:$Q,MATCH($B61,'6-คาน เหล็กเสริม'!$A:$A,0))*INDEX('6-คาน เหล็กเสริม'!$H:$H,MATCH($B61,'6-คาน เหล็กเสริม'!$A:$A,0))/1000)*INDEX('6-คาน เหล็กเสริม'!$H:$H,MATCH($B61,'6-คาน เหล็กเสริม'!$A:$A,0))^2/162</f>
        <v/>
      </c>
      <c r="P61" s="8">
        <f>INDEX('6-คาน เหล็กเสริม'!$I:$I,MATCH($B61,'6-คาน เหล็กเสริม'!$A:$A,0))*2*(0.3*G61+INDEX('6-คาน เหล็กเสริม'!$Q:$Q,MATCH($B61,'6-คาน เหล็กเสริม'!$A:$A,0))*INDEX('6-คาน เหล็กเสริม'!$J:$J,MATCH($B61,'6-คาน เหล็กเสริม'!$A:$A,0))/1000)*INDEX('6-คาน เหล็กเสริม'!$J:$J,MATCH($B61,'6-คาน เหล็กเสริม'!$A:$A,0))^2/162+INDEX('6-คาน เหล็กเสริม'!$K:$K,MATCH($B61,'6-คาน เหล็กเสริม'!$A:$A,0))*0.7*G61*INDEX('6-คาน เหล็กเสริม'!$L:$L,MATCH($B61,'6-คาน เหล็กเสริม'!$A:$A,0))^2/162</f>
        <v/>
      </c>
      <c r="Q61" s="8">
        <f>R61*(2*(H61+I61)-8*INDEX('6-คาน เหล็กเสริม'!$P:$P,MATCH($B61,'6-คาน เหล็กเสริม'!$A:$A,0))+24*INDEX('6-คาน เหล็กเสริม'!$M:$M,MATCH($B61,'6-คาน เหล็กเสริม'!$A:$A,0))/1000)*INDEX('6-คาน เหล็กเสริม'!$M:$M,MATCH($B61,'6-คาน เหล็กเสริม'!$A:$A,0))^2/162</f>
        <v/>
      </c>
      <c r="R61" s="8">
        <f>IF(INDEX('6-คาน เหล็กเสริม'!$M:$M,MATCH($B61,'6-คาน เหล็กเสริม'!$A:$A,0))=0,0,2*ROUNDUP(G61/4/INDEX('6-คาน เหล็กเสริม'!$N:$N,MATCH($B61,'6-คาน เหล็กเสริม'!$A:$A,0)),0)+ROUNDUP(G61/2/INDEX('6-คาน เหล็กเสริม'!$O:$O,MATCH($B61,'6-คาน เหล็กเสริม'!$A:$A,0)),0)+1)</f>
        <v/>
      </c>
      <c r="S61" s="8">
        <f>SUM(N61:Q61)</f>
        <v/>
      </c>
      <c r="T61" s="8" t="inlineStr">
        <is>
          <t>ผู้ว่าจ้างกำหนดระดับ</t>
        </is>
      </c>
    </row>
    <row r="62">
      <c r="A62" s="8" t="inlineStr">
        <is>
          <t>LB-004</t>
        </is>
      </c>
      <c r="B62" s="8" t="inlineStr">
        <is>
          <t>LB</t>
        </is>
      </c>
      <c r="C62" s="8" t="inlineStr">
        <is>
          <t>แนว A</t>
        </is>
      </c>
      <c r="D62" s="8" t="inlineStr">
        <is>
          <t>4/A</t>
        </is>
      </c>
      <c r="E62" s="8" t="inlineStr">
        <is>
          <t>5/A</t>
        </is>
      </c>
      <c r="F62" s="9" t="n">
        <v>6</v>
      </c>
      <c r="G62" s="9" t="n">
        <v>5.7</v>
      </c>
      <c r="H62" s="9" t="n">
        <v>0.15</v>
      </c>
      <c r="I62" s="9" t="n">
        <v>0.15</v>
      </c>
      <c r="J62" s="9" t="n">
        <v>4.5</v>
      </c>
      <c r="K62" s="9" t="n">
        <v>4.35</v>
      </c>
      <c r="L62" s="8">
        <f>H62*I62*G62</f>
        <v/>
      </c>
      <c r="M62" s="8">
        <f>2*I62*G62</f>
        <v/>
      </c>
      <c r="N62" s="8">
        <f>INDEX('6-คาน เหล็กเสริม'!$E:$E,MATCH($B62,'6-คาน เหล็กเสริม'!$A:$A,0))*(F62+2*INDEX('6-คาน เหล็กเสริม'!$Q:$Q,MATCH($B62,'6-คาน เหล็กเสริม'!$A:$A,0))*INDEX('6-คาน เหล็กเสริม'!$F:$F,MATCH($B62,'6-คาน เหล็กเสริม'!$A:$A,0))/1000)*INDEX('6-คาน เหล็กเสริม'!$F:$F,MATCH($B62,'6-คาน เหล็กเสริม'!$A:$A,0))^2/162</f>
        <v/>
      </c>
      <c r="O62" s="8">
        <f>INDEX('6-คาน เหล็กเสริม'!$G:$G,MATCH($B62,'6-คาน เหล็กเสริม'!$A:$A,0))*(F62+2*INDEX('6-คาน เหล็กเสริม'!$Q:$Q,MATCH($B62,'6-คาน เหล็กเสริม'!$A:$A,0))*INDEX('6-คาน เหล็กเสริม'!$H:$H,MATCH($B62,'6-คาน เหล็กเสริม'!$A:$A,0))/1000)*INDEX('6-คาน เหล็กเสริม'!$H:$H,MATCH($B62,'6-คาน เหล็กเสริม'!$A:$A,0))^2/162</f>
        <v/>
      </c>
      <c r="P62" s="8">
        <f>INDEX('6-คาน เหล็กเสริม'!$I:$I,MATCH($B62,'6-คาน เหล็กเสริม'!$A:$A,0))*2*(0.3*G62+INDEX('6-คาน เหล็กเสริม'!$Q:$Q,MATCH($B62,'6-คาน เหล็กเสริม'!$A:$A,0))*INDEX('6-คาน เหล็กเสริม'!$J:$J,MATCH($B62,'6-คาน เหล็กเสริม'!$A:$A,0))/1000)*INDEX('6-คาน เหล็กเสริม'!$J:$J,MATCH($B62,'6-คาน เหล็กเสริม'!$A:$A,0))^2/162+INDEX('6-คาน เหล็กเสริม'!$K:$K,MATCH($B62,'6-คาน เหล็กเสริม'!$A:$A,0))*0.7*G62*INDEX('6-คาน เหล็กเสริม'!$L:$L,MATCH($B62,'6-คาน เหล็กเสริม'!$A:$A,0))^2/162</f>
        <v/>
      </c>
      <c r="Q62" s="8">
        <f>R62*(2*(H62+I62)-8*INDEX('6-คาน เหล็กเสริม'!$P:$P,MATCH($B62,'6-คาน เหล็กเสริม'!$A:$A,0))+24*INDEX('6-คาน เหล็กเสริม'!$M:$M,MATCH($B62,'6-คาน เหล็กเสริม'!$A:$A,0))/1000)*INDEX('6-คาน เหล็กเสริม'!$M:$M,MATCH($B62,'6-คาน เหล็กเสริม'!$A:$A,0))^2/162</f>
        <v/>
      </c>
      <c r="R62" s="8">
        <f>IF(INDEX('6-คาน เหล็กเสริม'!$M:$M,MATCH($B62,'6-คาน เหล็กเสริม'!$A:$A,0))=0,0,2*ROUNDUP(G62/4/INDEX('6-คาน เหล็กเสริม'!$N:$N,MATCH($B62,'6-คาน เหล็กเสริม'!$A:$A,0)),0)+ROUNDUP(G62/2/INDEX('6-คาน เหล็กเสริม'!$O:$O,MATCH($B62,'6-คาน เหล็กเสริม'!$A:$A,0)),0)+1)</f>
        <v/>
      </c>
      <c r="S62" s="8">
        <f>SUM(N62:Q62)</f>
        <v/>
      </c>
      <c r="T62" s="8" t="inlineStr">
        <is>
          <t>ผู้ว่าจ้างกำหนดระดับ</t>
        </is>
      </c>
    </row>
    <row r="63">
      <c r="A63" s="8" t="inlineStr">
        <is>
          <t>LB-005</t>
        </is>
      </c>
      <c r="B63" s="8" t="inlineStr">
        <is>
          <t>LB</t>
        </is>
      </c>
      <c r="C63" s="8" t="inlineStr">
        <is>
          <t>แนว A</t>
        </is>
      </c>
      <c r="D63" s="8" t="inlineStr">
        <is>
          <t>6/A</t>
        </is>
      </c>
      <c r="E63" s="8" t="inlineStr">
        <is>
          <t>7/A</t>
        </is>
      </c>
      <c r="F63" s="9" t="n">
        <v>6</v>
      </c>
      <c r="G63" s="9" t="n">
        <v>5.7</v>
      </c>
      <c r="H63" s="9" t="n">
        <v>0.15</v>
      </c>
      <c r="I63" s="9" t="n">
        <v>0.15</v>
      </c>
      <c r="J63" s="9" t="n">
        <v>4.5</v>
      </c>
      <c r="K63" s="9" t="n">
        <v>4.35</v>
      </c>
      <c r="L63" s="8">
        <f>H63*I63*G63</f>
        <v/>
      </c>
      <c r="M63" s="8">
        <f>2*I63*G63</f>
        <v/>
      </c>
      <c r="N63" s="8">
        <f>INDEX('6-คาน เหล็กเสริม'!$E:$E,MATCH($B63,'6-คาน เหล็กเสริม'!$A:$A,0))*(F63+2*INDEX('6-คาน เหล็กเสริม'!$Q:$Q,MATCH($B63,'6-คาน เหล็กเสริม'!$A:$A,0))*INDEX('6-คาน เหล็กเสริม'!$F:$F,MATCH($B63,'6-คาน เหล็กเสริม'!$A:$A,0))/1000)*INDEX('6-คาน เหล็กเสริม'!$F:$F,MATCH($B63,'6-คาน เหล็กเสริม'!$A:$A,0))^2/162</f>
        <v/>
      </c>
      <c r="O63" s="8">
        <f>INDEX('6-คาน เหล็กเสริม'!$G:$G,MATCH($B63,'6-คาน เหล็กเสริม'!$A:$A,0))*(F63+2*INDEX('6-คาน เหล็กเสริม'!$Q:$Q,MATCH($B63,'6-คาน เหล็กเสริม'!$A:$A,0))*INDEX('6-คาน เหล็กเสริม'!$H:$H,MATCH($B63,'6-คาน เหล็กเสริม'!$A:$A,0))/1000)*INDEX('6-คาน เหล็กเสริม'!$H:$H,MATCH($B63,'6-คาน เหล็กเสริม'!$A:$A,0))^2/162</f>
        <v/>
      </c>
      <c r="P63" s="8">
        <f>INDEX('6-คาน เหล็กเสริม'!$I:$I,MATCH($B63,'6-คาน เหล็กเสริม'!$A:$A,0))*2*(0.3*G63+INDEX('6-คาน เหล็กเสริม'!$Q:$Q,MATCH($B63,'6-คาน เหล็กเสริม'!$A:$A,0))*INDEX('6-คาน เหล็กเสริม'!$J:$J,MATCH($B63,'6-คาน เหล็กเสริม'!$A:$A,0))/1000)*INDEX('6-คาน เหล็กเสริม'!$J:$J,MATCH($B63,'6-คาน เหล็กเสริม'!$A:$A,0))^2/162+INDEX('6-คาน เหล็กเสริม'!$K:$K,MATCH($B63,'6-คาน เหล็กเสริม'!$A:$A,0))*0.7*G63*INDEX('6-คาน เหล็กเสริม'!$L:$L,MATCH($B63,'6-คาน เหล็กเสริม'!$A:$A,0))^2/162</f>
        <v/>
      </c>
      <c r="Q63" s="8">
        <f>R63*(2*(H63+I63)-8*INDEX('6-คาน เหล็กเสริม'!$P:$P,MATCH($B63,'6-คาน เหล็กเสริม'!$A:$A,0))+24*INDEX('6-คาน เหล็กเสริม'!$M:$M,MATCH($B63,'6-คาน เหล็กเสริม'!$A:$A,0))/1000)*INDEX('6-คาน เหล็กเสริม'!$M:$M,MATCH($B63,'6-คาน เหล็กเสริม'!$A:$A,0))^2/162</f>
        <v/>
      </c>
      <c r="R63" s="8">
        <f>IF(INDEX('6-คาน เหล็กเสริม'!$M:$M,MATCH($B63,'6-คาน เหล็กเสริม'!$A:$A,0))=0,0,2*ROUNDUP(G63/4/INDEX('6-คาน เหล็กเสริม'!$N:$N,MATCH($B63,'6-คาน เหล็กเสริม'!$A:$A,0)),0)+ROUNDUP(G63/2/INDEX('6-คาน เหล็กเสริม'!$O:$O,MATCH($B63,'6-คาน เหล็กเสริม'!$A:$A,0)),0)+1)</f>
        <v/>
      </c>
      <c r="S63" s="8">
        <f>SUM(N63:Q63)</f>
        <v/>
      </c>
      <c r="T63" s="8" t="inlineStr">
        <is>
          <t>ผู้ว่าจ้างกำหนดระดับ</t>
        </is>
      </c>
    </row>
    <row r="64">
      <c r="A64" s="8" t="inlineStr">
        <is>
          <t>LB-006</t>
        </is>
      </c>
      <c r="B64" s="8" t="inlineStr">
        <is>
          <t>LB</t>
        </is>
      </c>
      <c r="C64" s="8" t="inlineStr">
        <is>
          <t>แนว A</t>
        </is>
      </c>
      <c r="D64" s="8" t="inlineStr">
        <is>
          <t>7/A</t>
        </is>
      </c>
      <c r="E64" s="8" t="inlineStr">
        <is>
          <t>8/A</t>
        </is>
      </c>
      <c r="F64" s="9" t="n">
        <v>6</v>
      </c>
      <c r="G64" s="9" t="n">
        <v>5.7</v>
      </c>
      <c r="H64" s="9" t="n">
        <v>0.15</v>
      </c>
      <c r="I64" s="9" t="n">
        <v>0.15</v>
      </c>
      <c r="J64" s="9" t="n">
        <v>4.5</v>
      </c>
      <c r="K64" s="9" t="n">
        <v>4.35</v>
      </c>
      <c r="L64" s="8">
        <f>H64*I64*G64</f>
        <v/>
      </c>
      <c r="M64" s="8">
        <f>2*I64*G64</f>
        <v/>
      </c>
      <c r="N64" s="8">
        <f>INDEX('6-คาน เหล็กเสริม'!$E:$E,MATCH($B64,'6-คาน เหล็กเสริม'!$A:$A,0))*(F64+2*INDEX('6-คาน เหล็กเสริม'!$Q:$Q,MATCH($B64,'6-คาน เหล็กเสริม'!$A:$A,0))*INDEX('6-คาน เหล็กเสริม'!$F:$F,MATCH($B64,'6-คาน เหล็กเสริม'!$A:$A,0))/1000)*INDEX('6-คาน เหล็กเสริม'!$F:$F,MATCH($B64,'6-คาน เหล็กเสริม'!$A:$A,0))^2/162</f>
        <v/>
      </c>
      <c r="O64" s="8">
        <f>INDEX('6-คาน เหล็กเสริม'!$G:$G,MATCH($B64,'6-คาน เหล็กเสริม'!$A:$A,0))*(F64+2*INDEX('6-คาน เหล็กเสริม'!$Q:$Q,MATCH($B64,'6-คาน เหล็กเสริม'!$A:$A,0))*INDEX('6-คาน เหล็กเสริม'!$H:$H,MATCH($B64,'6-คาน เหล็กเสริม'!$A:$A,0))/1000)*INDEX('6-คาน เหล็กเสริม'!$H:$H,MATCH($B64,'6-คาน เหล็กเสริม'!$A:$A,0))^2/162</f>
        <v/>
      </c>
      <c r="P64" s="8">
        <f>INDEX('6-คาน เหล็กเสริม'!$I:$I,MATCH($B64,'6-คาน เหล็กเสริม'!$A:$A,0))*2*(0.3*G64+INDEX('6-คาน เหล็กเสริม'!$Q:$Q,MATCH($B64,'6-คาน เหล็กเสริม'!$A:$A,0))*INDEX('6-คาน เหล็กเสริม'!$J:$J,MATCH($B64,'6-คาน เหล็กเสริม'!$A:$A,0))/1000)*INDEX('6-คาน เหล็กเสริม'!$J:$J,MATCH($B64,'6-คาน เหล็กเสริม'!$A:$A,0))^2/162+INDEX('6-คาน เหล็กเสริม'!$K:$K,MATCH($B64,'6-คาน เหล็กเสริม'!$A:$A,0))*0.7*G64*INDEX('6-คาน เหล็กเสริม'!$L:$L,MATCH($B64,'6-คาน เหล็กเสริม'!$A:$A,0))^2/162</f>
        <v/>
      </c>
      <c r="Q64" s="8">
        <f>R64*(2*(H64+I64)-8*INDEX('6-คาน เหล็กเสริม'!$P:$P,MATCH($B64,'6-คาน เหล็กเสริม'!$A:$A,0))+24*INDEX('6-คาน เหล็กเสริม'!$M:$M,MATCH($B64,'6-คาน เหล็กเสริม'!$A:$A,0))/1000)*INDEX('6-คาน เหล็กเสริม'!$M:$M,MATCH($B64,'6-คาน เหล็กเสริม'!$A:$A,0))^2/162</f>
        <v/>
      </c>
      <c r="R64" s="8">
        <f>IF(INDEX('6-คาน เหล็กเสริม'!$M:$M,MATCH($B64,'6-คาน เหล็กเสริม'!$A:$A,0))=0,0,2*ROUNDUP(G64/4/INDEX('6-คาน เหล็กเสริม'!$N:$N,MATCH($B64,'6-คาน เหล็กเสริม'!$A:$A,0)),0)+ROUNDUP(G64/2/INDEX('6-คาน เหล็กเสริม'!$O:$O,MATCH($B64,'6-คาน เหล็กเสริม'!$A:$A,0)),0)+1)</f>
        <v/>
      </c>
      <c r="S64" s="8">
        <f>SUM(N64:Q64)</f>
        <v/>
      </c>
      <c r="T64" s="8" t="inlineStr">
        <is>
          <t>ผู้ว่าจ้างกำหนดระดับ</t>
        </is>
      </c>
    </row>
    <row r="65">
      <c r="A65" s="8" t="inlineStr">
        <is>
          <t>LB-007</t>
        </is>
      </c>
      <c r="B65" s="8" t="inlineStr">
        <is>
          <t>LB</t>
        </is>
      </c>
      <c r="C65" s="8" t="inlineStr">
        <is>
          <t>แนว A</t>
        </is>
      </c>
      <c r="D65" s="8" t="inlineStr">
        <is>
          <t>8/A</t>
        </is>
      </c>
      <c r="E65" s="8" t="inlineStr">
        <is>
          <t>9/A</t>
        </is>
      </c>
      <c r="F65" s="9" t="n">
        <v>6</v>
      </c>
      <c r="G65" s="9" t="n">
        <v>5.7</v>
      </c>
      <c r="H65" s="9" t="n">
        <v>0.15</v>
      </c>
      <c r="I65" s="9" t="n">
        <v>0.15</v>
      </c>
      <c r="J65" s="9" t="n">
        <v>4.5</v>
      </c>
      <c r="K65" s="9" t="n">
        <v>4.35</v>
      </c>
      <c r="L65" s="8">
        <f>H65*I65*G65</f>
        <v/>
      </c>
      <c r="M65" s="8">
        <f>2*I65*G65</f>
        <v/>
      </c>
      <c r="N65" s="8">
        <f>INDEX('6-คาน เหล็กเสริม'!$E:$E,MATCH($B65,'6-คาน เหล็กเสริม'!$A:$A,0))*(F65+2*INDEX('6-คาน เหล็กเสริม'!$Q:$Q,MATCH($B65,'6-คาน เหล็กเสริม'!$A:$A,0))*INDEX('6-คาน เหล็กเสริม'!$F:$F,MATCH($B65,'6-คาน เหล็กเสริม'!$A:$A,0))/1000)*INDEX('6-คาน เหล็กเสริม'!$F:$F,MATCH($B65,'6-คาน เหล็กเสริม'!$A:$A,0))^2/162</f>
        <v/>
      </c>
      <c r="O65" s="8">
        <f>INDEX('6-คาน เหล็กเสริม'!$G:$G,MATCH($B65,'6-คาน เหล็กเสริม'!$A:$A,0))*(F65+2*INDEX('6-คาน เหล็กเสริม'!$Q:$Q,MATCH($B65,'6-คาน เหล็กเสริม'!$A:$A,0))*INDEX('6-คาน เหล็กเสริม'!$H:$H,MATCH($B65,'6-คาน เหล็กเสริม'!$A:$A,0))/1000)*INDEX('6-คาน เหล็กเสริม'!$H:$H,MATCH($B65,'6-คาน เหล็กเสริม'!$A:$A,0))^2/162</f>
        <v/>
      </c>
      <c r="P65" s="8">
        <f>INDEX('6-คาน เหล็กเสริม'!$I:$I,MATCH($B65,'6-คาน เหล็กเสริม'!$A:$A,0))*2*(0.3*G65+INDEX('6-คาน เหล็กเสริม'!$Q:$Q,MATCH($B65,'6-คาน เหล็กเสริม'!$A:$A,0))*INDEX('6-คาน เหล็กเสริม'!$J:$J,MATCH($B65,'6-คาน เหล็กเสริม'!$A:$A,0))/1000)*INDEX('6-คาน เหล็กเสริม'!$J:$J,MATCH($B65,'6-คาน เหล็กเสริม'!$A:$A,0))^2/162+INDEX('6-คาน เหล็กเสริม'!$K:$K,MATCH($B65,'6-คาน เหล็กเสริม'!$A:$A,0))*0.7*G65*INDEX('6-คาน เหล็กเสริม'!$L:$L,MATCH($B65,'6-คาน เหล็กเสริม'!$A:$A,0))^2/162</f>
        <v/>
      </c>
      <c r="Q65" s="8">
        <f>R65*(2*(H65+I65)-8*INDEX('6-คาน เหล็กเสริม'!$P:$P,MATCH($B65,'6-คาน เหล็กเสริม'!$A:$A,0))+24*INDEX('6-คาน เหล็กเสริม'!$M:$M,MATCH($B65,'6-คาน เหล็กเสริม'!$A:$A,0))/1000)*INDEX('6-คาน เหล็กเสริม'!$M:$M,MATCH($B65,'6-คาน เหล็กเสริม'!$A:$A,0))^2/162</f>
        <v/>
      </c>
      <c r="R65" s="8">
        <f>IF(INDEX('6-คาน เหล็กเสริม'!$M:$M,MATCH($B65,'6-คาน เหล็กเสริม'!$A:$A,0))=0,0,2*ROUNDUP(G65/4/INDEX('6-คาน เหล็กเสริม'!$N:$N,MATCH($B65,'6-คาน เหล็กเสริม'!$A:$A,0)),0)+ROUNDUP(G65/2/INDEX('6-คาน เหล็กเสริม'!$O:$O,MATCH($B65,'6-คาน เหล็กเสริม'!$A:$A,0)),0)+1)</f>
        <v/>
      </c>
      <c r="S65" s="8">
        <f>SUM(N65:Q65)</f>
        <v/>
      </c>
      <c r="T65" s="8" t="inlineStr">
        <is>
          <t>ผู้ว่าจ้างกำหนดระดับ</t>
        </is>
      </c>
    </row>
    <row r="66">
      <c r="A66" s="8" t="inlineStr">
        <is>
          <t>LB-008</t>
        </is>
      </c>
      <c r="B66" s="8" t="inlineStr">
        <is>
          <t>LB</t>
        </is>
      </c>
      <c r="C66" s="8" t="inlineStr">
        <is>
          <t>แนว A</t>
        </is>
      </c>
      <c r="D66" s="8" t="inlineStr">
        <is>
          <t>9/A</t>
        </is>
      </c>
      <c r="E66" s="8" t="inlineStr">
        <is>
          <t>10/A</t>
        </is>
      </c>
      <c r="F66" s="9" t="n">
        <v>6</v>
      </c>
      <c r="G66" s="9" t="n">
        <v>5.7</v>
      </c>
      <c r="H66" s="9" t="n">
        <v>0.15</v>
      </c>
      <c r="I66" s="9" t="n">
        <v>0.15</v>
      </c>
      <c r="J66" s="9" t="n">
        <v>4.5</v>
      </c>
      <c r="K66" s="9" t="n">
        <v>4.35</v>
      </c>
      <c r="L66" s="8">
        <f>H66*I66*G66</f>
        <v/>
      </c>
      <c r="M66" s="8">
        <f>2*I66*G66</f>
        <v/>
      </c>
      <c r="N66" s="8">
        <f>INDEX('6-คาน เหล็กเสริม'!$E:$E,MATCH($B66,'6-คาน เหล็กเสริม'!$A:$A,0))*(F66+2*INDEX('6-คาน เหล็กเสริม'!$Q:$Q,MATCH($B66,'6-คาน เหล็กเสริม'!$A:$A,0))*INDEX('6-คาน เหล็กเสริม'!$F:$F,MATCH($B66,'6-คาน เหล็กเสริม'!$A:$A,0))/1000)*INDEX('6-คาน เหล็กเสริม'!$F:$F,MATCH($B66,'6-คาน เหล็กเสริม'!$A:$A,0))^2/162</f>
        <v/>
      </c>
      <c r="O66" s="8">
        <f>INDEX('6-คาน เหล็กเสริม'!$G:$G,MATCH($B66,'6-คาน เหล็กเสริม'!$A:$A,0))*(F66+2*INDEX('6-คาน เหล็กเสริม'!$Q:$Q,MATCH($B66,'6-คาน เหล็กเสริม'!$A:$A,0))*INDEX('6-คาน เหล็กเสริม'!$H:$H,MATCH($B66,'6-คาน เหล็กเสริม'!$A:$A,0))/1000)*INDEX('6-คาน เหล็กเสริม'!$H:$H,MATCH($B66,'6-คาน เหล็กเสริม'!$A:$A,0))^2/162</f>
        <v/>
      </c>
      <c r="P66" s="8">
        <f>INDEX('6-คาน เหล็กเสริม'!$I:$I,MATCH($B66,'6-คาน เหล็กเสริม'!$A:$A,0))*2*(0.3*G66+INDEX('6-คาน เหล็กเสริม'!$Q:$Q,MATCH($B66,'6-คาน เหล็กเสริม'!$A:$A,0))*INDEX('6-คาน เหล็กเสริม'!$J:$J,MATCH($B66,'6-คาน เหล็กเสริม'!$A:$A,0))/1000)*INDEX('6-คาน เหล็กเสริม'!$J:$J,MATCH($B66,'6-คาน เหล็กเสริม'!$A:$A,0))^2/162+INDEX('6-คาน เหล็กเสริม'!$K:$K,MATCH($B66,'6-คาน เหล็กเสริม'!$A:$A,0))*0.7*G66*INDEX('6-คาน เหล็กเสริม'!$L:$L,MATCH($B66,'6-คาน เหล็กเสริม'!$A:$A,0))^2/162</f>
        <v/>
      </c>
      <c r="Q66" s="8">
        <f>R66*(2*(H66+I66)-8*INDEX('6-คาน เหล็กเสริม'!$P:$P,MATCH($B66,'6-คาน เหล็กเสริม'!$A:$A,0))+24*INDEX('6-คาน เหล็กเสริม'!$M:$M,MATCH($B66,'6-คาน เหล็กเสริม'!$A:$A,0))/1000)*INDEX('6-คาน เหล็กเสริม'!$M:$M,MATCH($B66,'6-คาน เหล็กเสริม'!$A:$A,0))^2/162</f>
        <v/>
      </c>
      <c r="R66" s="8">
        <f>IF(INDEX('6-คาน เหล็กเสริม'!$M:$M,MATCH($B66,'6-คาน เหล็กเสริม'!$A:$A,0))=0,0,2*ROUNDUP(G66/4/INDEX('6-คาน เหล็กเสริม'!$N:$N,MATCH($B66,'6-คาน เหล็กเสริม'!$A:$A,0)),0)+ROUNDUP(G66/2/INDEX('6-คาน เหล็กเสริม'!$O:$O,MATCH($B66,'6-คาน เหล็กเสริม'!$A:$A,0)),0)+1)</f>
        <v/>
      </c>
      <c r="S66" s="8">
        <f>SUM(N66:Q66)</f>
        <v/>
      </c>
      <c r="T66" s="8" t="inlineStr">
        <is>
          <t>ผู้ว่าจ้างกำหนดระดับ</t>
        </is>
      </c>
    </row>
    <row r="67">
      <c r="A67" s="8" t="inlineStr">
        <is>
          <t>LB-009</t>
        </is>
      </c>
      <c r="B67" s="8" t="inlineStr">
        <is>
          <t>LB</t>
        </is>
      </c>
      <c r="C67" s="8" t="inlineStr">
        <is>
          <t>แนว A</t>
        </is>
      </c>
      <c r="D67" s="8" t="inlineStr">
        <is>
          <t>10/A</t>
        </is>
      </c>
      <c r="E67" s="8" t="inlineStr">
        <is>
          <t>11/A</t>
        </is>
      </c>
      <c r="F67" s="9" t="n">
        <v>6</v>
      </c>
      <c r="G67" s="9" t="n">
        <v>5.7</v>
      </c>
      <c r="H67" s="9" t="n">
        <v>0.15</v>
      </c>
      <c r="I67" s="9" t="n">
        <v>0.15</v>
      </c>
      <c r="J67" s="9" t="n">
        <v>4.5</v>
      </c>
      <c r="K67" s="9" t="n">
        <v>4.35</v>
      </c>
      <c r="L67" s="8">
        <f>H67*I67*G67</f>
        <v/>
      </c>
      <c r="M67" s="8">
        <f>2*I67*G67</f>
        <v/>
      </c>
      <c r="N67" s="8">
        <f>INDEX('6-คาน เหล็กเสริม'!$E:$E,MATCH($B67,'6-คาน เหล็กเสริม'!$A:$A,0))*(F67+2*INDEX('6-คาน เหล็กเสริม'!$Q:$Q,MATCH($B67,'6-คาน เหล็กเสริม'!$A:$A,0))*INDEX('6-คาน เหล็กเสริม'!$F:$F,MATCH($B67,'6-คาน เหล็กเสริม'!$A:$A,0))/1000)*INDEX('6-คาน เหล็กเสริม'!$F:$F,MATCH($B67,'6-คาน เหล็กเสริม'!$A:$A,0))^2/162</f>
        <v/>
      </c>
      <c r="O67" s="8">
        <f>INDEX('6-คาน เหล็กเสริม'!$G:$G,MATCH($B67,'6-คาน เหล็กเสริม'!$A:$A,0))*(F67+2*INDEX('6-คาน เหล็กเสริม'!$Q:$Q,MATCH($B67,'6-คาน เหล็กเสริม'!$A:$A,0))*INDEX('6-คาน เหล็กเสริม'!$H:$H,MATCH($B67,'6-คาน เหล็กเสริม'!$A:$A,0))/1000)*INDEX('6-คาน เหล็กเสริม'!$H:$H,MATCH($B67,'6-คาน เหล็กเสริม'!$A:$A,0))^2/162</f>
        <v/>
      </c>
      <c r="P67" s="8">
        <f>INDEX('6-คาน เหล็กเสริม'!$I:$I,MATCH($B67,'6-คาน เหล็กเสริม'!$A:$A,0))*2*(0.3*G67+INDEX('6-คาน เหล็กเสริม'!$Q:$Q,MATCH($B67,'6-คาน เหล็กเสริม'!$A:$A,0))*INDEX('6-คาน เหล็กเสริม'!$J:$J,MATCH($B67,'6-คาน เหล็กเสริม'!$A:$A,0))/1000)*INDEX('6-คาน เหล็กเสริม'!$J:$J,MATCH($B67,'6-คาน เหล็กเสริม'!$A:$A,0))^2/162+INDEX('6-คาน เหล็กเสริม'!$K:$K,MATCH($B67,'6-คาน เหล็กเสริม'!$A:$A,0))*0.7*G67*INDEX('6-คาน เหล็กเสริม'!$L:$L,MATCH($B67,'6-คาน เหล็กเสริม'!$A:$A,0))^2/162</f>
        <v/>
      </c>
      <c r="Q67" s="8">
        <f>R67*(2*(H67+I67)-8*INDEX('6-คาน เหล็กเสริม'!$P:$P,MATCH($B67,'6-คาน เหล็กเสริม'!$A:$A,0))+24*INDEX('6-คาน เหล็กเสริม'!$M:$M,MATCH($B67,'6-คาน เหล็กเสริม'!$A:$A,0))/1000)*INDEX('6-คาน เหล็กเสริม'!$M:$M,MATCH($B67,'6-คาน เหล็กเสริม'!$A:$A,0))^2/162</f>
        <v/>
      </c>
      <c r="R67" s="8">
        <f>IF(INDEX('6-คาน เหล็กเสริม'!$M:$M,MATCH($B67,'6-คาน เหล็กเสริม'!$A:$A,0))=0,0,2*ROUNDUP(G67/4/INDEX('6-คาน เหล็กเสริม'!$N:$N,MATCH($B67,'6-คาน เหล็กเสริม'!$A:$A,0)),0)+ROUNDUP(G67/2/INDEX('6-คาน เหล็กเสริม'!$O:$O,MATCH($B67,'6-คาน เหล็กเสริม'!$A:$A,0)),0)+1)</f>
        <v/>
      </c>
      <c r="S67" s="8">
        <f>SUM(N67:Q67)</f>
        <v/>
      </c>
      <c r="T67" s="8" t="inlineStr">
        <is>
          <t>ผู้ว่าจ้างกำหนดระดับ</t>
        </is>
      </c>
    </row>
    <row r="68">
      <c r="A68" s="8" t="inlineStr">
        <is>
          <t>LB-010</t>
        </is>
      </c>
      <c r="B68" s="8" t="inlineStr">
        <is>
          <t>LB</t>
        </is>
      </c>
      <c r="C68" s="8" t="inlineStr">
        <is>
          <t>แนว 1</t>
        </is>
      </c>
      <c r="D68" s="8" t="inlineStr">
        <is>
          <t>1/A</t>
        </is>
      </c>
      <c r="E68" s="8" t="inlineStr">
        <is>
          <t>1/B</t>
        </is>
      </c>
      <c r="F68" s="9" t="n">
        <v>6</v>
      </c>
      <c r="G68" s="9" t="n">
        <v>5.7</v>
      </c>
      <c r="H68" s="9" t="n">
        <v>0.15</v>
      </c>
      <c r="I68" s="9" t="n">
        <v>0.15</v>
      </c>
      <c r="J68" s="9" t="n">
        <v>4.5</v>
      </c>
      <c r="K68" s="9" t="n">
        <v>4.35</v>
      </c>
      <c r="L68" s="8">
        <f>H68*I68*G68</f>
        <v/>
      </c>
      <c r="M68" s="8">
        <f>2*I68*G68</f>
        <v/>
      </c>
      <c r="N68" s="8">
        <f>INDEX('6-คาน เหล็กเสริม'!$E:$E,MATCH($B68,'6-คาน เหล็กเสริม'!$A:$A,0))*(F68+2*INDEX('6-คาน เหล็กเสริม'!$Q:$Q,MATCH($B68,'6-คาน เหล็กเสริม'!$A:$A,0))*INDEX('6-คาน เหล็กเสริม'!$F:$F,MATCH($B68,'6-คาน เหล็กเสริม'!$A:$A,0))/1000)*INDEX('6-คาน เหล็กเสริม'!$F:$F,MATCH($B68,'6-คาน เหล็กเสริม'!$A:$A,0))^2/162</f>
        <v/>
      </c>
      <c r="O68" s="8">
        <f>INDEX('6-คาน เหล็กเสริม'!$G:$G,MATCH($B68,'6-คาน เหล็กเสริม'!$A:$A,0))*(F68+2*INDEX('6-คาน เหล็กเสริม'!$Q:$Q,MATCH($B68,'6-คาน เหล็กเสริม'!$A:$A,0))*INDEX('6-คาน เหล็กเสริม'!$H:$H,MATCH($B68,'6-คาน เหล็กเสริม'!$A:$A,0))/1000)*INDEX('6-คาน เหล็กเสริม'!$H:$H,MATCH($B68,'6-คาน เหล็กเสริม'!$A:$A,0))^2/162</f>
        <v/>
      </c>
      <c r="P68" s="8">
        <f>INDEX('6-คาน เหล็กเสริม'!$I:$I,MATCH($B68,'6-คาน เหล็กเสริม'!$A:$A,0))*2*(0.3*G68+INDEX('6-คาน เหล็กเสริม'!$Q:$Q,MATCH($B68,'6-คาน เหล็กเสริม'!$A:$A,0))*INDEX('6-คาน เหล็กเสริม'!$J:$J,MATCH($B68,'6-คาน เหล็กเสริม'!$A:$A,0))/1000)*INDEX('6-คาน เหล็กเสริม'!$J:$J,MATCH($B68,'6-คาน เหล็กเสริม'!$A:$A,0))^2/162+INDEX('6-คาน เหล็กเสริม'!$K:$K,MATCH($B68,'6-คาน เหล็กเสริม'!$A:$A,0))*0.7*G68*INDEX('6-คาน เหล็กเสริม'!$L:$L,MATCH($B68,'6-คาน เหล็กเสริม'!$A:$A,0))^2/162</f>
        <v/>
      </c>
      <c r="Q68" s="8">
        <f>R68*(2*(H68+I68)-8*INDEX('6-คาน เหล็กเสริม'!$P:$P,MATCH($B68,'6-คาน เหล็กเสริม'!$A:$A,0))+24*INDEX('6-คาน เหล็กเสริม'!$M:$M,MATCH($B68,'6-คาน เหล็กเสริม'!$A:$A,0))/1000)*INDEX('6-คาน เหล็กเสริม'!$M:$M,MATCH($B68,'6-คาน เหล็กเสริม'!$A:$A,0))^2/162</f>
        <v/>
      </c>
      <c r="R68" s="8">
        <f>IF(INDEX('6-คาน เหล็กเสริม'!$M:$M,MATCH($B68,'6-คาน เหล็กเสริม'!$A:$A,0))=0,0,2*ROUNDUP(G68/4/INDEX('6-คาน เหล็กเสริม'!$N:$N,MATCH($B68,'6-คาน เหล็กเสริม'!$A:$A,0)),0)+ROUNDUP(G68/2/INDEX('6-คาน เหล็กเสริม'!$O:$O,MATCH($B68,'6-คาน เหล็กเสริม'!$A:$A,0)),0)+1)</f>
        <v/>
      </c>
      <c r="S68" s="8">
        <f>SUM(N68:Q68)</f>
        <v/>
      </c>
      <c r="T68" s="8" t="inlineStr">
        <is>
          <t>ผู้ว่าจ้างกำหนดระดับ</t>
        </is>
      </c>
    </row>
    <row r="69">
      <c r="A69" s="8" t="inlineStr">
        <is>
          <t>LB-011</t>
        </is>
      </c>
      <c r="B69" s="8" t="inlineStr">
        <is>
          <t>LB</t>
        </is>
      </c>
      <c r="C69" s="8" t="inlineStr">
        <is>
          <t>แนว 11</t>
        </is>
      </c>
      <c r="D69" s="8" t="inlineStr">
        <is>
          <t>11/A</t>
        </is>
      </c>
      <c r="E69" s="8" t="inlineStr">
        <is>
          <t>11/B</t>
        </is>
      </c>
      <c r="F69" s="9" t="n">
        <v>6</v>
      </c>
      <c r="G69" s="9" t="n">
        <v>5.7</v>
      </c>
      <c r="H69" s="9" t="n">
        <v>0.15</v>
      </c>
      <c r="I69" s="9" t="n">
        <v>0.15</v>
      </c>
      <c r="J69" s="9" t="n">
        <v>4.5</v>
      </c>
      <c r="K69" s="9" t="n">
        <v>4.35</v>
      </c>
      <c r="L69" s="8">
        <f>H69*I69*G69</f>
        <v/>
      </c>
      <c r="M69" s="8">
        <f>2*I69*G69</f>
        <v/>
      </c>
      <c r="N69" s="8">
        <f>INDEX('6-คาน เหล็กเสริม'!$E:$E,MATCH($B69,'6-คาน เหล็กเสริม'!$A:$A,0))*(F69+2*INDEX('6-คาน เหล็กเสริม'!$Q:$Q,MATCH($B69,'6-คาน เหล็กเสริม'!$A:$A,0))*INDEX('6-คาน เหล็กเสริม'!$F:$F,MATCH($B69,'6-คาน เหล็กเสริม'!$A:$A,0))/1000)*INDEX('6-คาน เหล็กเสริม'!$F:$F,MATCH($B69,'6-คาน เหล็กเสริม'!$A:$A,0))^2/162</f>
        <v/>
      </c>
      <c r="O69" s="8">
        <f>INDEX('6-คาน เหล็กเสริม'!$G:$G,MATCH($B69,'6-คาน เหล็กเสริม'!$A:$A,0))*(F69+2*INDEX('6-คาน เหล็กเสริม'!$Q:$Q,MATCH($B69,'6-คาน เหล็กเสริม'!$A:$A,0))*INDEX('6-คาน เหล็กเสริม'!$H:$H,MATCH($B69,'6-คาน เหล็กเสริม'!$A:$A,0))/1000)*INDEX('6-คาน เหล็กเสริม'!$H:$H,MATCH($B69,'6-คาน เหล็กเสริม'!$A:$A,0))^2/162</f>
        <v/>
      </c>
      <c r="P69" s="8">
        <f>INDEX('6-คาน เหล็กเสริม'!$I:$I,MATCH($B69,'6-คาน เหล็กเสริม'!$A:$A,0))*2*(0.3*G69+INDEX('6-คาน เหล็กเสริม'!$Q:$Q,MATCH($B69,'6-คาน เหล็กเสริม'!$A:$A,0))*INDEX('6-คาน เหล็กเสริม'!$J:$J,MATCH($B69,'6-คาน เหล็กเสริม'!$A:$A,0))/1000)*INDEX('6-คาน เหล็กเสริม'!$J:$J,MATCH($B69,'6-คาน เหล็กเสริม'!$A:$A,0))^2/162+INDEX('6-คาน เหล็กเสริม'!$K:$K,MATCH($B69,'6-คาน เหล็กเสริม'!$A:$A,0))*0.7*G69*INDEX('6-คาน เหล็กเสริม'!$L:$L,MATCH($B69,'6-คาน เหล็กเสริม'!$A:$A,0))^2/162</f>
        <v/>
      </c>
      <c r="Q69" s="8">
        <f>R69*(2*(H69+I69)-8*INDEX('6-คาน เหล็กเสริม'!$P:$P,MATCH($B69,'6-คาน เหล็กเสริม'!$A:$A,0))+24*INDEX('6-คาน เหล็กเสริม'!$M:$M,MATCH($B69,'6-คาน เหล็กเสริม'!$A:$A,0))/1000)*INDEX('6-คาน เหล็กเสริม'!$M:$M,MATCH($B69,'6-คาน เหล็กเสริม'!$A:$A,0))^2/162</f>
        <v/>
      </c>
      <c r="R69" s="8">
        <f>IF(INDEX('6-คาน เหล็กเสริม'!$M:$M,MATCH($B69,'6-คาน เหล็กเสริม'!$A:$A,0))=0,0,2*ROUNDUP(G69/4/INDEX('6-คาน เหล็กเสริม'!$N:$N,MATCH($B69,'6-คาน เหล็กเสริม'!$A:$A,0)),0)+ROUNDUP(G69/2/INDEX('6-คาน เหล็กเสริม'!$O:$O,MATCH($B69,'6-คาน เหล็กเสริม'!$A:$A,0)),0)+1)</f>
        <v/>
      </c>
      <c r="S69" s="8">
        <f>SUM(N69:Q69)</f>
        <v/>
      </c>
      <c r="T69" s="8" t="inlineStr">
        <is>
          <t>ผู้ว่าจ้างกำหนดระดับ</t>
        </is>
      </c>
    </row>
    <row r="70">
      <c r="A70" s="8" t="inlineStr">
        <is>
          <t>LB-012</t>
        </is>
      </c>
      <c r="B70" s="8" t="inlineStr">
        <is>
          <t>LB</t>
        </is>
      </c>
      <c r="C70" s="8" t="inlineStr">
        <is>
          <t>แนว 1</t>
        </is>
      </c>
      <c r="D70" s="8" t="inlineStr">
        <is>
          <t>1/B</t>
        </is>
      </c>
      <c r="E70" s="8" t="inlineStr">
        <is>
          <t>1/C</t>
        </is>
      </c>
      <c r="F70" s="9" t="n">
        <v>6</v>
      </c>
      <c r="G70" s="9" t="n">
        <v>5.7</v>
      </c>
      <c r="H70" s="9" t="n">
        <v>0.15</v>
      </c>
      <c r="I70" s="9" t="n">
        <v>0.15</v>
      </c>
      <c r="J70" s="9" t="n">
        <v>4.5</v>
      </c>
      <c r="K70" s="9" t="n">
        <v>4.35</v>
      </c>
      <c r="L70" s="8">
        <f>H70*I70*G70</f>
        <v/>
      </c>
      <c r="M70" s="8">
        <f>2*I70*G70</f>
        <v/>
      </c>
      <c r="N70" s="8">
        <f>INDEX('6-คาน เหล็กเสริม'!$E:$E,MATCH($B70,'6-คาน เหล็กเสริม'!$A:$A,0))*(F70+2*INDEX('6-คาน เหล็กเสริม'!$Q:$Q,MATCH($B70,'6-คาน เหล็กเสริม'!$A:$A,0))*INDEX('6-คาน เหล็กเสริม'!$F:$F,MATCH($B70,'6-คาน เหล็กเสริม'!$A:$A,0))/1000)*INDEX('6-คาน เหล็กเสริม'!$F:$F,MATCH($B70,'6-คาน เหล็กเสริม'!$A:$A,0))^2/162</f>
        <v/>
      </c>
      <c r="O70" s="8">
        <f>INDEX('6-คาน เหล็กเสริม'!$G:$G,MATCH($B70,'6-คาน เหล็กเสริม'!$A:$A,0))*(F70+2*INDEX('6-คาน เหล็กเสริม'!$Q:$Q,MATCH($B70,'6-คาน เหล็กเสริม'!$A:$A,0))*INDEX('6-คาน เหล็กเสริม'!$H:$H,MATCH($B70,'6-คาน เหล็กเสริม'!$A:$A,0))/1000)*INDEX('6-คาน เหล็กเสริม'!$H:$H,MATCH($B70,'6-คาน เหล็กเสริม'!$A:$A,0))^2/162</f>
        <v/>
      </c>
      <c r="P70" s="8">
        <f>INDEX('6-คาน เหล็กเสริม'!$I:$I,MATCH($B70,'6-คาน เหล็กเสริม'!$A:$A,0))*2*(0.3*G70+INDEX('6-คาน เหล็กเสริม'!$Q:$Q,MATCH($B70,'6-คาน เหล็กเสริม'!$A:$A,0))*INDEX('6-คาน เหล็กเสริม'!$J:$J,MATCH($B70,'6-คาน เหล็กเสริม'!$A:$A,0))/1000)*INDEX('6-คาน เหล็กเสริม'!$J:$J,MATCH($B70,'6-คาน เหล็กเสริม'!$A:$A,0))^2/162+INDEX('6-คาน เหล็กเสริม'!$K:$K,MATCH($B70,'6-คาน เหล็กเสริม'!$A:$A,0))*0.7*G70*INDEX('6-คาน เหล็กเสริม'!$L:$L,MATCH($B70,'6-คาน เหล็กเสริม'!$A:$A,0))^2/162</f>
        <v/>
      </c>
      <c r="Q70" s="8">
        <f>R70*(2*(H70+I70)-8*INDEX('6-คาน เหล็กเสริม'!$P:$P,MATCH($B70,'6-คาน เหล็กเสริม'!$A:$A,0))+24*INDEX('6-คาน เหล็กเสริม'!$M:$M,MATCH($B70,'6-คาน เหล็กเสริม'!$A:$A,0))/1000)*INDEX('6-คาน เหล็กเสริม'!$M:$M,MATCH($B70,'6-คาน เหล็กเสริม'!$A:$A,0))^2/162</f>
        <v/>
      </c>
      <c r="R70" s="8">
        <f>IF(INDEX('6-คาน เหล็กเสริม'!$M:$M,MATCH($B70,'6-คาน เหล็กเสริม'!$A:$A,0))=0,0,2*ROUNDUP(G70/4/INDEX('6-คาน เหล็กเสริม'!$N:$N,MATCH($B70,'6-คาน เหล็กเสริม'!$A:$A,0)),0)+ROUNDUP(G70/2/INDEX('6-คาน เหล็กเสริม'!$O:$O,MATCH($B70,'6-คาน เหล็กเสริม'!$A:$A,0)),0)+1)</f>
        <v/>
      </c>
      <c r="S70" s="8">
        <f>SUM(N70:Q70)</f>
        <v/>
      </c>
      <c r="T70" s="8" t="inlineStr">
        <is>
          <t>ผู้ว่าจ้างกำหนดระดับ</t>
        </is>
      </c>
    </row>
    <row r="71">
      <c r="A71" s="8" t="inlineStr">
        <is>
          <t>LB-013</t>
        </is>
      </c>
      <c r="B71" s="8" t="inlineStr">
        <is>
          <t>LB</t>
        </is>
      </c>
      <c r="C71" s="8" t="inlineStr">
        <is>
          <t>แนว 11</t>
        </is>
      </c>
      <c r="D71" s="8" t="inlineStr">
        <is>
          <t>11/B</t>
        </is>
      </c>
      <c r="E71" s="8" t="inlineStr">
        <is>
          <t>11/C</t>
        </is>
      </c>
      <c r="F71" s="9" t="n">
        <v>6</v>
      </c>
      <c r="G71" s="9" t="n">
        <v>5.7</v>
      </c>
      <c r="H71" s="9" t="n">
        <v>0.15</v>
      </c>
      <c r="I71" s="9" t="n">
        <v>0.15</v>
      </c>
      <c r="J71" s="9" t="n">
        <v>4.5</v>
      </c>
      <c r="K71" s="9" t="n">
        <v>4.35</v>
      </c>
      <c r="L71" s="8">
        <f>H71*I71*G71</f>
        <v/>
      </c>
      <c r="M71" s="8">
        <f>2*I71*G71</f>
        <v/>
      </c>
      <c r="N71" s="8">
        <f>INDEX('6-คาน เหล็กเสริม'!$E:$E,MATCH($B71,'6-คาน เหล็กเสริม'!$A:$A,0))*(F71+2*INDEX('6-คาน เหล็กเสริม'!$Q:$Q,MATCH($B71,'6-คาน เหล็กเสริม'!$A:$A,0))*INDEX('6-คาน เหล็กเสริม'!$F:$F,MATCH($B71,'6-คาน เหล็กเสริม'!$A:$A,0))/1000)*INDEX('6-คาน เหล็กเสริม'!$F:$F,MATCH($B71,'6-คาน เหล็กเสริม'!$A:$A,0))^2/162</f>
        <v/>
      </c>
      <c r="O71" s="8">
        <f>INDEX('6-คาน เหล็กเสริม'!$G:$G,MATCH($B71,'6-คาน เหล็กเสริม'!$A:$A,0))*(F71+2*INDEX('6-คาน เหล็กเสริม'!$Q:$Q,MATCH($B71,'6-คาน เหล็กเสริม'!$A:$A,0))*INDEX('6-คาน เหล็กเสริม'!$H:$H,MATCH($B71,'6-คาน เหล็กเสริม'!$A:$A,0))/1000)*INDEX('6-คาน เหล็กเสริม'!$H:$H,MATCH($B71,'6-คาน เหล็กเสริม'!$A:$A,0))^2/162</f>
        <v/>
      </c>
      <c r="P71" s="8">
        <f>INDEX('6-คาน เหล็กเสริม'!$I:$I,MATCH($B71,'6-คาน เหล็กเสริม'!$A:$A,0))*2*(0.3*G71+INDEX('6-คาน เหล็กเสริม'!$Q:$Q,MATCH($B71,'6-คาน เหล็กเสริม'!$A:$A,0))*INDEX('6-คาน เหล็กเสริม'!$J:$J,MATCH($B71,'6-คาน เหล็กเสริม'!$A:$A,0))/1000)*INDEX('6-คาน เหล็กเสริม'!$J:$J,MATCH($B71,'6-คาน เหล็กเสริม'!$A:$A,0))^2/162+INDEX('6-คาน เหล็กเสริม'!$K:$K,MATCH($B71,'6-คาน เหล็กเสริม'!$A:$A,0))*0.7*G71*INDEX('6-คาน เหล็กเสริม'!$L:$L,MATCH($B71,'6-คาน เหล็กเสริม'!$A:$A,0))^2/162</f>
        <v/>
      </c>
      <c r="Q71" s="8">
        <f>R71*(2*(H71+I71)-8*INDEX('6-คาน เหล็กเสริม'!$P:$P,MATCH($B71,'6-คาน เหล็กเสริม'!$A:$A,0))+24*INDEX('6-คาน เหล็กเสริม'!$M:$M,MATCH($B71,'6-คาน เหล็กเสริม'!$A:$A,0))/1000)*INDEX('6-คาน เหล็กเสริม'!$M:$M,MATCH($B71,'6-คาน เหล็กเสริม'!$A:$A,0))^2/162</f>
        <v/>
      </c>
      <c r="R71" s="8">
        <f>IF(INDEX('6-คาน เหล็กเสริม'!$M:$M,MATCH($B71,'6-คาน เหล็กเสริม'!$A:$A,0))=0,0,2*ROUNDUP(G71/4/INDEX('6-คาน เหล็กเสริม'!$N:$N,MATCH($B71,'6-คาน เหล็กเสริม'!$A:$A,0)),0)+ROUNDUP(G71/2/INDEX('6-คาน เหล็กเสริม'!$O:$O,MATCH($B71,'6-คาน เหล็กเสริม'!$A:$A,0)),0)+1)</f>
        <v/>
      </c>
      <c r="S71" s="8">
        <f>SUM(N71:Q71)</f>
        <v/>
      </c>
      <c r="T71" s="8" t="inlineStr">
        <is>
          <t>ผู้ว่าจ้างกำหนดระดับ</t>
        </is>
      </c>
    </row>
    <row r="72">
      <c r="A72" s="8" t="inlineStr">
        <is>
          <t>LB-014</t>
        </is>
      </c>
      <c r="B72" s="8" t="inlineStr">
        <is>
          <t>LB</t>
        </is>
      </c>
      <c r="C72" s="8" t="inlineStr">
        <is>
          <t>แนว 1</t>
        </is>
      </c>
      <c r="D72" s="8" t="inlineStr">
        <is>
          <t>1/C</t>
        </is>
      </c>
      <c r="E72" s="8" t="inlineStr">
        <is>
          <t>1/D</t>
        </is>
      </c>
      <c r="F72" s="9" t="n">
        <v>6</v>
      </c>
      <c r="G72" s="9" t="n">
        <v>5.7</v>
      </c>
      <c r="H72" s="9" t="n">
        <v>0.15</v>
      </c>
      <c r="I72" s="9" t="n">
        <v>0.15</v>
      </c>
      <c r="J72" s="9" t="n">
        <v>4.5</v>
      </c>
      <c r="K72" s="9" t="n">
        <v>4.35</v>
      </c>
      <c r="L72" s="8">
        <f>H72*I72*G72</f>
        <v/>
      </c>
      <c r="M72" s="8">
        <f>2*I72*G72</f>
        <v/>
      </c>
      <c r="N72" s="8">
        <f>INDEX('6-คาน เหล็กเสริม'!$E:$E,MATCH($B72,'6-คาน เหล็กเสริม'!$A:$A,0))*(F72+2*INDEX('6-คาน เหล็กเสริม'!$Q:$Q,MATCH($B72,'6-คาน เหล็กเสริม'!$A:$A,0))*INDEX('6-คาน เหล็กเสริม'!$F:$F,MATCH($B72,'6-คาน เหล็กเสริม'!$A:$A,0))/1000)*INDEX('6-คาน เหล็กเสริม'!$F:$F,MATCH($B72,'6-คาน เหล็กเสริม'!$A:$A,0))^2/162</f>
        <v/>
      </c>
      <c r="O72" s="8">
        <f>INDEX('6-คาน เหล็กเสริม'!$G:$G,MATCH($B72,'6-คาน เหล็กเสริม'!$A:$A,0))*(F72+2*INDEX('6-คาน เหล็กเสริม'!$Q:$Q,MATCH($B72,'6-คาน เหล็กเสริม'!$A:$A,0))*INDEX('6-คาน เหล็กเสริม'!$H:$H,MATCH($B72,'6-คาน เหล็กเสริม'!$A:$A,0))/1000)*INDEX('6-คาน เหล็กเสริม'!$H:$H,MATCH($B72,'6-คาน เหล็กเสริม'!$A:$A,0))^2/162</f>
        <v/>
      </c>
      <c r="P72" s="8">
        <f>INDEX('6-คาน เหล็กเสริม'!$I:$I,MATCH($B72,'6-คาน เหล็กเสริม'!$A:$A,0))*2*(0.3*G72+INDEX('6-คาน เหล็กเสริม'!$Q:$Q,MATCH($B72,'6-คาน เหล็กเสริม'!$A:$A,0))*INDEX('6-คาน เหล็กเสริม'!$J:$J,MATCH($B72,'6-คาน เหล็กเสริม'!$A:$A,0))/1000)*INDEX('6-คาน เหล็กเสริม'!$J:$J,MATCH($B72,'6-คาน เหล็กเสริม'!$A:$A,0))^2/162+INDEX('6-คาน เหล็กเสริม'!$K:$K,MATCH($B72,'6-คาน เหล็กเสริม'!$A:$A,0))*0.7*G72*INDEX('6-คาน เหล็กเสริม'!$L:$L,MATCH($B72,'6-คาน เหล็กเสริม'!$A:$A,0))^2/162</f>
        <v/>
      </c>
      <c r="Q72" s="8">
        <f>R72*(2*(H72+I72)-8*INDEX('6-คาน เหล็กเสริม'!$P:$P,MATCH($B72,'6-คาน เหล็กเสริม'!$A:$A,0))+24*INDEX('6-คาน เหล็กเสริม'!$M:$M,MATCH($B72,'6-คาน เหล็กเสริม'!$A:$A,0))/1000)*INDEX('6-คาน เหล็กเสริม'!$M:$M,MATCH($B72,'6-คาน เหล็กเสริม'!$A:$A,0))^2/162</f>
        <v/>
      </c>
      <c r="R72" s="8">
        <f>IF(INDEX('6-คาน เหล็กเสริม'!$M:$M,MATCH($B72,'6-คาน เหล็กเสริม'!$A:$A,0))=0,0,2*ROUNDUP(G72/4/INDEX('6-คาน เหล็กเสริม'!$N:$N,MATCH($B72,'6-คาน เหล็กเสริม'!$A:$A,0)),0)+ROUNDUP(G72/2/INDEX('6-คาน เหล็กเสริม'!$O:$O,MATCH($B72,'6-คาน เหล็กเสริม'!$A:$A,0)),0)+1)</f>
        <v/>
      </c>
      <c r="S72" s="8">
        <f>SUM(N72:Q72)</f>
        <v/>
      </c>
      <c r="T72" s="8" t="inlineStr">
        <is>
          <t>ผู้ว่าจ้างกำหนดระดับ</t>
        </is>
      </c>
    </row>
    <row r="73">
      <c r="A73" s="8" t="inlineStr">
        <is>
          <t>LB-015</t>
        </is>
      </c>
      <c r="B73" s="8" t="inlineStr">
        <is>
          <t>LB</t>
        </is>
      </c>
      <c r="C73" s="8" t="inlineStr">
        <is>
          <t>แนว 11</t>
        </is>
      </c>
      <c r="D73" s="8" t="inlineStr">
        <is>
          <t>11/C</t>
        </is>
      </c>
      <c r="E73" s="8" t="inlineStr">
        <is>
          <t>11/D</t>
        </is>
      </c>
      <c r="F73" s="9" t="n">
        <v>6</v>
      </c>
      <c r="G73" s="9" t="n">
        <v>5.7</v>
      </c>
      <c r="H73" s="9" t="n">
        <v>0.15</v>
      </c>
      <c r="I73" s="9" t="n">
        <v>0.15</v>
      </c>
      <c r="J73" s="9" t="n">
        <v>4.5</v>
      </c>
      <c r="K73" s="9" t="n">
        <v>4.35</v>
      </c>
      <c r="L73" s="8">
        <f>H73*I73*G73</f>
        <v/>
      </c>
      <c r="M73" s="8">
        <f>2*I73*G73</f>
        <v/>
      </c>
      <c r="N73" s="8">
        <f>INDEX('6-คาน เหล็กเสริม'!$E:$E,MATCH($B73,'6-คาน เหล็กเสริม'!$A:$A,0))*(F73+2*INDEX('6-คาน เหล็กเสริม'!$Q:$Q,MATCH($B73,'6-คาน เหล็กเสริม'!$A:$A,0))*INDEX('6-คาน เหล็กเสริม'!$F:$F,MATCH($B73,'6-คาน เหล็กเสริม'!$A:$A,0))/1000)*INDEX('6-คาน เหล็กเสริม'!$F:$F,MATCH($B73,'6-คาน เหล็กเสริม'!$A:$A,0))^2/162</f>
        <v/>
      </c>
      <c r="O73" s="8">
        <f>INDEX('6-คาน เหล็กเสริม'!$G:$G,MATCH($B73,'6-คาน เหล็กเสริม'!$A:$A,0))*(F73+2*INDEX('6-คาน เหล็กเสริม'!$Q:$Q,MATCH($B73,'6-คาน เหล็กเสริม'!$A:$A,0))*INDEX('6-คาน เหล็กเสริม'!$H:$H,MATCH($B73,'6-คาน เหล็กเสริม'!$A:$A,0))/1000)*INDEX('6-คาน เหล็กเสริม'!$H:$H,MATCH($B73,'6-คาน เหล็กเสริม'!$A:$A,0))^2/162</f>
        <v/>
      </c>
      <c r="P73" s="8">
        <f>INDEX('6-คาน เหล็กเสริม'!$I:$I,MATCH($B73,'6-คาน เหล็กเสริม'!$A:$A,0))*2*(0.3*G73+INDEX('6-คาน เหล็กเสริม'!$Q:$Q,MATCH($B73,'6-คาน เหล็กเสริม'!$A:$A,0))*INDEX('6-คาน เหล็กเสริม'!$J:$J,MATCH($B73,'6-คาน เหล็กเสริม'!$A:$A,0))/1000)*INDEX('6-คาน เหล็กเสริม'!$J:$J,MATCH($B73,'6-คาน เหล็กเสริม'!$A:$A,0))^2/162+INDEX('6-คาน เหล็กเสริม'!$K:$K,MATCH($B73,'6-คาน เหล็กเสริม'!$A:$A,0))*0.7*G73*INDEX('6-คาน เหล็กเสริม'!$L:$L,MATCH($B73,'6-คาน เหล็กเสริม'!$A:$A,0))^2/162</f>
        <v/>
      </c>
      <c r="Q73" s="8">
        <f>R73*(2*(H73+I73)-8*INDEX('6-คาน เหล็กเสริม'!$P:$P,MATCH($B73,'6-คาน เหล็กเสริม'!$A:$A,0))+24*INDEX('6-คาน เหล็กเสริม'!$M:$M,MATCH($B73,'6-คาน เหล็กเสริม'!$A:$A,0))/1000)*INDEX('6-คาน เหล็กเสริม'!$M:$M,MATCH($B73,'6-คาน เหล็กเสริม'!$A:$A,0))^2/162</f>
        <v/>
      </c>
      <c r="R73" s="8">
        <f>IF(INDEX('6-คาน เหล็กเสริม'!$M:$M,MATCH($B73,'6-คาน เหล็กเสริม'!$A:$A,0))=0,0,2*ROUNDUP(G73/4/INDEX('6-คาน เหล็กเสริม'!$N:$N,MATCH($B73,'6-คาน เหล็กเสริม'!$A:$A,0)),0)+ROUNDUP(G73/2/INDEX('6-คาน เหล็กเสริม'!$O:$O,MATCH($B73,'6-คาน เหล็กเสริม'!$A:$A,0)),0)+1)</f>
        <v/>
      </c>
      <c r="S73" s="8">
        <f>SUM(N73:Q73)</f>
        <v/>
      </c>
      <c r="T73" s="8" t="inlineStr">
        <is>
          <t>ผู้ว่าจ้างกำหนดระดับ</t>
        </is>
      </c>
    </row>
    <row r="74">
      <c r="A74" s="8" t="inlineStr">
        <is>
          <t>LB-016</t>
        </is>
      </c>
      <c r="B74" s="8" t="inlineStr">
        <is>
          <t>LB</t>
        </is>
      </c>
      <c r="C74" s="8" t="inlineStr">
        <is>
          <t>แนว 1</t>
        </is>
      </c>
      <c r="D74" s="8" t="inlineStr">
        <is>
          <t>1/D</t>
        </is>
      </c>
      <c r="E74" s="8" t="inlineStr">
        <is>
          <t>1/E</t>
        </is>
      </c>
      <c r="F74" s="9" t="n">
        <v>6</v>
      </c>
      <c r="G74" s="9" t="n">
        <v>5.7</v>
      </c>
      <c r="H74" s="9" t="n">
        <v>0.15</v>
      </c>
      <c r="I74" s="9" t="n">
        <v>0.15</v>
      </c>
      <c r="J74" s="9" t="n">
        <v>4.5</v>
      </c>
      <c r="K74" s="9" t="n">
        <v>4.35</v>
      </c>
      <c r="L74" s="8">
        <f>H74*I74*G74</f>
        <v/>
      </c>
      <c r="M74" s="8">
        <f>2*I74*G74</f>
        <v/>
      </c>
      <c r="N74" s="8">
        <f>INDEX('6-คาน เหล็กเสริม'!$E:$E,MATCH($B74,'6-คาน เหล็กเสริม'!$A:$A,0))*(F74+2*INDEX('6-คาน เหล็กเสริม'!$Q:$Q,MATCH($B74,'6-คาน เหล็กเสริม'!$A:$A,0))*INDEX('6-คาน เหล็กเสริม'!$F:$F,MATCH($B74,'6-คาน เหล็กเสริม'!$A:$A,0))/1000)*INDEX('6-คาน เหล็กเสริม'!$F:$F,MATCH($B74,'6-คาน เหล็กเสริม'!$A:$A,0))^2/162</f>
        <v/>
      </c>
      <c r="O74" s="8">
        <f>INDEX('6-คาน เหล็กเสริม'!$G:$G,MATCH($B74,'6-คาน เหล็กเสริม'!$A:$A,0))*(F74+2*INDEX('6-คาน เหล็กเสริม'!$Q:$Q,MATCH($B74,'6-คาน เหล็กเสริม'!$A:$A,0))*INDEX('6-คาน เหล็กเสริม'!$H:$H,MATCH($B74,'6-คาน เหล็กเสริม'!$A:$A,0))/1000)*INDEX('6-คาน เหล็กเสริม'!$H:$H,MATCH($B74,'6-คาน เหล็กเสริม'!$A:$A,0))^2/162</f>
        <v/>
      </c>
      <c r="P74" s="8">
        <f>INDEX('6-คาน เหล็กเสริม'!$I:$I,MATCH($B74,'6-คาน เหล็กเสริม'!$A:$A,0))*2*(0.3*G74+INDEX('6-คาน เหล็กเสริม'!$Q:$Q,MATCH($B74,'6-คาน เหล็กเสริม'!$A:$A,0))*INDEX('6-คาน เหล็กเสริม'!$J:$J,MATCH($B74,'6-คาน เหล็กเสริม'!$A:$A,0))/1000)*INDEX('6-คาน เหล็กเสริม'!$J:$J,MATCH($B74,'6-คาน เหล็กเสริม'!$A:$A,0))^2/162+INDEX('6-คาน เหล็กเสริม'!$K:$K,MATCH($B74,'6-คาน เหล็กเสริม'!$A:$A,0))*0.7*G74*INDEX('6-คาน เหล็กเสริม'!$L:$L,MATCH($B74,'6-คาน เหล็กเสริม'!$A:$A,0))^2/162</f>
        <v/>
      </c>
      <c r="Q74" s="8">
        <f>R74*(2*(H74+I74)-8*INDEX('6-คาน เหล็กเสริม'!$P:$P,MATCH($B74,'6-คาน เหล็กเสริม'!$A:$A,0))+24*INDEX('6-คาน เหล็กเสริม'!$M:$M,MATCH($B74,'6-คาน เหล็กเสริม'!$A:$A,0))/1000)*INDEX('6-คาน เหล็กเสริม'!$M:$M,MATCH($B74,'6-คาน เหล็กเสริม'!$A:$A,0))^2/162</f>
        <v/>
      </c>
      <c r="R74" s="8">
        <f>IF(INDEX('6-คาน เหล็กเสริม'!$M:$M,MATCH($B74,'6-คาน เหล็กเสริม'!$A:$A,0))=0,0,2*ROUNDUP(G74/4/INDEX('6-คาน เหล็กเสริม'!$N:$N,MATCH($B74,'6-คาน เหล็กเสริม'!$A:$A,0)),0)+ROUNDUP(G74/2/INDEX('6-คาน เหล็กเสริม'!$O:$O,MATCH($B74,'6-คาน เหล็กเสริม'!$A:$A,0)),0)+1)</f>
        <v/>
      </c>
      <c r="S74" s="8">
        <f>SUM(N74:Q74)</f>
        <v/>
      </c>
      <c r="T74" s="8" t="inlineStr">
        <is>
          <t>ผู้ว่าจ้างกำหนดระดับ</t>
        </is>
      </c>
    </row>
    <row r="75">
      <c r="A75" s="8" t="inlineStr">
        <is>
          <t>LB-017</t>
        </is>
      </c>
      <c r="B75" s="8" t="inlineStr">
        <is>
          <t>LB</t>
        </is>
      </c>
      <c r="C75" s="8" t="inlineStr">
        <is>
          <t>แนว 11</t>
        </is>
      </c>
      <c r="D75" s="8" t="inlineStr">
        <is>
          <t>11/D</t>
        </is>
      </c>
      <c r="E75" s="8" t="inlineStr">
        <is>
          <t>11/E</t>
        </is>
      </c>
      <c r="F75" s="9" t="n">
        <v>6</v>
      </c>
      <c r="G75" s="9" t="n">
        <v>5.7</v>
      </c>
      <c r="H75" s="9" t="n">
        <v>0.15</v>
      </c>
      <c r="I75" s="9" t="n">
        <v>0.15</v>
      </c>
      <c r="J75" s="9" t="n">
        <v>4.5</v>
      </c>
      <c r="K75" s="9" t="n">
        <v>4.35</v>
      </c>
      <c r="L75" s="8">
        <f>H75*I75*G75</f>
        <v/>
      </c>
      <c r="M75" s="8">
        <f>2*I75*G75</f>
        <v/>
      </c>
      <c r="N75" s="8">
        <f>INDEX('6-คาน เหล็กเสริม'!$E:$E,MATCH($B75,'6-คาน เหล็กเสริม'!$A:$A,0))*(F75+2*INDEX('6-คาน เหล็กเสริม'!$Q:$Q,MATCH($B75,'6-คาน เหล็กเสริม'!$A:$A,0))*INDEX('6-คาน เหล็กเสริม'!$F:$F,MATCH($B75,'6-คาน เหล็กเสริม'!$A:$A,0))/1000)*INDEX('6-คาน เหล็กเสริม'!$F:$F,MATCH($B75,'6-คาน เหล็กเสริม'!$A:$A,0))^2/162</f>
        <v/>
      </c>
      <c r="O75" s="8">
        <f>INDEX('6-คาน เหล็กเสริม'!$G:$G,MATCH($B75,'6-คาน เหล็กเสริม'!$A:$A,0))*(F75+2*INDEX('6-คาน เหล็กเสริม'!$Q:$Q,MATCH($B75,'6-คาน เหล็กเสริม'!$A:$A,0))*INDEX('6-คาน เหล็กเสริม'!$H:$H,MATCH($B75,'6-คาน เหล็กเสริม'!$A:$A,0))/1000)*INDEX('6-คาน เหล็กเสริม'!$H:$H,MATCH($B75,'6-คาน เหล็กเสริม'!$A:$A,0))^2/162</f>
        <v/>
      </c>
      <c r="P75" s="8">
        <f>INDEX('6-คาน เหล็กเสริม'!$I:$I,MATCH($B75,'6-คาน เหล็กเสริม'!$A:$A,0))*2*(0.3*G75+INDEX('6-คาน เหล็กเสริม'!$Q:$Q,MATCH($B75,'6-คาน เหล็กเสริม'!$A:$A,0))*INDEX('6-คาน เหล็กเสริม'!$J:$J,MATCH($B75,'6-คาน เหล็กเสริม'!$A:$A,0))/1000)*INDEX('6-คาน เหล็กเสริม'!$J:$J,MATCH($B75,'6-คาน เหล็กเสริม'!$A:$A,0))^2/162+INDEX('6-คาน เหล็กเสริม'!$K:$K,MATCH($B75,'6-คาน เหล็กเสริม'!$A:$A,0))*0.7*G75*INDEX('6-คาน เหล็กเสริม'!$L:$L,MATCH($B75,'6-คาน เหล็กเสริม'!$A:$A,0))^2/162</f>
        <v/>
      </c>
      <c r="Q75" s="8">
        <f>R75*(2*(H75+I75)-8*INDEX('6-คาน เหล็กเสริม'!$P:$P,MATCH($B75,'6-คาน เหล็กเสริม'!$A:$A,0))+24*INDEX('6-คาน เหล็กเสริม'!$M:$M,MATCH($B75,'6-คาน เหล็กเสริม'!$A:$A,0))/1000)*INDEX('6-คาน เหล็กเสริม'!$M:$M,MATCH($B75,'6-คาน เหล็กเสริม'!$A:$A,0))^2/162</f>
        <v/>
      </c>
      <c r="R75" s="8">
        <f>IF(INDEX('6-คาน เหล็กเสริม'!$M:$M,MATCH($B75,'6-คาน เหล็กเสริม'!$A:$A,0))=0,0,2*ROUNDUP(G75/4/INDEX('6-คาน เหล็กเสริม'!$N:$N,MATCH($B75,'6-คาน เหล็กเสริม'!$A:$A,0)),0)+ROUNDUP(G75/2/INDEX('6-คาน เหล็กเสริม'!$O:$O,MATCH($B75,'6-คาน เหล็กเสริม'!$A:$A,0)),0)+1)</f>
        <v/>
      </c>
      <c r="S75" s="8">
        <f>SUM(N75:Q75)</f>
        <v/>
      </c>
      <c r="T75" s="8" t="inlineStr">
        <is>
          <t>ผู้ว่าจ้างกำหนดระดับ</t>
        </is>
      </c>
    </row>
    <row r="76">
      <c r="A76" s="8" t="inlineStr">
        <is>
          <t>LB-018</t>
        </is>
      </c>
      <c r="B76" s="8" t="inlineStr">
        <is>
          <t>LB</t>
        </is>
      </c>
      <c r="C76" s="8" t="inlineStr">
        <is>
          <t>แนว 1</t>
        </is>
      </c>
      <c r="D76" s="8" t="inlineStr">
        <is>
          <t>1/E</t>
        </is>
      </c>
      <c r="E76" s="8" t="inlineStr">
        <is>
          <t>1/F</t>
        </is>
      </c>
      <c r="F76" s="9" t="n">
        <v>6</v>
      </c>
      <c r="G76" s="9" t="n">
        <v>5.7</v>
      </c>
      <c r="H76" s="9" t="n">
        <v>0.15</v>
      </c>
      <c r="I76" s="9" t="n">
        <v>0.15</v>
      </c>
      <c r="J76" s="9" t="n">
        <v>4.5</v>
      </c>
      <c r="K76" s="9" t="n">
        <v>4.35</v>
      </c>
      <c r="L76" s="8">
        <f>H76*I76*G76</f>
        <v/>
      </c>
      <c r="M76" s="8">
        <f>2*I76*G76</f>
        <v/>
      </c>
      <c r="N76" s="8">
        <f>INDEX('6-คาน เหล็กเสริม'!$E:$E,MATCH($B76,'6-คาน เหล็กเสริม'!$A:$A,0))*(F76+2*INDEX('6-คาน เหล็กเสริม'!$Q:$Q,MATCH($B76,'6-คาน เหล็กเสริม'!$A:$A,0))*INDEX('6-คาน เหล็กเสริม'!$F:$F,MATCH($B76,'6-คาน เหล็กเสริม'!$A:$A,0))/1000)*INDEX('6-คาน เหล็กเสริม'!$F:$F,MATCH($B76,'6-คาน เหล็กเสริม'!$A:$A,0))^2/162</f>
        <v/>
      </c>
      <c r="O76" s="8">
        <f>INDEX('6-คาน เหล็กเสริม'!$G:$G,MATCH($B76,'6-คาน เหล็กเสริม'!$A:$A,0))*(F76+2*INDEX('6-คาน เหล็กเสริม'!$Q:$Q,MATCH($B76,'6-คาน เหล็กเสริม'!$A:$A,0))*INDEX('6-คาน เหล็กเสริม'!$H:$H,MATCH($B76,'6-คาน เหล็กเสริม'!$A:$A,0))/1000)*INDEX('6-คาน เหล็กเสริม'!$H:$H,MATCH($B76,'6-คาน เหล็กเสริม'!$A:$A,0))^2/162</f>
        <v/>
      </c>
      <c r="P76" s="8">
        <f>INDEX('6-คาน เหล็กเสริม'!$I:$I,MATCH($B76,'6-คาน เหล็กเสริม'!$A:$A,0))*2*(0.3*G76+INDEX('6-คาน เหล็กเสริม'!$Q:$Q,MATCH($B76,'6-คาน เหล็กเสริม'!$A:$A,0))*INDEX('6-คาน เหล็กเสริม'!$J:$J,MATCH($B76,'6-คาน เหล็กเสริม'!$A:$A,0))/1000)*INDEX('6-คาน เหล็กเสริม'!$J:$J,MATCH($B76,'6-คาน เหล็กเสริม'!$A:$A,0))^2/162+INDEX('6-คาน เหล็กเสริม'!$K:$K,MATCH($B76,'6-คาน เหล็กเสริม'!$A:$A,0))*0.7*G76*INDEX('6-คาน เหล็กเสริม'!$L:$L,MATCH($B76,'6-คาน เหล็กเสริม'!$A:$A,0))^2/162</f>
        <v/>
      </c>
      <c r="Q76" s="8">
        <f>R76*(2*(H76+I76)-8*INDEX('6-คาน เหล็กเสริม'!$P:$P,MATCH($B76,'6-คาน เหล็กเสริม'!$A:$A,0))+24*INDEX('6-คาน เหล็กเสริม'!$M:$M,MATCH($B76,'6-คาน เหล็กเสริม'!$A:$A,0))/1000)*INDEX('6-คาน เหล็กเสริม'!$M:$M,MATCH($B76,'6-คาน เหล็กเสริม'!$A:$A,0))^2/162</f>
        <v/>
      </c>
      <c r="R76" s="8">
        <f>IF(INDEX('6-คาน เหล็กเสริม'!$M:$M,MATCH($B76,'6-คาน เหล็กเสริม'!$A:$A,0))=0,0,2*ROUNDUP(G76/4/INDEX('6-คาน เหล็กเสริม'!$N:$N,MATCH($B76,'6-คาน เหล็กเสริม'!$A:$A,0)),0)+ROUNDUP(G76/2/INDEX('6-คาน เหล็กเสริม'!$O:$O,MATCH($B76,'6-คาน เหล็กเสริม'!$A:$A,0)),0)+1)</f>
        <v/>
      </c>
      <c r="S76" s="8">
        <f>SUM(N76:Q76)</f>
        <v/>
      </c>
      <c r="T76" s="8" t="inlineStr">
        <is>
          <t>ผู้ว่าจ้างกำหนดระดับ</t>
        </is>
      </c>
    </row>
    <row r="77">
      <c r="A77" s="8" t="inlineStr">
        <is>
          <t>LB-019</t>
        </is>
      </c>
      <c r="B77" s="8" t="inlineStr">
        <is>
          <t>LB</t>
        </is>
      </c>
      <c r="C77" s="8" t="inlineStr">
        <is>
          <t>แนว 11</t>
        </is>
      </c>
      <c r="D77" s="8" t="inlineStr">
        <is>
          <t>11/E</t>
        </is>
      </c>
      <c r="E77" s="8" t="inlineStr">
        <is>
          <t>11/F</t>
        </is>
      </c>
      <c r="F77" s="9" t="n">
        <v>6</v>
      </c>
      <c r="G77" s="9" t="n">
        <v>5.7</v>
      </c>
      <c r="H77" s="9" t="n">
        <v>0.15</v>
      </c>
      <c r="I77" s="9" t="n">
        <v>0.15</v>
      </c>
      <c r="J77" s="9" t="n">
        <v>4.5</v>
      </c>
      <c r="K77" s="9" t="n">
        <v>4.35</v>
      </c>
      <c r="L77" s="8">
        <f>H77*I77*G77</f>
        <v/>
      </c>
      <c r="M77" s="8">
        <f>2*I77*G77</f>
        <v/>
      </c>
      <c r="N77" s="8">
        <f>INDEX('6-คาน เหล็กเสริม'!$E:$E,MATCH($B77,'6-คาน เหล็กเสริม'!$A:$A,0))*(F77+2*INDEX('6-คาน เหล็กเสริม'!$Q:$Q,MATCH($B77,'6-คาน เหล็กเสริม'!$A:$A,0))*INDEX('6-คาน เหล็กเสริม'!$F:$F,MATCH($B77,'6-คาน เหล็กเสริม'!$A:$A,0))/1000)*INDEX('6-คาน เหล็กเสริม'!$F:$F,MATCH($B77,'6-คาน เหล็กเสริม'!$A:$A,0))^2/162</f>
        <v/>
      </c>
      <c r="O77" s="8">
        <f>INDEX('6-คาน เหล็กเสริม'!$G:$G,MATCH($B77,'6-คาน เหล็กเสริม'!$A:$A,0))*(F77+2*INDEX('6-คาน เหล็กเสริม'!$Q:$Q,MATCH($B77,'6-คาน เหล็กเสริม'!$A:$A,0))*INDEX('6-คาน เหล็กเสริม'!$H:$H,MATCH($B77,'6-คาน เหล็กเสริม'!$A:$A,0))/1000)*INDEX('6-คาน เหล็กเสริม'!$H:$H,MATCH($B77,'6-คาน เหล็กเสริม'!$A:$A,0))^2/162</f>
        <v/>
      </c>
      <c r="P77" s="8">
        <f>INDEX('6-คาน เหล็กเสริม'!$I:$I,MATCH($B77,'6-คาน เหล็กเสริม'!$A:$A,0))*2*(0.3*G77+INDEX('6-คาน เหล็กเสริม'!$Q:$Q,MATCH($B77,'6-คาน เหล็กเสริม'!$A:$A,0))*INDEX('6-คาน เหล็กเสริม'!$J:$J,MATCH($B77,'6-คาน เหล็กเสริม'!$A:$A,0))/1000)*INDEX('6-คาน เหล็กเสริม'!$J:$J,MATCH($B77,'6-คาน เหล็กเสริม'!$A:$A,0))^2/162+INDEX('6-คาน เหล็กเสริม'!$K:$K,MATCH($B77,'6-คาน เหล็กเสริม'!$A:$A,0))*0.7*G77*INDEX('6-คาน เหล็กเสริม'!$L:$L,MATCH($B77,'6-คาน เหล็กเสริม'!$A:$A,0))^2/162</f>
        <v/>
      </c>
      <c r="Q77" s="8">
        <f>R77*(2*(H77+I77)-8*INDEX('6-คาน เหล็กเสริม'!$P:$P,MATCH($B77,'6-คาน เหล็กเสริม'!$A:$A,0))+24*INDEX('6-คาน เหล็กเสริม'!$M:$M,MATCH($B77,'6-คาน เหล็กเสริม'!$A:$A,0))/1000)*INDEX('6-คาน เหล็กเสริม'!$M:$M,MATCH($B77,'6-คาน เหล็กเสริม'!$A:$A,0))^2/162</f>
        <v/>
      </c>
      <c r="R77" s="8">
        <f>IF(INDEX('6-คาน เหล็กเสริม'!$M:$M,MATCH($B77,'6-คาน เหล็กเสริม'!$A:$A,0))=0,0,2*ROUNDUP(G77/4/INDEX('6-คาน เหล็กเสริม'!$N:$N,MATCH($B77,'6-คาน เหล็กเสริม'!$A:$A,0)),0)+ROUNDUP(G77/2/INDEX('6-คาน เหล็กเสริม'!$O:$O,MATCH($B77,'6-คาน เหล็กเสริม'!$A:$A,0)),0)+1)</f>
        <v/>
      </c>
      <c r="S77" s="8">
        <f>SUM(N77:Q77)</f>
        <v/>
      </c>
      <c r="T77" s="8" t="inlineStr">
        <is>
          <t>ผู้ว่าจ้างกำหนดระดับ</t>
        </is>
      </c>
    </row>
    <row r="78">
      <c r="A78" s="8" t="inlineStr">
        <is>
          <t>LB-020</t>
        </is>
      </c>
      <c r="B78" s="8" t="inlineStr">
        <is>
          <t>LB</t>
        </is>
      </c>
      <c r="C78" s="8" t="inlineStr">
        <is>
          <t>แนว 1</t>
        </is>
      </c>
      <c r="D78" s="8" t="inlineStr">
        <is>
          <t>1/F</t>
        </is>
      </c>
      <c r="E78" s="8" t="inlineStr">
        <is>
          <t>1/G</t>
        </is>
      </c>
      <c r="F78" s="9" t="n">
        <v>6</v>
      </c>
      <c r="G78" s="9" t="n">
        <v>5.7</v>
      </c>
      <c r="H78" s="9" t="n">
        <v>0.15</v>
      </c>
      <c r="I78" s="9" t="n">
        <v>0.15</v>
      </c>
      <c r="J78" s="9" t="n">
        <v>4.5</v>
      </c>
      <c r="K78" s="9" t="n">
        <v>4.35</v>
      </c>
      <c r="L78" s="8">
        <f>H78*I78*G78</f>
        <v/>
      </c>
      <c r="M78" s="8">
        <f>2*I78*G78</f>
        <v/>
      </c>
      <c r="N78" s="8">
        <f>INDEX('6-คาน เหล็กเสริม'!$E:$E,MATCH($B78,'6-คาน เหล็กเสริม'!$A:$A,0))*(F78+2*INDEX('6-คาน เหล็กเสริม'!$Q:$Q,MATCH($B78,'6-คาน เหล็กเสริม'!$A:$A,0))*INDEX('6-คาน เหล็กเสริม'!$F:$F,MATCH($B78,'6-คาน เหล็กเสริม'!$A:$A,0))/1000)*INDEX('6-คาน เหล็กเสริม'!$F:$F,MATCH($B78,'6-คาน เหล็กเสริม'!$A:$A,0))^2/162</f>
        <v/>
      </c>
      <c r="O78" s="8">
        <f>INDEX('6-คาน เหล็กเสริม'!$G:$G,MATCH($B78,'6-คาน เหล็กเสริม'!$A:$A,0))*(F78+2*INDEX('6-คาน เหล็กเสริม'!$Q:$Q,MATCH($B78,'6-คาน เหล็กเสริม'!$A:$A,0))*INDEX('6-คาน เหล็กเสริม'!$H:$H,MATCH($B78,'6-คาน เหล็กเสริม'!$A:$A,0))/1000)*INDEX('6-คาน เหล็กเสริม'!$H:$H,MATCH($B78,'6-คาน เหล็กเสริม'!$A:$A,0))^2/162</f>
        <v/>
      </c>
      <c r="P78" s="8">
        <f>INDEX('6-คาน เหล็กเสริม'!$I:$I,MATCH($B78,'6-คาน เหล็กเสริม'!$A:$A,0))*2*(0.3*G78+INDEX('6-คาน เหล็กเสริม'!$Q:$Q,MATCH($B78,'6-คาน เหล็กเสริม'!$A:$A,0))*INDEX('6-คาน เหล็กเสริม'!$J:$J,MATCH($B78,'6-คาน เหล็กเสริม'!$A:$A,0))/1000)*INDEX('6-คาน เหล็กเสริม'!$J:$J,MATCH($B78,'6-คาน เหล็กเสริม'!$A:$A,0))^2/162+INDEX('6-คาน เหล็กเสริม'!$K:$K,MATCH($B78,'6-คาน เหล็กเสริม'!$A:$A,0))*0.7*G78*INDEX('6-คาน เหล็กเสริม'!$L:$L,MATCH($B78,'6-คาน เหล็กเสริม'!$A:$A,0))^2/162</f>
        <v/>
      </c>
      <c r="Q78" s="8">
        <f>R78*(2*(H78+I78)-8*INDEX('6-คาน เหล็กเสริม'!$P:$P,MATCH($B78,'6-คาน เหล็กเสริม'!$A:$A,0))+24*INDEX('6-คาน เหล็กเสริม'!$M:$M,MATCH($B78,'6-คาน เหล็กเสริม'!$A:$A,0))/1000)*INDEX('6-คาน เหล็กเสริม'!$M:$M,MATCH($B78,'6-คาน เหล็กเสริม'!$A:$A,0))^2/162</f>
        <v/>
      </c>
      <c r="R78" s="8">
        <f>IF(INDEX('6-คาน เหล็กเสริม'!$M:$M,MATCH($B78,'6-คาน เหล็กเสริม'!$A:$A,0))=0,0,2*ROUNDUP(G78/4/INDEX('6-คาน เหล็กเสริม'!$N:$N,MATCH($B78,'6-คาน เหล็กเสริม'!$A:$A,0)),0)+ROUNDUP(G78/2/INDEX('6-คาน เหล็กเสริม'!$O:$O,MATCH($B78,'6-คาน เหล็กเสริม'!$A:$A,0)),0)+1)</f>
        <v/>
      </c>
      <c r="S78" s="8">
        <f>SUM(N78:Q78)</f>
        <v/>
      </c>
      <c r="T78" s="8" t="inlineStr">
        <is>
          <t>ผู้ว่าจ้างกำหนดระดับ</t>
        </is>
      </c>
    </row>
    <row r="79">
      <c r="A79" s="8" t="inlineStr">
        <is>
          <t>LB-021</t>
        </is>
      </c>
      <c r="B79" s="8" t="inlineStr">
        <is>
          <t>LB</t>
        </is>
      </c>
      <c r="C79" s="8" t="inlineStr">
        <is>
          <t>แนว 11</t>
        </is>
      </c>
      <c r="D79" s="8" t="inlineStr">
        <is>
          <t>11/F</t>
        </is>
      </c>
      <c r="E79" s="8" t="inlineStr">
        <is>
          <t>11/G</t>
        </is>
      </c>
      <c r="F79" s="9" t="n">
        <v>6</v>
      </c>
      <c r="G79" s="9" t="n">
        <v>5.7</v>
      </c>
      <c r="H79" s="9" t="n">
        <v>0.15</v>
      </c>
      <c r="I79" s="9" t="n">
        <v>0.15</v>
      </c>
      <c r="J79" s="9" t="n">
        <v>4.5</v>
      </c>
      <c r="K79" s="9" t="n">
        <v>4.35</v>
      </c>
      <c r="L79" s="8">
        <f>H79*I79*G79</f>
        <v/>
      </c>
      <c r="M79" s="8">
        <f>2*I79*G79</f>
        <v/>
      </c>
      <c r="N79" s="8">
        <f>INDEX('6-คาน เหล็กเสริม'!$E:$E,MATCH($B79,'6-คาน เหล็กเสริม'!$A:$A,0))*(F79+2*INDEX('6-คาน เหล็กเสริม'!$Q:$Q,MATCH($B79,'6-คาน เหล็กเสริม'!$A:$A,0))*INDEX('6-คาน เหล็กเสริม'!$F:$F,MATCH($B79,'6-คาน เหล็กเสริม'!$A:$A,0))/1000)*INDEX('6-คาน เหล็กเสริม'!$F:$F,MATCH($B79,'6-คาน เหล็กเสริม'!$A:$A,0))^2/162</f>
        <v/>
      </c>
      <c r="O79" s="8">
        <f>INDEX('6-คาน เหล็กเสริม'!$G:$G,MATCH($B79,'6-คาน เหล็กเสริม'!$A:$A,0))*(F79+2*INDEX('6-คาน เหล็กเสริม'!$Q:$Q,MATCH($B79,'6-คาน เหล็กเสริม'!$A:$A,0))*INDEX('6-คาน เหล็กเสริม'!$H:$H,MATCH($B79,'6-คาน เหล็กเสริม'!$A:$A,0))/1000)*INDEX('6-คาน เหล็กเสริม'!$H:$H,MATCH($B79,'6-คาน เหล็กเสริม'!$A:$A,0))^2/162</f>
        <v/>
      </c>
      <c r="P79" s="8">
        <f>INDEX('6-คาน เหล็กเสริม'!$I:$I,MATCH($B79,'6-คาน เหล็กเสริม'!$A:$A,0))*2*(0.3*G79+INDEX('6-คาน เหล็กเสริม'!$Q:$Q,MATCH($B79,'6-คาน เหล็กเสริม'!$A:$A,0))*INDEX('6-คาน เหล็กเสริม'!$J:$J,MATCH($B79,'6-คาน เหล็กเสริม'!$A:$A,0))/1000)*INDEX('6-คาน เหล็กเสริม'!$J:$J,MATCH($B79,'6-คาน เหล็กเสริม'!$A:$A,0))^2/162+INDEX('6-คาน เหล็กเสริม'!$K:$K,MATCH($B79,'6-คาน เหล็กเสริม'!$A:$A,0))*0.7*G79*INDEX('6-คาน เหล็กเสริม'!$L:$L,MATCH($B79,'6-คาน เหล็กเสริม'!$A:$A,0))^2/162</f>
        <v/>
      </c>
      <c r="Q79" s="8">
        <f>R79*(2*(H79+I79)-8*INDEX('6-คาน เหล็กเสริม'!$P:$P,MATCH($B79,'6-คาน เหล็กเสริม'!$A:$A,0))+24*INDEX('6-คาน เหล็กเสริม'!$M:$M,MATCH($B79,'6-คาน เหล็กเสริม'!$A:$A,0))/1000)*INDEX('6-คาน เหล็กเสริม'!$M:$M,MATCH($B79,'6-คาน เหล็กเสริม'!$A:$A,0))^2/162</f>
        <v/>
      </c>
      <c r="R79" s="8">
        <f>IF(INDEX('6-คาน เหล็กเสริม'!$M:$M,MATCH($B79,'6-คาน เหล็กเสริม'!$A:$A,0))=0,0,2*ROUNDUP(G79/4/INDEX('6-คาน เหล็กเสริม'!$N:$N,MATCH($B79,'6-คาน เหล็กเสริม'!$A:$A,0)),0)+ROUNDUP(G79/2/INDEX('6-คาน เหล็กเสริม'!$O:$O,MATCH($B79,'6-คาน เหล็กเสริม'!$A:$A,0)),0)+1)</f>
        <v/>
      </c>
      <c r="S79" s="8">
        <f>SUM(N79:Q79)</f>
        <v/>
      </c>
      <c r="T79" s="8" t="inlineStr">
        <is>
          <t>ผู้ว่าจ้างกำหนดระดับ</t>
        </is>
      </c>
    </row>
    <row r="80">
      <c r="A80" s="8" t="inlineStr">
        <is>
          <t>LB-022</t>
        </is>
      </c>
      <c r="B80" s="8" t="inlineStr">
        <is>
          <t>LB</t>
        </is>
      </c>
      <c r="C80" s="8" t="inlineStr">
        <is>
          <t>แนว 1</t>
        </is>
      </c>
      <c r="D80" s="8" t="inlineStr">
        <is>
          <t>1/G</t>
        </is>
      </c>
      <c r="E80" s="8" t="inlineStr">
        <is>
          <t>1/H</t>
        </is>
      </c>
      <c r="F80" s="9" t="n">
        <v>6</v>
      </c>
      <c r="G80" s="9" t="n">
        <v>5.7</v>
      </c>
      <c r="H80" s="9" t="n">
        <v>0.15</v>
      </c>
      <c r="I80" s="9" t="n">
        <v>0.15</v>
      </c>
      <c r="J80" s="9" t="n">
        <v>4.5</v>
      </c>
      <c r="K80" s="9" t="n">
        <v>4.35</v>
      </c>
      <c r="L80" s="8">
        <f>H80*I80*G80</f>
        <v/>
      </c>
      <c r="M80" s="8">
        <f>2*I80*G80</f>
        <v/>
      </c>
      <c r="N80" s="8">
        <f>INDEX('6-คาน เหล็กเสริม'!$E:$E,MATCH($B80,'6-คาน เหล็กเสริม'!$A:$A,0))*(F80+2*INDEX('6-คาน เหล็กเสริม'!$Q:$Q,MATCH($B80,'6-คาน เหล็กเสริม'!$A:$A,0))*INDEX('6-คาน เหล็กเสริม'!$F:$F,MATCH($B80,'6-คาน เหล็กเสริม'!$A:$A,0))/1000)*INDEX('6-คาน เหล็กเสริม'!$F:$F,MATCH($B80,'6-คาน เหล็กเสริม'!$A:$A,0))^2/162</f>
        <v/>
      </c>
      <c r="O80" s="8">
        <f>INDEX('6-คาน เหล็กเสริม'!$G:$G,MATCH($B80,'6-คาน เหล็กเสริม'!$A:$A,0))*(F80+2*INDEX('6-คาน เหล็กเสริม'!$Q:$Q,MATCH($B80,'6-คาน เหล็กเสริม'!$A:$A,0))*INDEX('6-คาน เหล็กเสริม'!$H:$H,MATCH($B80,'6-คาน เหล็กเสริม'!$A:$A,0))/1000)*INDEX('6-คาน เหล็กเสริม'!$H:$H,MATCH($B80,'6-คาน เหล็กเสริม'!$A:$A,0))^2/162</f>
        <v/>
      </c>
      <c r="P80" s="8">
        <f>INDEX('6-คาน เหล็กเสริม'!$I:$I,MATCH($B80,'6-คาน เหล็กเสริม'!$A:$A,0))*2*(0.3*G80+INDEX('6-คาน เหล็กเสริม'!$Q:$Q,MATCH($B80,'6-คาน เหล็กเสริม'!$A:$A,0))*INDEX('6-คาน เหล็กเสริม'!$J:$J,MATCH($B80,'6-คาน เหล็กเสริม'!$A:$A,0))/1000)*INDEX('6-คาน เหล็กเสริม'!$J:$J,MATCH($B80,'6-คาน เหล็กเสริม'!$A:$A,0))^2/162+INDEX('6-คาน เหล็กเสริม'!$K:$K,MATCH($B80,'6-คาน เหล็กเสริม'!$A:$A,0))*0.7*G80*INDEX('6-คาน เหล็กเสริม'!$L:$L,MATCH($B80,'6-คาน เหล็กเสริม'!$A:$A,0))^2/162</f>
        <v/>
      </c>
      <c r="Q80" s="8">
        <f>R80*(2*(H80+I80)-8*INDEX('6-คาน เหล็กเสริม'!$P:$P,MATCH($B80,'6-คาน เหล็กเสริม'!$A:$A,0))+24*INDEX('6-คาน เหล็กเสริม'!$M:$M,MATCH($B80,'6-คาน เหล็กเสริม'!$A:$A,0))/1000)*INDEX('6-คาน เหล็กเสริม'!$M:$M,MATCH($B80,'6-คาน เหล็กเสริม'!$A:$A,0))^2/162</f>
        <v/>
      </c>
      <c r="R80" s="8">
        <f>IF(INDEX('6-คาน เหล็กเสริม'!$M:$M,MATCH($B80,'6-คาน เหล็กเสริม'!$A:$A,0))=0,0,2*ROUNDUP(G80/4/INDEX('6-คาน เหล็กเสริม'!$N:$N,MATCH($B80,'6-คาน เหล็กเสริม'!$A:$A,0)),0)+ROUNDUP(G80/2/INDEX('6-คาน เหล็กเสริม'!$O:$O,MATCH($B80,'6-คาน เหล็กเสริม'!$A:$A,0)),0)+1)</f>
        <v/>
      </c>
      <c r="S80" s="8">
        <f>SUM(N80:Q80)</f>
        <v/>
      </c>
      <c r="T80" s="8" t="inlineStr">
        <is>
          <t>ผู้ว่าจ้างกำหนดระดับ</t>
        </is>
      </c>
    </row>
    <row r="81">
      <c r="A81" s="8" t="inlineStr">
        <is>
          <t>LB-023</t>
        </is>
      </c>
      <c r="B81" s="8" t="inlineStr">
        <is>
          <t>LB</t>
        </is>
      </c>
      <c r="C81" s="8" t="inlineStr">
        <is>
          <t>แนว 11</t>
        </is>
      </c>
      <c r="D81" s="8" t="inlineStr">
        <is>
          <t>11/G</t>
        </is>
      </c>
      <c r="E81" s="8" t="inlineStr">
        <is>
          <t>11/H</t>
        </is>
      </c>
      <c r="F81" s="9" t="n">
        <v>6</v>
      </c>
      <c r="G81" s="9" t="n">
        <v>5.7</v>
      </c>
      <c r="H81" s="9" t="n">
        <v>0.15</v>
      </c>
      <c r="I81" s="9" t="n">
        <v>0.15</v>
      </c>
      <c r="J81" s="9" t="n">
        <v>4.5</v>
      </c>
      <c r="K81" s="9" t="n">
        <v>4.35</v>
      </c>
      <c r="L81" s="8">
        <f>H81*I81*G81</f>
        <v/>
      </c>
      <c r="M81" s="8">
        <f>2*I81*G81</f>
        <v/>
      </c>
      <c r="N81" s="8">
        <f>INDEX('6-คาน เหล็กเสริม'!$E:$E,MATCH($B81,'6-คาน เหล็กเสริม'!$A:$A,0))*(F81+2*INDEX('6-คาน เหล็กเสริม'!$Q:$Q,MATCH($B81,'6-คาน เหล็กเสริม'!$A:$A,0))*INDEX('6-คาน เหล็กเสริม'!$F:$F,MATCH($B81,'6-คาน เหล็กเสริม'!$A:$A,0))/1000)*INDEX('6-คาน เหล็กเสริม'!$F:$F,MATCH($B81,'6-คาน เหล็กเสริม'!$A:$A,0))^2/162</f>
        <v/>
      </c>
      <c r="O81" s="8">
        <f>INDEX('6-คาน เหล็กเสริม'!$G:$G,MATCH($B81,'6-คาน เหล็กเสริม'!$A:$A,0))*(F81+2*INDEX('6-คาน เหล็กเสริม'!$Q:$Q,MATCH($B81,'6-คาน เหล็กเสริม'!$A:$A,0))*INDEX('6-คาน เหล็กเสริม'!$H:$H,MATCH($B81,'6-คาน เหล็กเสริม'!$A:$A,0))/1000)*INDEX('6-คาน เหล็กเสริม'!$H:$H,MATCH($B81,'6-คาน เหล็กเสริม'!$A:$A,0))^2/162</f>
        <v/>
      </c>
      <c r="P81" s="8">
        <f>INDEX('6-คาน เหล็กเสริม'!$I:$I,MATCH($B81,'6-คาน เหล็กเสริม'!$A:$A,0))*2*(0.3*G81+INDEX('6-คาน เหล็กเสริม'!$Q:$Q,MATCH($B81,'6-คาน เหล็กเสริม'!$A:$A,0))*INDEX('6-คาน เหล็กเสริม'!$J:$J,MATCH($B81,'6-คาน เหล็กเสริม'!$A:$A,0))/1000)*INDEX('6-คาน เหล็กเสริม'!$J:$J,MATCH($B81,'6-คาน เหล็กเสริม'!$A:$A,0))^2/162+INDEX('6-คาน เหล็กเสริม'!$K:$K,MATCH($B81,'6-คาน เหล็กเสริม'!$A:$A,0))*0.7*G81*INDEX('6-คาน เหล็กเสริม'!$L:$L,MATCH($B81,'6-คาน เหล็กเสริม'!$A:$A,0))^2/162</f>
        <v/>
      </c>
      <c r="Q81" s="8">
        <f>R81*(2*(H81+I81)-8*INDEX('6-คาน เหล็กเสริม'!$P:$P,MATCH($B81,'6-คาน เหล็กเสริม'!$A:$A,0))+24*INDEX('6-คาน เหล็กเสริม'!$M:$M,MATCH($B81,'6-คาน เหล็กเสริม'!$A:$A,0))/1000)*INDEX('6-คาน เหล็กเสริม'!$M:$M,MATCH($B81,'6-คาน เหล็กเสริม'!$A:$A,0))^2/162</f>
        <v/>
      </c>
      <c r="R81" s="8">
        <f>IF(INDEX('6-คาน เหล็กเสริม'!$M:$M,MATCH($B81,'6-คาน เหล็กเสริม'!$A:$A,0))=0,0,2*ROUNDUP(G81/4/INDEX('6-คาน เหล็กเสริม'!$N:$N,MATCH($B81,'6-คาน เหล็กเสริม'!$A:$A,0)),0)+ROUNDUP(G81/2/INDEX('6-คาน เหล็กเสริม'!$O:$O,MATCH($B81,'6-คาน เหล็กเสริม'!$A:$A,0)),0)+1)</f>
        <v/>
      </c>
      <c r="S81" s="8">
        <f>SUM(N81:Q81)</f>
        <v/>
      </c>
      <c r="T81" s="8" t="inlineStr">
        <is>
          <t>ผู้ว่าจ้างกำหนดระดับ</t>
        </is>
      </c>
    </row>
    <row r="82">
      <c r="A82" s="8" t="inlineStr">
        <is>
          <t>LB-024</t>
        </is>
      </c>
      <c r="B82" s="8" t="inlineStr">
        <is>
          <t>LB</t>
        </is>
      </c>
      <c r="C82" s="8" t="inlineStr">
        <is>
          <t>แนว 1</t>
        </is>
      </c>
      <c r="D82" s="8" t="inlineStr">
        <is>
          <t>1/H</t>
        </is>
      </c>
      <c r="E82" s="8" t="inlineStr">
        <is>
          <t>1/I</t>
        </is>
      </c>
      <c r="F82" s="9" t="n">
        <v>6</v>
      </c>
      <c r="G82" s="9" t="n">
        <v>5.7</v>
      </c>
      <c r="H82" s="9" t="n">
        <v>0.15</v>
      </c>
      <c r="I82" s="9" t="n">
        <v>0.15</v>
      </c>
      <c r="J82" s="9" t="n">
        <v>4.5</v>
      </c>
      <c r="K82" s="9" t="n">
        <v>4.35</v>
      </c>
      <c r="L82" s="8">
        <f>H82*I82*G82</f>
        <v/>
      </c>
      <c r="M82" s="8">
        <f>2*I82*G82</f>
        <v/>
      </c>
      <c r="N82" s="8">
        <f>INDEX('6-คาน เหล็กเสริม'!$E:$E,MATCH($B82,'6-คาน เหล็กเสริม'!$A:$A,0))*(F82+2*INDEX('6-คาน เหล็กเสริม'!$Q:$Q,MATCH($B82,'6-คาน เหล็กเสริม'!$A:$A,0))*INDEX('6-คาน เหล็กเสริม'!$F:$F,MATCH($B82,'6-คาน เหล็กเสริม'!$A:$A,0))/1000)*INDEX('6-คาน เหล็กเสริม'!$F:$F,MATCH($B82,'6-คาน เหล็กเสริม'!$A:$A,0))^2/162</f>
        <v/>
      </c>
      <c r="O82" s="8">
        <f>INDEX('6-คาน เหล็กเสริม'!$G:$G,MATCH($B82,'6-คาน เหล็กเสริม'!$A:$A,0))*(F82+2*INDEX('6-คาน เหล็กเสริม'!$Q:$Q,MATCH($B82,'6-คาน เหล็กเสริม'!$A:$A,0))*INDEX('6-คาน เหล็กเสริม'!$H:$H,MATCH($B82,'6-คาน เหล็กเสริม'!$A:$A,0))/1000)*INDEX('6-คาน เหล็กเสริม'!$H:$H,MATCH($B82,'6-คาน เหล็กเสริม'!$A:$A,0))^2/162</f>
        <v/>
      </c>
      <c r="P82" s="8">
        <f>INDEX('6-คาน เหล็กเสริม'!$I:$I,MATCH($B82,'6-คาน เหล็กเสริม'!$A:$A,0))*2*(0.3*G82+INDEX('6-คาน เหล็กเสริม'!$Q:$Q,MATCH($B82,'6-คาน เหล็กเสริม'!$A:$A,0))*INDEX('6-คาน เหล็กเสริม'!$J:$J,MATCH($B82,'6-คาน เหล็กเสริม'!$A:$A,0))/1000)*INDEX('6-คาน เหล็กเสริม'!$J:$J,MATCH($B82,'6-คาน เหล็กเสริม'!$A:$A,0))^2/162+INDEX('6-คาน เหล็กเสริม'!$K:$K,MATCH($B82,'6-คาน เหล็กเสริม'!$A:$A,0))*0.7*G82*INDEX('6-คาน เหล็กเสริม'!$L:$L,MATCH($B82,'6-คาน เหล็กเสริม'!$A:$A,0))^2/162</f>
        <v/>
      </c>
      <c r="Q82" s="8">
        <f>R82*(2*(H82+I82)-8*INDEX('6-คาน เหล็กเสริม'!$P:$P,MATCH($B82,'6-คาน เหล็กเสริม'!$A:$A,0))+24*INDEX('6-คาน เหล็กเสริม'!$M:$M,MATCH($B82,'6-คาน เหล็กเสริม'!$A:$A,0))/1000)*INDEX('6-คาน เหล็กเสริม'!$M:$M,MATCH($B82,'6-คาน เหล็กเสริม'!$A:$A,0))^2/162</f>
        <v/>
      </c>
      <c r="R82" s="8">
        <f>IF(INDEX('6-คาน เหล็กเสริม'!$M:$M,MATCH($B82,'6-คาน เหล็กเสริม'!$A:$A,0))=0,0,2*ROUNDUP(G82/4/INDEX('6-คาน เหล็กเสริม'!$N:$N,MATCH($B82,'6-คาน เหล็กเสริม'!$A:$A,0)),0)+ROUNDUP(G82/2/INDEX('6-คาน เหล็กเสริม'!$O:$O,MATCH($B82,'6-คาน เหล็กเสริม'!$A:$A,0)),0)+1)</f>
        <v/>
      </c>
      <c r="S82" s="8">
        <f>SUM(N82:Q82)</f>
        <v/>
      </c>
      <c r="T82" s="8" t="inlineStr">
        <is>
          <t>ผู้ว่าจ้างกำหนดระดับ</t>
        </is>
      </c>
    </row>
    <row r="83">
      <c r="A83" s="8" t="inlineStr">
        <is>
          <t>LB-025</t>
        </is>
      </c>
      <c r="B83" s="8" t="inlineStr">
        <is>
          <t>LB</t>
        </is>
      </c>
      <c r="C83" s="8" t="inlineStr">
        <is>
          <t>แนว 11</t>
        </is>
      </c>
      <c r="D83" s="8" t="inlineStr">
        <is>
          <t>11/H</t>
        </is>
      </c>
      <c r="E83" s="8" t="inlineStr">
        <is>
          <t>11/I</t>
        </is>
      </c>
      <c r="F83" s="9" t="n">
        <v>6</v>
      </c>
      <c r="G83" s="9" t="n">
        <v>5.7</v>
      </c>
      <c r="H83" s="9" t="n">
        <v>0.15</v>
      </c>
      <c r="I83" s="9" t="n">
        <v>0.15</v>
      </c>
      <c r="J83" s="9" t="n">
        <v>4.5</v>
      </c>
      <c r="K83" s="9" t="n">
        <v>4.35</v>
      </c>
      <c r="L83" s="8">
        <f>H83*I83*G83</f>
        <v/>
      </c>
      <c r="M83" s="8">
        <f>2*I83*G83</f>
        <v/>
      </c>
      <c r="N83" s="8">
        <f>INDEX('6-คาน เหล็กเสริม'!$E:$E,MATCH($B83,'6-คาน เหล็กเสริม'!$A:$A,0))*(F83+2*INDEX('6-คาน เหล็กเสริม'!$Q:$Q,MATCH($B83,'6-คาน เหล็กเสริม'!$A:$A,0))*INDEX('6-คาน เหล็กเสริม'!$F:$F,MATCH($B83,'6-คาน เหล็กเสริม'!$A:$A,0))/1000)*INDEX('6-คาน เหล็กเสริม'!$F:$F,MATCH($B83,'6-คาน เหล็กเสริม'!$A:$A,0))^2/162</f>
        <v/>
      </c>
      <c r="O83" s="8">
        <f>INDEX('6-คาน เหล็กเสริม'!$G:$G,MATCH($B83,'6-คาน เหล็กเสริม'!$A:$A,0))*(F83+2*INDEX('6-คาน เหล็กเสริม'!$Q:$Q,MATCH($B83,'6-คาน เหล็กเสริม'!$A:$A,0))*INDEX('6-คาน เหล็กเสริม'!$H:$H,MATCH($B83,'6-คาน เหล็กเสริม'!$A:$A,0))/1000)*INDEX('6-คาน เหล็กเสริม'!$H:$H,MATCH($B83,'6-คาน เหล็กเสริม'!$A:$A,0))^2/162</f>
        <v/>
      </c>
      <c r="P83" s="8">
        <f>INDEX('6-คาน เหล็กเสริม'!$I:$I,MATCH($B83,'6-คาน เหล็กเสริม'!$A:$A,0))*2*(0.3*G83+INDEX('6-คาน เหล็กเสริม'!$Q:$Q,MATCH($B83,'6-คาน เหล็กเสริม'!$A:$A,0))*INDEX('6-คาน เหล็กเสริม'!$J:$J,MATCH($B83,'6-คาน เหล็กเสริม'!$A:$A,0))/1000)*INDEX('6-คาน เหล็กเสริม'!$J:$J,MATCH($B83,'6-คาน เหล็กเสริม'!$A:$A,0))^2/162+INDEX('6-คาน เหล็กเสริม'!$K:$K,MATCH($B83,'6-คาน เหล็กเสริม'!$A:$A,0))*0.7*G83*INDEX('6-คาน เหล็กเสริม'!$L:$L,MATCH($B83,'6-คาน เหล็กเสริม'!$A:$A,0))^2/162</f>
        <v/>
      </c>
      <c r="Q83" s="8">
        <f>R83*(2*(H83+I83)-8*INDEX('6-คาน เหล็กเสริม'!$P:$P,MATCH($B83,'6-คาน เหล็กเสริม'!$A:$A,0))+24*INDEX('6-คาน เหล็กเสริม'!$M:$M,MATCH($B83,'6-คาน เหล็กเสริม'!$A:$A,0))/1000)*INDEX('6-คาน เหล็กเสริม'!$M:$M,MATCH($B83,'6-คาน เหล็กเสริม'!$A:$A,0))^2/162</f>
        <v/>
      </c>
      <c r="R83" s="8">
        <f>IF(INDEX('6-คาน เหล็กเสริม'!$M:$M,MATCH($B83,'6-คาน เหล็กเสริม'!$A:$A,0))=0,0,2*ROUNDUP(G83/4/INDEX('6-คาน เหล็กเสริม'!$N:$N,MATCH($B83,'6-คาน เหล็กเสริม'!$A:$A,0)),0)+ROUNDUP(G83/2/INDEX('6-คาน เหล็กเสริม'!$O:$O,MATCH($B83,'6-คาน เหล็กเสริม'!$A:$A,0)),0)+1)</f>
        <v/>
      </c>
      <c r="S83" s="8">
        <f>SUM(N83:Q83)</f>
        <v/>
      </c>
      <c r="T83" s="8" t="inlineStr">
        <is>
          <t>ผู้ว่าจ้างกำหนดระดับ</t>
        </is>
      </c>
    </row>
    <row r="84">
      <c r="A84" s="8" t="inlineStr">
        <is>
          <t>LB-026</t>
        </is>
      </c>
      <c r="B84" s="8" t="inlineStr">
        <is>
          <t>LB</t>
        </is>
      </c>
      <c r="C84" s="8" t="inlineStr">
        <is>
          <t>แนว 1</t>
        </is>
      </c>
      <c r="D84" s="8" t="inlineStr">
        <is>
          <t>1/I</t>
        </is>
      </c>
      <c r="E84" s="8" t="inlineStr">
        <is>
          <t>1/J</t>
        </is>
      </c>
      <c r="F84" s="9" t="n">
        <v>6</v>
      </c>
      <c r="G84" s="9" t="n">
        <v>5.7</v>
      </c>
      <c r="H84" s="9" t="n">
        <v>0.15</v>
      </c>
      <c r="I84" s="9" t="n">
        <v>0.15</v>
      </c>
      <c r="J84" s="9" t="n">
        <v>4.5</v>
      </c>
      <c r="K84" s="9" t="n">
        <v>4.35</v>
      </c>
      <c r="L84" s="8">
        <f>H84*I84*G84</f>
        <v/>
      </c>
      <c r="M84" s="8">
        <f>2*I84*G84</f>
        <v/>
      </c>
      <c r="N84" s="8">
        <f>INDEX('6-คาน เหล็กเสริม'!$E:$E,MATCH($B84,'6-คาน เหล็กเสริม'!$A:$A,0))*(F84+2*INDEX('6-คาน เหล็กเสริม'!$Q:$Q,MATCH($B84,'6-คาน เหล็กเสริม'!$A:$A,0))*INDEX('6-คาน เหล็กเสริม'!$F:$F,MATCH($B84,'6-คาน เหล็กเสริม'!$A:$A,0))/1000)*INDEX('6-คาน เหล็กเสริม'!$F:$F,MATCH($B84,'6-คาน เหล็กเสริม'!$A:$A,0))^2/162</f>
        <v/>
      </c>
      <c r="O84" s="8">
        <f>INDEX('6-คาน เหล็กเสริม'!$G:$G,MATCH($B84,'6-คาน เหล็กเสริม'!$A:$A,0))*(F84+2*INDEX('6-คาน เหล็กเสริม'!$Q:$Q,MATCH($B84,'6-คาน เหล็กเสริม'!$A:$A,0))*INDEX('6-คาน เหล็กเสริม'!$H:$H,MATCH($B84,'6-คาน เหล็กเสริม'!$A:$A,0))/1000)*INDEX('6-คาน เหล็กเสริม'!$H:$H,MATCH($B84,'6-คาน เหล็กเสริม'!$A:$A,0))^2/162</f>
        <v/>
      </c>
      <c r="P84" s="8">
        <f>INDEX('6-คาน เหล็กเสริม'!$I:$I,MATCH($B84,'6-คาน เหล็กเสริม'!$A:$A,0))*2*(0.3*G84+INDEX('6-คาน เหล็กเสริม'!$Q:$Q,MATCH($B84,'6-คาน เหล็กเสริม'!$A:$A,0))*INDEX('6-คาน เหล็กเสริม'!$J:$J,MATCH($B84,'6-คาน เหล็กเสริม'!$A:$A,0))/1000)*INDEX('6-คาน เหล็กเสริม'!$J:$J,MATCH($B84,'6-คาน เหล็กเสริม'!$A:$A,0))^2/162+INDEX('6-คาน เหล็กเสริม'!$K:$K,MATCH($B84,'6-คาน เหล็กเสริม'!$A:$A,0))*0.7*G84*INDEX('6-คาน เหล็กเสริม'!$L:$L,MATCH($B84,'6-คาน เหล็กเสริม'!$A:$A,0))^2/162</f>
        <v/>
      </c>
      <c r="Q84" s="8">
        <f>R84*(2*(H84+I84)-8*INDEX('6-คาน เหล็กเสริม'!$P:$P,MATCH($B84,'6-คาน เหล็กเสริม'!$A:$A,0))+24*INDEX('6-คาน เหล็กเสริม'!$M:$M,MATCH($B84,'6-คาน เหล็กเสริม'!$A:$A,0))/1000)*INDEX('6-คาน เหล็กเสริม'!$M:$M,MATCH($B84,'6-คาน เหล็กเสริม'!$A:$A,0))^2/162</f>
        <v/>
      </c>
      <c r="R84" s="8">
        <f>IF(INDEX('6-คาน เหล็กเสริม'!$M:$M,MATCH($B84,'6-คาน เหล็กเสริม'!$A:$A,0))=0,0,2*ROUNDUP(G84/4/INDEX('6-คาน เหล็กเสริม'!$N:$N,MATCH($B84,'6-คาน เหล็กเสริม'!$A:$A,0)),0)+ROUNDUP(G84/2/INDEX('6-คาน เหล็กเสริม'!$O:$O,MATCH($B84,'6-คาน เหล็กเสริม'!$A:$A,0)),0)+1)</f>
        <v/>
      </c>
      <c r="S84" s="8">
        <f>SUM(N84:Q84)</f>
        <v/>
      </c>
      <c r="T84" s="8" t="inlineStr">
        <is>
          <t>ผู้ว่าจ้างกำหนดระดับ</t>
        </is>
      </c>
    </row>
    <row r="85">
      <c r="A85" s="8" t="inlineStr">
        <is>
          <t>LB-027</t>
        </is>
      </c>
      <c r="B85" s="8" t="inlineStr">
        <is>
          <t>LB</t>
        </is>
      </c>
      <c r="C85" s="8" t="inlineStr">
        <is>
          <t>แนว 11</t>
        </is>
      </c>
      <c r="D85" s="8" t="inlineStr">
        <is>
          <t>11/I</t>
        </is>
      </c>
      <c r="E85" s="8" t="inlineStr">
        <is>
          <t>11/J</t>
        </is>
      </c>
      <c r="F85" s="9" t="n">
        <v>6</v>
      </c>
      <c r="G85" s="9" t="n">
        <v>5.7</v>
      </c>
      <c r="H85" s="9" t="n">
        <v>0.15</v>
      </c>
      <c r="I85" s="9" t="n">
        <v>0.15</v>
      </c>
      <c r="J85" s="9" t="n">
        <v>4.5</v>
      </c>
      <c r="K85" s="9" t="n">
        <v>4.35</v>
      </c>
      <c r="L85" s="8">
        <f>H85*I85*G85</f>
        <v/>
      </c>
      <c r="M85" s="8">
        <f>2*I85*G85</f>
        <v/>
      </c>
      <c r="N85" s="8">
        <f>INDEX('6-คาน เหล็กเสริม'!$E:$E,MATCH($B85,'6-คาน เหล็กเสริม'!$A:$A,0))*(F85+2*INDEX('6-คาน เหล็กเสริม'!$Q:$Q,MATCH($B85,'6-คาน เหล็กเสริม'!$A:$A,0))*INDEX('6-คาน เหล็กเสริม'!$F:$F,MATCH($B85,'6-คาน เหล็กเสริม'!$A:$A,0))/1000)*INDEX('6-คาน เหล็กเสริม'!$F:$F,MATCH($B85,'6-คาน เหล็กเสริม'!$A:$A,0))^2/162</f>
        <v/>
      </c>
      <c r="O85" s="8">
        <f>INDEX('6-คาน เหล็กเสริม'!$G:$G,MATCH($B85,'6-คาน เหล็กเสริม'!$A:$A,0))*(F85+2*INDEX('6-คาน เหล็กเสริม'!$Q:$Q,MATCH($B85,'6-คาน เหล็กเสริม'!$A:$A,0))*INDEX('6-คาน เหล็กเสริม'!$H:$H,MATCH($B85,'6-คาน เหล็กเสริม'!$A:$A,0))/1000)*INDEX('6-คาน เหล็กเสริม'!$H:$H,MATCH($B85,'6-คาน เหล็กเสริม'!$A:$A,0))^2/162</f>
        <v/>
      </c>
      <c r="P85" s="8">
        <f>INDEX('6-คาน เหล็กเสริม'!$I:$I,MATCH($B85,'6-คาน เหล็กเสริม'!$A:$A,0))*2*(0.3*G85+INDEX('6-คาน เหล็กเสริม'!$Q:$Q,MATCH($B85,'6-คาน เหล็กเสริม'!$A:$A,0))*INDEX('6-คาน เหล็กเสริม'!$J:$J,MATCH($B85,'6-คาน เหล็กเสริม'!$A:$A,0))/1000)*INDEX('6-คาน เหล็กเสริม'!$J:$J,MATCH($B85,'6-คาน เหล็กเสริม'!$A:$A,0))^2/162+INDEX('6-คาน เหล็กเสริม'!$K:$K,MATCH($B85,'6-คาน เหล็กเสริม'!$A:$A,0))*0.7*G85*INDEX('6-คาน เหล็กเสริม'!$L:$L,MATCH($B85,'6-คาน เหล็กเสริม'!$A:$A,0))^2/162</f>
        <v/>
      </c>
      <c r="Q85" s="8">
        <f>R85*(2*(H85+I85)-8*INDEX('6-คาน เหล็กเสริม'!$P:$P,MATCH($B85,'6-คาน เหล็กเสริม'!$A:$A,0))+24*INDEX('6-คาน เหล็กเสริม'!$M:$M,MATCH($B85,'6-คาน เหล็กเสริม'!$A:$A,0))/1000)*INDEX('6-คาน เหล็กเสริม'!$M:$M,MATCH($B85,'6-คาน เหล็กเสริม'!$A:$A,0))^2/162</f>
        <v/>
      </c>
      <c r="R85" s="8">
        <f>IF(INDEX('6-คาน เหล็กเสริม'!$M:$M,MATCH($B85,'6-คาน เหล็กเสริม'!$A:$A,0))=0,0,2*ROUNDUP(G85/4/INDEX('6-คาน เหล็กเสริม'!$N:$N,MATCH($B85,'6-คาน เหล็กเสริม'!$A:$A,0)),0)+ROUNDUP(G85/2/INDEX('6-คาน เหล็กเสริม'!$O:$O,MATCH($B85,'6-คาน เหล็กเสริม'!$A:$A,0)),0)+1)</f>
        <v/>
      </c>
      <c r="S85" s="8">
        <f>SUM(N85:Q85)</f>
        <v/>
      </c>
      <c r="T85" s="8" t="inlineStr">
        <is>
          <t>ผู้ว่าจ้างกำหนดระดับ</t>
        </is>
      </c>
    </row>
    <row r="86">
      <c r="A86" s="8" t="inlineStr">
        <is>
          <t>LB-028</t>
        </is>
      </c>
      <c r="B86" s="8" t="inlineStr">
        <is>
          <t>LB</t>
        </is>
      </c>
      <c r="C86" s="8" t="inlineStr">
        <is>
          <t>แนว J</t>
        </is>
      </c>
      <c r="D86" s="8" t="inlineStr">
        <is>
          <t>1/J</t>
        </is>
      </c>
      <c r="E86" s="8" t="inlineStr">
        <is>
          <t>2/J</t>
        </is>
      </c>
      <c r="F86" s="9" t="n">
        <v>6</v>
      </c>
      <c r="G86" s="9" t="n">
        <v>5.7</v>
      </c>
      <c r="H86" s="9" t="n">
        <v>0.15</v>
      </c>
      <c r="I86" s="9" t="n">
        <v>0.15</v>
      </c>
      <c r="J86" s="9" t="n">
        <v>4.5</v>
      </c>
      <c r="K86" s="9" t="n">
        <v>4.35</v>
      </c>
      <c r="L86" s="8">
        <f>H86*I86*G86</f>
        <v/>
      </c>
      <c r="M86" s="8">
        <f>2*I86*G86</f>
        <v/>
      </c>
      <c r="N86" s="8">
        <f>INDEX('6-คาน เหล็กเสริม'!$E:$E,MATCH($B86,'6-คาน เหล็กเสริม'!$A:$A,0))*(F86+2*INDEX('6-คาน เหล็กเสริม'!$Q:$Q,MATCH($B86,'6-คาน เหล็กเสริม'!$A:$A,0))*INDEX('6-คาน เหล็กเสริม'!$F:$F,MATCH($B86,'6-คาน เหล็กเสริม'!$A:$A,0))/1000)*INDEX('6-คาน เหล็กเสริม'!$F:$F,MATCH($B86,'6-คาน เหล็กเสริม'!$A:$A,0))^2/162</f>
        <v/>
      </c>
      <c r="O86" s="8">
        <f>INDEX('6-คาน เหล็กเสริม'!$G:$G,MATCH($B86,'6-คาน เหล็กเสริม'!$A:$A,0))*(F86+2*INDEX('6-คาน เหล็กเสริม'!$Q:$Q,MATCH($B86,'6-คาน เหล็กเสริม'!$A:$A,0))*INDEX('6-คาน เหล็กเสริม'!$H:$H,MATCH($B86,'6-คาน เหล็กเสริม'!$A:$A,0))/1000)*INDEX('6-คาน เหล็กเสริม'!$H:$H,MATCH($B86,'6-คาน เหล็กเสริม'!$A:$A,0))^2/162</f>
        <v/>
      </c>
      <c r="P86" s="8">
        <f>INDEX('6-คาน เหล็กเสริม'!$I:$I,MATCH($B86,'6-คาน เหล็กเสริม'!$A:$A,0))*2*(0.3*G86+INDEX('6-คาน เหล็กเสริม'!$Q:$Q,MATCH($B86,'6-คาน เหล็กเสริม'!$A:$A,0))*INDEX('6-คาน เหล็กเสริม'!$J:$J,MATCH($B86,'6-คาน เหล็กเสริม'!$A:$A,0))/1000)*INDEX('6-คาน เหล็กเสริม'!$J:$J,MATCH($B86,'6-คาน เหล็กเสริม'!$A:$A,0))^2/162+INDEX('6-คาน เหล็กเสริม'!$K:$K,MATCH($B86,'6-คาน เหล็กเสริม'!$A:$A,0))*0.7*G86*INDEX('6-คาน เหล็กเสริม'!$L:$L,MATCH($B86,'6-คาน เหล็กเสริม'!$A:$A,0))^2/162</f>
        <v/>
      </c>
      <c r="Q86" s="8">
        <f>R86*(2*(H86+I86)-8*INDEX('6-คาน เหล็กเสริม'!$P:$P,MATCH($B86,'6-คาน เหล็กเสริม'!$A:$A,0))+24*INDEX('6-คาน เหล็กเสริม'!$M:$M,MATCH($B86,'6-คาน เหล็กเสริม'!$A:$A,0))/1000)*INDEX('6-คาน เหล็กเสริม'!$M:$M,MATCH($B86,'6-คาน เหล็กเสริม'!$A:$A,0))^2/162</f>
        <v/>
      </c>
      <c r="R86" s="8">
        <f>IF(INDEX('6-คาน เหล็กเสริม'!$M:$M,MATCH($B86,'6-คาน เหล็กเสริม'!$A:$A,0))=0,0,2*ROUNDUP(G86/4/INDEX('6-คาน เหล็กเสริม'!$N:$N,MATCH($B86,'6-คาน เหล็กเสริม'!$A:$A,0)),0)+ROUNDUP(G86/2/INDEX('6-คาน เหล็กเสริม'!$O:$O,MATCH($B86,'6-คาน เหล็กเสริม'!$A:$A,0)),0)+1)</f>
        <v/>
      </c>
      <c r="S86" s="8">
        <f>SUM(N86:Q86)</f>
        <v/>
      </c>
      <c r="T86" s="8" t="inlineStr">
        <is>
          <t>ผู้ว่าจ้างกำหนดระดับ</t>
        </is>
      </c>
    </row>
    <row r="87">
      <c r="A87" s="8" t="inlineStr">
        <is>
          <t>LB-029</t>
        </is>
      </c>
      <c r="B87" s="8" t="inlineStr">
        <is>
          <t>LB</t>
        </is>
      </c>
      <c r="C87" s="8" t="inlineStr">
        <is>
          <t>แนว J</t>
        </is>
      </c>
      <c r="D87" s="8" t="inlineStr">
        <is>
          <t>2/J</t>
        </is>
      </c>
      <c r="E87" s="8" t="inlineStr">
        <is>
          <t>3/J</t>
        </is>
      </c>
      <c r="F87" s="9" t="n">
        <v>6</v>
      </c>
      <c r="G87" s="9" t="n">
        <v>5.7</v>
      </c>
      <c r="H87" s="9" t="n">
        <v>0.15</v>
      </c>
      <c r="I87" s="9" t="n">
        <v>0.15</v>
      </c>
      <c r="J87" s="9" t="n">
        <v>4.5</v>
      </c>
      <c r="K87" s="9" t="n">
        <v>4.35</v>
      </c>
      <c r="L87" s="8">
        <f>H87*I87*G87</f>
        <v/>
      </c>
      <c r="M87" s="8">
        <f>2*I87*G87</f>
        <v/>
      </c>
      <c r="N87" s="8">
        <f>INDEX('6-คาน เหล็กเสริม'!$E:$E,MATCH($B87,'6-คาน เหล็กเสริม'!$A:$A,0))*(F87+2*INDEX('6-คาน เหล็กเสริม'!$Q:$Q,MATCH($B87,'6-คาน เหล็กเสริม'!$A:$A,0))*INDEX('6-คาน เหล็กเสริม'!$F:$F,MATCH($B87,'6-คาน เหล็กเสริม'!$A:$A,0))/1000)*INDEX('6-คาน เหล็กเสริม'!$F:$F,MATCH($B87,'6-คาน เหล็กเสริม'!$A:$A,0))^2/162</f>
        <v/>
      </c>
      <c r="O87" s="8">
        <f>INDEX('6-คาน เหล็กเสริม'!$G:$G,MATCH($B87,'6-คาน เหล็กเสริม'!$A:$A,0))*(F87+2*INDEX('6-คาน เหล็กเสริม'!$Q:$Q,MATCH($B87,'6-คาน เหล็กเสริม'!$A:$A,0))*INDEX('6-คาน เหล็กเสริม'!$H:$H,MATCH($B87,'6-คาน เหล็กเสริม'!$A:$A,0))/1000)*INDEX('6-คาน เหล็กเสริม'!$H:$H,MATCH($B87,'6-คาน เหล็กเสริม'!$A:$A,0))^2/162</f>
        <v/>
      </c>
      <c r="P87" s="8">
        <f>INDEX('6-คาน เหล็กเสริม'!$I:$I,MATCH($B87,'6-คาน เหล็กเสริม'!$A:$A,0))*2*(0.3*G87+INDEX('6-คาน เหล็กเสริม'!$Q:$Q,MATCH($B87,'6-คาน เหล็กเสริม'!$A:$A,0))*INDEX('6-คาน เหล็กเสริม'!$J:$J,MATCH($B87,'6-คาน เหล็กเสริม'!$A:$A,0))/1000)*INDEX('6-คาน เหล็กเสริม'!$J:$J,MATCH($B87,'6-คาน เหล็กเสริม'!$A:$A,0))^2/162+INDEX('6-คาน เหล็กเสริม'!$K:$K,MATCH($B87,'6-คาน เหล็กเสริม'!$A:$A,0))*0.7*G87*INDEX('6-คาน เหล็กเสริม'!$L:$L,MATCH($B87,'6-คาน เหล็กเสริม'!$A:$A,0))^2/162</f>
        <v/>
      </c>
      <c r="Q87" s="8">
        <f>R87*(2*(H87+I87)-8*INDEX('6-คาน เหล็กเสริม'!$P:$P,MATCH($B87,'6-คาน เหล็กเสริม'!$A:$A,0))+24*INDEX('6-คาน เหล็กเสริม'!$M:$M,MATCH($B87,'6-คาน เหล็กเสริม'!$A:$A,0))/1000)*INDEX('6-คาน เหล็กเสริม'!$M:$M,MATCH($B87,'6-คาน เหล็กเสริม'!$A:$A,0))^2/162</f>
        <v/>
      </c>
      <c r="R87" s="8">
        <f>IF(INDEX('6-คาน เหล็กเสริม'!$M:$M,MATCH($B87,'6-คาน เหล็กเสริม'!$A:$A,0))=0,0,2*ROUNDUP(G87/4/INDEX('6-คาน เหล็กเสริม'!$N:$N,MATCH($B87,'6-คาน เหล็กเสริม'!$A:$A,0)),0)+ROUNDUP(G87/2/INDEX('6-คาน เหล็กเสริม'!$O:$O,MATCH($B87,'6-คาน เหล็กเสริม'!$A:$A,0)),0)+1)</f>
        <v/>
      </c>
      <c r="S87" s="8">
        <f>SUM(N87:Q87)</f>
        <v/>
      </c>
      <c r="T87" s="8" t="inlineStr">
        <is>
          <t>ผู้ว่าจ้างกำหนดระดับ</t>
        </is>
      </c>
    </row>
    <row r="88">
      <c r="A88" s="8" t="inlineStr">
        <is>
          <t>LB-030</t>
        </is>
      </c>
      <c r="B88" s="8" t="inlineStr">
        <is>
          <t>LB</t>
        </is>
      </c>
      <c r="C88" s="8" t="inlineStr">
        <is>
          <t>แนว J</t>
        </is>
      </c>
      <c r="D88" s="8" t="inlineStr">
        <is>
          <t>3/J</t>
        </is>
      </c>
      <c r="E88" s="8" t="inlineStr">
        <is>
          <t>4/J</t>
        </is>
      </c>
      <c r="F88" s="9" t="n">
        <v>6</v>
      </c>
      <c r="G88" s="9" t="n">
        <v>5.7</v>
      </c>
      <c r="H88" s="9" t="n">
        <v>0.15</v>
      </c>
      <c r="I88" s="9" t="n">
        <v>0.15</v>
      </c>
      <c r="J88" s="9" t="n">
        <v>4.5</v>
      </c>
      <c r="K88" s="9" t="n">
        <v>4.35</v>
      </c>
      <c r="L88" s="8">
        <f>H88*I88*G88</f>
        <v/>
      </c>
      <c r="M88" s="8">
        <f>2*I88*G88</f>
        <v/>
      </c>
      <c r="N88" s="8">
        <f>INDEX('6-คาน เหล็กเสริม'!$E:$E,MATCH($B88,'6-คาน เหล็กเสริม'!$A:$A,0))*(F88+2*INDEX('6-คาน เหล็กเสริม'!$Q:$Q,MATCH($B88,'6-คาน เหล็กเสริม'!$A:$A,0))*INDEX('6-คาน เหล็กเสริม'!$F:$F,MATCH($B88,'6-คาน เหล็กเสริม'!$A:$A,0))/1000)*INDEX('6-คาน เหล็กเสริม'!$F:$F,MATCH($B88,'6-คาน เหล็กเสริม'!$A:$A,0))^2/162</f>
        <v/>
      </c>
      <c r="O88" s="8">
        <f>INDEX('6-คาน เหล็กเสริม'!$G:$G,MATCH($B88,'6-คาน เหล็กเสริม'!$A:$A,0))*(F88+2*INDEX('6-คาน เหล็กเสริม'!$Q:$Q,MATCH($B88,'6-คาน เหล็กเสริม'!$A:$A,0))*INDEX('6-คาน เหล็กเสริม'!$H:$H,MATCH($B88,'6-คาน เหล็กเสริม'!$A:$A,0))/1000)*INDEX('6-คาน เหล็กเสริม'!$H:$H,MATCH($B88,'6-คาน เหล็กเสริม'!$A:$A,0))^2/162</f>
        <v/>
      </c>
      <c r="P88" s="8">
        <f>INDEX('6-คาน เหล็กเสริม'!$I:$I,MATCH($B88,'6-คาน เหล็กเสริม'!$A:$A,0))*2*(0.3*G88+INDEX('6-คาน เหล็กเสริม'!$Q:$Q,MATCH($B88,'6-คาน เหล็กเสริม'!$A:$A,0))*INDEX('6-คาน เหล็กเสริม'!$J:$J,MATCH($B88,'6-คาน เหล็กเสริม'!$A:$A,0))/1000)*INDEX('6-คาน เหล็กเสริม'!$J:$J,MATCH($B88,'6-คาน เหล็กเสริม'!$A:$A,0))^2/162+INDEX('6-คาน เหล็กเสริม'!$K:$K,MATCH($B88,'6-คาน เหล็กเสริม'!$A:$A,0))*0.7*G88*INDEX('6-คาน เหล็กเสริม'!$L:$L,MATCH($B88,'6-คาน เหล็กเสริม'!$A:$A,0))^2/162</f>
        <v/>
      </c>
      <c r="Q88" s="8">
        <f>R88*(2*(H88+I88)-8*INDEX('6-คาน เหล็กเสริม'!$P:$P,MATCH($B88,'6-คาน เหล็กเสริม'!$A:$A,0))+24*INDEX('6-คาน เหล็กเสริม'!$M:$M,MATCH($B88,'6-คาน เหล็กเสริม'!$A:$A,0))/1000)*INDEX('6-คาน เหล็กเสริม'!$M:$M,MATCH($B88,'6-คาน เหล็กเสริม'!$A:$A,0))^2/162</f>
        <v/>
      </c>
      <c r="R88" s="8">
        <f>IF(INDEX('6-คาน เหล็กเสริม'!$M:$M,MATCH($B88,'6-คาน เหล็กเสริม'!$A:$A,0))=0,0,2*ROUNDUP(G88/4/INDEX('6-คาน เหล็กเสริม'!$N:$N,MATCH($B88,'6-คาน เหล็กเสริม'!$A:$A,0)),0)+ROUNDUP(G88/2/INDEX('6-คาน เหล็กเสริม'!$O:$O,MATCH($B88,'6-คาน เหล็กเสริม'!$A:$A,0)),0)+1)</f>
        <v/>
      </c>
      <c r="S88" s="8">
        <f>SUM(N88:Q88)</f>
        <v/>
      </c>
      <c r="T88" s="8" t="inlineStr">
        <is>
          <t>ผู้ว่าจ้างกำหนดระดับ</t>
        </is>
      </c>
    </row>
    <row r="89">
      <c r="A89" s="8" t="inlineStr">
        <is>
          <t>LB-031</t>
        </is>
      </c>
      <c r="B89" s="8" t="inlineStr">
        <is>
          <t>LB</t>
        </is>
      </c>
      <c r="C89" s="8" t="inlineStr">
        <is>
          <t>แนว J</t>
        </is>
      </c>
      <c r="D89" s="8" t="inlineStr">
        <is>
          <t>4/J</t>
        </is>
      </c>
      <c r="E89" s="8" t="inlineStr">
        <is>
          <t>5/J</t>
        </is>
      </c>
      <c r="F89" s="9" t="n">
        <v>6</v>
      </c>
      <c r="G89" s="9" t="n">
        <v>5.7</v>
      </c>
      <c r="H89" s="9" t="n">
        <v>0.15</v>
      </c>
      <c r="I89" s="9" t="n">
        <v>0.15</v>
      </c>
      <c r="J89" s="9" t="n">
        <v>4.5</v>
      </c>
      <c r="K89" s="9" t="n">
        <v>4.35</v>
      </c>
      <c r="L89" s="8">
        <f>H89*I89*G89</f>
        <v/>
      </c>
      <c r="M89" s="8">
        <f>2*I89*G89</f>
        <v/>
      </c>
      <c r="N89" s="8">
        <f>INDEX('6-คาน เหล็กเสริม'!$E:$E,MATCH($B89,'6-คาน เหล็กเสริม'!$A:$A,0))*(F89+2*INDEX('6-คาน เหล็กเสริม'!$Q:$Q,MATCH($B89,'6-คาน เหล็กเสริม'!$A:$A,0))*INDEX('6-คาน เหล็กเสริม'!$F:$F,MATCH($B89,'6-คาน เหล็กเสริม'!$A:$A,0))/1000)*INDEX('6-คาน เหล็กเสริม'!$F:$F,MATCH($B89,'6-คาน เหล็กเสริม'!$A:$A,0))^2/162</f>
        <v/>
      </c>
      <c r="O89" s="8">
        <f>INDEX('6-คาน เหล็กเสริม'!$G:$G,MATCH($B89,'6-คาน เหล็กเสริม'!$A:$A,0))*(F89+2*INDEX('6-คาน เหล็กเสริม'!$Q:$Q,MATCH($B89,'6-คาน เหล็กเสริม'!$A:$A,0))*INDEX('6-คาน เหล็กเสริม'!$H:$H,MATCH($B89,'6-คาน เหล็กเสริม'!$A:$A,0))/1000)*INDEX('6-คาน เหล็กเสริม'!$H:$H,MATCH($B89,'6-คาน เหล็กเสริม'!$A:$A,0))^2/162</f>
        <v/>
      </c>
      <c r="P89" s="8">
        <f>INDEX('6-คาน เหล็กเสริม'!$I:$I,MATCH($B89,'6-คาน เหล็กเสริม'!$A:$A,0))*2*(0.3*G89+INDEX('6-คาน เหล็กเสริม'!$Q:$Q,MATCH($B89,'6-คาน เหล็กเสริม'!$A:$A,0))*INDEX('6-คาน เหล็กเสริม'!$J:$J,MATCH($B89,'6-คาน เหล็กเสริม'!$A:$A,0))/1000)*INDEX('6-คาน เหล็กเสริม'!$J:$J,MATCH($B89,'6-คาน เหล็กเสริม'!$A:$A,0))^2/162+INDEX('6-คาน เหล็กเสริม'!$K:$K,MATCH($B89,'6-คาน เหล็กเสริม'!$A:$A,0))*0.7*G89*INDEX('6-คาน เหล็กเสริม'!$L:$L,MATCH($B89,'6-คาน เหล็กเสริม'!$A:$A,0))^2/162</f>
        <v/>
      </c>
      <c r="Q89" s="8">
        <f>R89*(2*(H89+I89)-8*INDEX('6-คาน เหล็กเสริม'!$P:$P,MATCH($B89,'6-คาน เหล็กเสริม'!$A:$A,0))+24*INDEX('6-คาน เหล็กเสริม'!$M:$M,MATCH($B89,'6-คาน เหล็กเสริม'!$A:$A,0))/1000)*INDEX('6-คาน เหล็กเสริม'!$M:$M,MATCH($B89,'6-คาน เหล็กเสริม'!$A:$A,0))^2/162</f>
        <v/>
      </c>
      <c r="R89" s="8">
        <f>IF(INDEX('6-คาน เหล็กเสริม'!$M:$M,MATCH($B89,'6-คาน เหล็กเสริม'!$A:$A,0))=0,0,2*ROUNDUP(G89/4/INDEX('6-คาน เหล็กเสริม'!$N:$N,MATCH($B89,'6-คาน เหล็กเสริม'!$A:$A,0)),0)+ROUNDUP(G89/2/INDEX('6-คาน เหล็กเสริม'!$O:$O,MATCH($B89,'6-คาน เหล็กเสริม'!$A:$A,0)),0)+1)</f>
        <v/>
      </c>
      <c r="S89" s="8">
        <f>SUM(N89:Q89)</f>
        <v/>
      </c>
      <c r="T89" s="8" t="inlineStr">
        <is>
          <t>ผู้ว่าจ้างกำหนดระดับ</t>
        </is>
      </c>
    </row>
    <row r="90">
      <c r="A90" s="8" t="inlineStr">
        <is>
          <t>LB-032</t>
        </is>
      </c>
      <c r="B90" s="8" t="inlineStr">
        <is>
          <t>LB</t>
        </is>
      </c>
      <c r="C90" s="8" t="inlineStr">
        <is>
          <t>แนว J</t>
        </is>
      </c>
      <c r="D90" s="8" t="inlineStr">
        <is>
          <t>5/J</t>
        </is>
      </c>
      <c r="E90" s="8" t="inlineStr">
        <is>
          <t>6/J</t>
        </is>
      </c>
      <c r="F90" s="9" t="n">
        <v>6</v>
      </c>
      <c r="G90" s="9" t="n">
        <v>5.7</v>
      </c>
      <c r="H90" s="9" t="n">
        <v>0.15</v>
      </c>
      <c r="I90" s="9" t="n">
        <v>0.15</v>
      </c>
      <c r="J90" s="9" t="n">
        <v>4.5</v>
      </c>
      <c r="K90" s="9" t="n">
        <v>4.35</v>
      </c>
      <c r="L90" s="8">
        <f>H90*I90*G90</f>
        <v/>
      </c>
      <c r="M90" s="8">
        <f>2*I90*G90</f>
        <v/>
      </c>
      <c r="N90" s="8">
        <f>INDEX('6-คาน เหล็กเสริม'!$E:$E,MATCH($B90,'6-คาน เหล็กเสริม'!$A:$A,0))*(F90+2*INDEX('6-คาน เหล็กเสริม'!$Q:$Q,MATCH($B90,'6-คาน เหล็กเสริม'!$A:$A,0))*INDEX('6-คาน เหล็กเสริม'!$F:$F,MATCH($B90,'6-คาน เหล็กเสริม'!$A:$A,0))/1000)*INDEX('6-คาน เหล็กเสริม'!$F:$F,MATCH($B90,'6-คาน เหล็กเสริม'!$A:$A,0))^2/162</f>
        <v/>
      </c>
      <c r="O90" s="8">
        <f>INDEX('6-คาน เหล็กเสริม'!$G:$G,MATCH($B90,'6-คาน เหล็กเสริม'!$A:$A,0))*(F90+2*INDEX('6-คาน เหล็กเสริม'!$Q:$Q,MATCH($B90,'6-คาน เหล็กเสริม'!$A:$A,0))*INDEX('6-คาน เหล็กเสริม'!$H:$H,MATCH($B90,'6-คาน เหล็กเสริม'!$A:$A,0))/1000)*INDEX('6-คาน เหล็กเสริม'!$H:$H,MATCH($B90,'6-คาน เหล็กเสริม'!$A:$A,0))^2/162</f>
        <v/>
      </c>
      <c r="P90" s="8">
        <f>INDEX('6-คาน เหล็กเสริม'!$I:$I,MATCH($B90,'6-คาน เหล็กเสริม'!$A:$A,0))*2*(0.3*G90+INDEX('6-คาน เหล็กเสริม'!$Q:$Q,MATCH($B90,'6-คาน เหล็กเสริม'!$A:$A,0))*INDEX('6-คาน เหล็กเสริม'!$J:$J,MATCH($B90,'6-คาน เหล็กเสริม'!$A:$A,0))/1000)*INDEX('6-คาน เหล็กเสริม'!$J:$J,MATCH($B90,'6-คาน เหล็กเสริม'!$A:$A,0))^2/162+INDEX('6-คาน เหล็กเสริม'!$K:$K,MATCH($B90,'6-คาน เหล็กเสริม'!$A:$A,0))*0.7*G90*INDEX('6-คาน เหล็กเสริม'!$L:$L,MATCH($B90,'6-คาน เหล็กเสริม'!$A:$A,0))^2/162</f>
        <v/>
      </c>
      <c r="Q90" s="8">
        <f>R90*(2*(H90+I90)-8*INDEX('6-คาน เหล็กเสริม'!$P:$P,MATCH($B90,'6-คาน เหล็กเสริม'!$A:$A,0))+24*INDEX('6-คาน เหล็กเสริม'!$M:$M,MATCH($B90,'6-คาน เหล็กเสริม'!$A:$A,0))/1000)*INDEX('6-คาน เหล็กเสริม'!$M:$M,MATCH($B90,'6-คาน เหล็กเสริม'!$A:$A,0))^2/162</f>
        <v/>
      </c>
      <c r="R90" s="8">
        <f>IF(INDEX('6-คาน เหล็กเสริม'!$M:$M,MATCH($B90,'6-คาน เหล็กเสริม'!$A:$A,0))=0,0,2*ROUNDUP(G90/4/INDEX('6-คาน เหล็กเสริม'!$N:$N,MATCH($B90,'6-คาน เหล็กเสริม'!$A:$A,0)),0)+ROUNDUP(G90/2/INDEX('6-คาน เหล็กเสริม'!$O:$O,MATCH($B90,'6-คาน เหล็กเสริม'!$A:$A,0)),0)+1)</f>
        <v/>
      </c>
      <c r="S90" s="8">
        <f>SUM(N90:Q90)</f>
        <v/>
      </c>
      <c r="T90" s="8" t="inlineStr">
        <is>
          <t>ผู้ว่าจ้างกำหนดระดับ</t>
        </is>
      </c>
    </row>
    <row r="91">
      <c r="A91" s="8" t="inlineStr">
        <is>
          <t>LB-033</t>
        </is>
      </c>
      <c r="B91" s="8" t="inlineStr">
        <is>
          <t>LB</t>
        </is>
      </c>
      <c r="C91" s="8" t="inlineStr">
        <is>
          <t>แนว J</t>
        </is>
      </c>
      <c r="D91" s="8" t="inlineStr">
        <is>
          <t>6/J</t>
        </is>
      </c>
      <c r="E91" s="8" t="inlineStr">
        <is>
          <t>7/J</t>
        </is>
      </c>
      <c r="F91" s="9" t="n">
        <v>6</v>
      </c>
      <c r="G91" s="9" t="n">
        <v>5.7</v>
      </c>
      <c r="H91" s="9" t="n">
        <v>0.15</v>
      </c>
      <c r="I91" s="9" t="n">
        <v>0.15</v>
      </c>
      <c r="J91" s="9" t="n">
        <v>4.5</v>
      </c>
      <c r="K91" s="9" t="n">
        <v>4.35</v>
      </c>
      <c r="L91" s="8">
        <f>H91*I91*G91</f>
        <v/>
      </c>
      <c r="M91" s="8">
        <f>2*I91*G91</f>
        <v/>
      </c>
      <c r="N91" s="8">
        <f>INDEX('6-คาน เหล็กเสริม'!$E:$E,MATCH($B91,'6-คาน เหล็กเสริม'!$A:$A,0))*(F91+2*INDEX('6-คาน เหล็กเสริม'!$Q:$Q,MATCH($B91,'6-คาน เหล็กเสริม'!$A:$A,0))*INDEX('6-คาน เหล็กเสริม'!$F:$F,MATCH($B91,'6-คาน เหล็กเสริม'!$A:$A,0))/1000)*INDEX('6-คาน เหล็กเสริม'!$F:$F,MATCH($B91,'6-คาน เหล็กเสริม'!$A:$A,0))^2/162</f>
        <v/>
      </c>
      <c r="O91" s="8">
        <f>INDEX('6-คาน เหล็กเสริม'!$G:$G,MATCH($B91,'6-คาน เหล็กเสริม'!$A:$A,0))*(F91+2*INDEX('6-คาน เหล็กเสริม'!$Q:$Q,MATCH($B91,'6-คาน เหล็กเสริม'!$A:$A,0))*INDEX('6-คาน เหล็กเสริม'!$H:$H,MATCH($B91,'6-คาน เหล็กเสริม'!$A:$A,0))/1000)*INDEX('6-คาน เหล็กเสริม'!$H:$H,MATCH($B91,'6-คาน เหล็กเสริม'!$A:$A,0))^2/162</f>
        <v/>
      </c>
      <c r="P91" s="8">
        <f>INDEX('6-คาน เหล็กเสริม'!$I:$I,MATCH($B91,'6-คาน เหล็กเสริม'!$A:$A,0))*2*(0.3*G91+INDEX('6-คาน เหล็กเสริม'!$Q:$Q,MATCH($B91,'6-คาน เหล็กเสริม'!$A:$A,0))*INDEX('6-คาน เหล็กเสริม'!$J:$J,MATCH($B91,'6-คาน เหล็กเสริม'!$A:$A,0))/1000)*INDEX('6-คาน เหล็กเสริม'!$J:$J,MATCH($B91,'6-คาน เหล็กเสริม'!$A:$A,0))^2/162+INDEX('6-คาน เหล็กเสริม'!$K:$K,MATCH($B91,'6-คาน เหล็กเสริม'!$A:$A,0))*0.7*G91*INDEX('6-คาน เหล็กเสริม'!$L:$L,MATCH($B91,'6-คาน เหล็กเสริม'!$A:$A,0))^2/162</f>
        <v/>
      </c>
      <c r="Q91" s="8">
        <f>R91*(2*(H91+I91)-8*INDEX('6-คาน เหล็กเสริม'!$P:$P,MATCH($B91,'6-คาน เหล็กเสริม'!$A:$A,0))+24*INDEX('6-คาน เหล็กเสริม'!$M:$M,MATCH($B91,'6-คาน เหล็กเสริม'!$A:$A,0))/1000)*INDEX('6-คาน เหล็กเสริม'!$M:$M,MATCH($B91,'6-คาน เหล็กเสริม'!$A:$A,0))^2/162</f>
        <v/>
      </c>
      <c r="R91" s="8">
        <f>IF(INDEX('6-คาน เหล็กเสริม'!$M:$M,MATCH($B91,'6-คาน เหล็กเสริม'!$A:$A,0))=0,0,2*ROUNDUP(G91/4/INDEX('6-คาน เหล็กเสริม'!$N:$N,MATCH($B91,'6-คาน เหล็กเสริม'!$A:$A,0)),0)+ROUNDUP(G91/2/INDEX('6-คาน เหล็กเสริม'!$O:$O,MATCH($B91,'6-คาน เหล็กเสริม'!$A:$A,0)),0)+1)</f>
        <v/>
      </c>
      <c r="S91" s="8">
        <f>SUM(N91:Q91)</f>
        <v/>
      </c>
      <c r="T91" s="8" t="inlineStr">
        <is>
          <t>ผู้ว่าจ้างกำหนดระดับ</t>
        </is>
      </c>
    </row>
    <row r="92">
      <c r="A92" s="8" t="inlineStr">
        <is>
          <t>LB-034</t>
        </is>
      </c>
      <c r="B92" s="8" t="inlineStr">
        <is>
          <t>LB</t>
        </is>
      </c>
      <c r="C92" s="8" t="inlineStr">
        <is>
          <t>แนว J</t>
        </is>
      </c>
      <c r="D92" s="8" t="inlineStr">
        <is>
          <t>8/J</t>
        </is>
      </c>
      <c r="E92" s="8" t="inlineStr">
        <is>
          <t>9/J</t>
        </is>
      </c>
      <c r="F92" s="9" t="n">
        <v>6</v>
      </c>
      <c r="G92" s="9" t="n">
        <v>5.7</v>
      </c>
      <c r="H92" s="9" t="n">
        <v>0.15</v>
      </c>
      <c r="I92" s="9" t="n">
        <v>0.15</v>
      </c>
      <c r="J92" s="9" t="n">
        <v>4.5</v>
      </c>
      <c r="K92" s="9" t="n">
        <v>4.35</v>
      </c>
      <c r="L92" s="8">
        <f>H92*I92*G92</f>
        <v/>
      </c>
      <c r="M92" s="8">
        <f>2*I92*G92</f>
        <v/>
      </c>
      <c r="N92" s="8">
        <f>INDEX('6-คาน เหล็กเสริม'!$E:$E,MATCH($B92,'6-คาน เหล็กเสริม'!$A:$A,0))*(F92+2*INDEX('6-คาน เหล็กเสริม'!$Q:$Q,MATCH($B92,'6-คาน เหล็กเสริม'!$A:$A,0))*INDEX('6-คาน เหล็กเสริม'!$F:$F,MATCH($B92,'6-คาน เหล็กเสริม'!$A:$A,0))/1000)*INDEX('6-คาน เหล็กเสริม'!$F:$F,MATCH($B92,'6-คาน เหล็กเสริม'!$A:$A,0))^2/162</f>
        <v/>
      </c>
      <c r="O92" s="8">
        <f>INDEX('6-คาน เหล็กเสริม'!$G:$G,MATCH($B92,'6-คาน เหล็กเสริม'!$A:$A,0))*(F92+2*INDEX('6-คาน เหล็กเสริม'!$Q:$Q,MATCH($B92,'6-คาน เหล็กเสริม'!$A:$A,0))*INDEX('6-คาน เหล็กเสริม'!$H:$H,MATCH($B92,'6-คาน เหล็กเสริม'!$A:$A,0))/1000)*INDEX('6-คาน เหล็กเสริม'!$H:$H,MATCH($B92,'6-คาน เหล็กเสริม'!$A:$A,0))^2/162</f>
        <v/>
      </c>
      <c r="P92" s="8">
        <f>INDEX('6-คาน เหล็กเสริม'!$I:$I,MATCH($B92,'6-คาน เหล็กเสริม'!$A:$A,0))*2*(0.3*G92+INDEX('6-คาน เหล็กเสริม'!$Q:$Q,MATCH($B92,'6-คาน เหล็กเสริม'!$A:$A,0))*INDEX('6-คาน เหล็กเสริม'!$J:$J,MATCH($B92,'6-คาน เหล็กเสริม'!$A:$A,0))/1000)*INDEX('6-คาน เหล็กเสริม'!$J:$J,MATCH($B92,'6-คาน เหล็กเสริม'!$A:$A,0))^2/162+INDEX('6-คาน เหล็กเสริม'!$K:$K,MATCH($B92,'6-คาน เหล็กเสริม'!$A:$A,0))*0.7*G92*INDEX('6-คาน เหล็กเสริม'!$L:$L,MATCH($B92,'6-คาน เหล็กเสริม'!$A:$A,0))^2/162</f>
        <v/>
      </c>
      <c r="Q92" s="8">
        <f>R92*(2*(H92+I92)-8*INDEX('6-คาน เหล็กเสริม'!$P:$P,MATCH($B92,'6-คาน เหล็กเสริม'!$A:$A,0))+24*INDEX('6-คาน เหล็กเสริม'!$M:$M,MATCH($B92,'6-คาน เหล็กเสริม'!$A:$A,0))/1000)*INDEX('6-คาน เหล็กเสริม'!$M:$M,MATCH($B92,'6-คาน เหล็กเสริม'!$A:$A,0))^2/162</f>
        <v/>
      </c>
      <c r="R92" s="8">
        <f>IF(INDEX('6-คาน เหล็กเสริม'!$M:$M,MATCH($B92,'6-คาน เหล็กเสริม'!$A:$A,0))=0,0,2*ROUNDUP(G92/4/INDEX('6-คาน เหล็กเสริม'!$N:$N,MATCH($B92,'6-คาน เหล็กเสริม'!$A:$A,0)),0)+ROUNDUP(G92/2/INDEX('6-คาน เหล็กเสริม'!$O:$O,MATCH($B92,'6-คาน เหล็กเสริม'!$A:$A,0)),0)+1)</f>
        <v/>
      </c>
      <c r="S92" s="8">
        <f>SUM(N92:Q92)</f>
        <v/>
      </c>
      <c r="T92" s="8" t="inlineStr">
        <is>
          <t>ผู้ว่าจ้างกำหนดระดับ</t>
        </is>
      </c>
    </row>
    <row r="93">
      <c r="A93" s="8" t="inlineStr">
        <is>
          <t>LB-035</t>
        </is>
      </c>
      <c r="B93" s="8" t="inlineStr">
        <is>
          <t>LB</t>
        </is>
      </c>
      <c r="C93" s="8" t="inlineStr">
        <is>
          <t>แนว J</t>
        </is>
      </c>
      <c r="D93" s="8" t="inlineStr">
        <is>
          <t>9/J</t>
        </is>
      </c>
      <c r="E93" s="8" t="inlineStr">
        <is>
          <t>10/J</t>
        </is>
      </c>
      <c r="F93" s="9" t="n">
        <v>6</v>
      </c>
      <c r="G93" s="9" t="n">
        <v>5.7</v>
      </c>
      <c r="H93" s="9" t="n">
        <v>0.15</v>
      </c>
      <c r="I93" s="9" t="n">
        <v>0.15</v>
      </c>
      <c r="J93" s="9" t="n">
        <v>4.5</v>
      </c>
      <c r="K93" s="9" t="n">
        <v>4.35</v>
      </c>
      <c r="L93" s="8">
        <f>H93*I93*G93</f>
        <v/>
      </c>
      <c r="M93" s="8">
        <f>2*I93*G93</f>
        <v/>
      </c>
      <c r="N93" s="8">
        <f>INDEX('6-คาน เหล็กเสริม'!$E:$E,MATCH($B93,'6-คาน เหล็กเสริม'!$A:$A,0))*(F93+2*INDEX('6-คาน เหล็กเสริม'!$Q:$Q,MATCH($B93,'6-คาน เหล็กเสริม'!$A:$A,0))*INDEX('6-คาน เหล็กเสริม'!$F:$F,MATCH($B93,'6-คาน เหล็กเสริม'!$A:$A,0))/1000)*INDEX('6-คาน เหล็กเสริม'!$F:$F,MATCH($B93,'6-คาน เหล็กเสริม'!$A:$A,0))^2/162</f>
        <v/>
      </c>
      <c r="O93" s="8">
        <f>INDEX('6-คาน เหล็กเสริม'!$G:$G,MATCH($B93,'6-คาน เหล็กเสริม'!$A:$A,0))*(F93+2*INDEX('6-คาน เหล็กเสริม'!$Q:$Q,MATCH($B93,'6-คาน เหล็กเสริม'!$A:$A,0))*INDEX('6-คาน เหล็กเสริม'!$H:$H,MATCH($B93,'6-คาน เหล็กเสริม'!$A:$A,0))/1000)*INDEX('6-คาน เหล็กเสริม'!$H:$H,MATCH($B93,'6-คาน เหล็กเสริม'!$A:$A,0))^2/162</f>
        <v/>
      </c>
      <c r="P93" s="8">
        <f>INDEX('6-คาน เหล็กเสริม'!$I:$I,MATCH($B93,'6-คาน เหล็กเสริม'!$A:$A,0))*2*(0.3*G93+INDEX('6-คาน เหล็กเสริม'!$Q:$Q,MATCH($B93,'6-คาน เหล็กเสริม'!$A:$A,0))*INDEX('6-คาน เหล็กเสริม'!$J:$J,MATCH($B93,'6-คาน เหล็กเสริม'!$A:$A,0))/1000)*INDEX('6-คาน เหล็กเสริม'!$J:$J,MATCH($B93,'6-คาน เหล็กเสริม'!$A:$A,0))^2/162+INDEX('6-คาน เหล็กเสริม'!$K:$K,MATCH($B93,'6-คาน เหล็กเสริม'!$A:$A,0))*0.7*G93*INDEX('6-คาน เหล็กเสริม'!$L:$L,MATCH($B93,'6-คาน เหล็กเสริม'!$A:$A,0))^2/162</f>
        <v/>
      </c>
      <c r="Q93" s="8">
        <f>R93*(2*(H93+I93)-8*INDEX('6-คาน เหล็กเสริม'!$P:$P,MATCH($B93,'6-คาน เหล็กเสริม'!$A:$A,0))+24*INDEX('6-คาน เหล็กเสริม'!$M:$M,MATCH($B93,'6-คาน เหล็กเสริม'!$A:$A,0))/1000)*INDEX('6-คาน เหล็กเสริม'!$M:$M,MATCH($B93,'6-คาน เหล็กเสริม'!$A:$A,0))^2/162</f>
        <v/>
      </c>
      <c r="R93" s="8">
        <f>IF(INDEX('6-คาน เหล็กเสริม'!$M:$M,MATCH($B93,'6-คาน เหล็กเสริม'!$A:$A,0))=0,0,2*ROUNDUP(G93/4/INDEX('6-คาน เหล็กเสริม'!$N:$N,MATCH($B93,'6-คาน เหล็กเสริม'!$A:$A,0)),0)+ROUNDUP(G93/2/INDEX('6-คาน เหล็กเสริม'!$O:$O,MATCH($B93,'6-คาน เหล็กเสริม'!$A:$A,0)),0)+1)</f>
        <v/>
      </c>
      <c r="S93" s="8">
        <f>SUM(N93:Q93)</f>
        <v/>
      </c>
      <c r="T93" s="8" t="inlineStr">
        <is>
          <t>ผู้ว่าจ้างกำหนดระดับ</t>
        </is>
      </c>
    </row>
    <row r="94">
      <c r="A94" s="8" t="inlineStr">
        <is>
          <t>LB-036</t>
        </is>
      </c>
      <c r="B94" s="8" t="inlineStr">
        <is>
          <t>LB</t>
        </is>
      </c>
      <c r="C94" s="8" t="inlineStr">
        <is>
          <t>แนว J</t>
        </is>
      </c>
      <c r="D94" s="8" t="inlineStr">
        <is>
          <t>10/J</t>
        </is>
      </c>
      <c r="E94" s="8" t="inlineStr">
        <is>
          <t>11/J</t>
        </is>
      </c>
      <c r="F94" s="9" t="n">
        <v>6</v>
      </c>
      <c r="G94" s="9" t="n">
        <v>5.7</v>
      </c>
      <c r="H94" s="9" t="n">
        <v>0.15</v>
      </c>
      <c r="I94" s="9" t="n">
        <v>0.15</v>
      </c>
      <c r="J94" s="9" t="n">
        <v>4.5</v>
      </c>
      <c r="K94" s="9" t="n">
        <v>4.35</v>
      </c>
      <c r="L94" s="8">
        <f>H94*I94*G94</f>
        <v/>
      </c>
      <c r="M94" s="8">
        <f>2*I94*G94</f>
        <v/>
      </c>
      <c r="N94" s="8">
        <f>INDEX('6-คาน เหล็กเสริม'!$E:$E,MATCH($B94,'6-คาน เหล็กเสริม'!$A:$A,0))*(F94+2*INDEX('6-คาน เหล็กเสริม'!$Q:$Q,MATCH($B94,'6-คาน เหล็กเสริม'!$A:$A,0))*INDEX('6-คาน เหล็กเสริม'!$F:$F,MATCH($B94,'6-คาน เหล็กเสริม'!$A:$A,0))/1000)*INDEX('6-คาน เหล็กเสริม'!$F:$F,MATCH($B94,'6-คาน เหล็กเสริม'!$A:$A,0))^2/162</f>
        <v/>
      </c>
      <c r="O94" s="8">
        <f>INDEX('6-คาน เหล็กเสริม'!$G:$G,MATCH($B94,'6-คาน เหล็กเสริม'!$A:$A,0))*(F94+2*INDEX('6-คาน เหล็กเสริม'!$Q:$Q,MATCH($B94,'6-คาน เหล็กเสริม'!$A:$A,0))*INDEX('6-คาน เหล็กเสริม'!$H:$H,MATCH($B94,'6-คาน เหล็กเสริม'!$A:$A,0))/1000)*INDEX('6-คาน เหล็กเสริม'!$H:$H,MATCH($B94,'6-คาน เหล็กเสริม'!$A:$A,0))^2/162</f>
        <v/>
      </c>
      <c r="P94" s="8">
        <f>INDEX('6-คาน เหล็กเสริม'!$I:$I,MATCH($B94,'6-คาน เหล็กเสริม'!$A:$A,0))*2*(0.3*G94+INDEX('6-คาน เหล็กเสริม'!$Q:$Q,MATCH($B94,'6-คาน เหล็กเสริม'!$A:$A,0))*INDEX('6-คาน เหล็กเสริม'!$J:$J,MATCH($B94,'6-คาน เหล็กเสริม'!$A:$A,0))/1000)*INDEX('6-คาน เหล็กเสริม'!$J:$J,MATCH($B94,'6-คาน เหล็กเสริม'!$A:$A,0))^2/162+INDEX('6-คาน เหล็กเสริม'!$K:$K,MATCH($B94,'6-คาน เหล็กเสริม'!$A:$A,0))*0.7*G94*INDEX('6-คาน เหล็กเสริม'!$L:$L,MATCH($B94,'6-คาน เหล็กเสริม'!$A:$A,0))^2/162</f>
        <v/>
      </c>
      <c r="Q94" s="8">
        <f>R94*(2*(H94+I94)-8*INDEX('6-คาน เหล็กเสริม'!$P:$P,MATCH($B94,'6-คาน เหล็กเสริม'!$A:$A,0))+24*INDEX('6-คาน เหล็กเสริม'!$M:$M,MATCH($B94,'6-คาน เหล็กเสริม'!$A:$A,0))/1000)*INDEX('6-คาน เหล็กเสริม'!$M:$M,MATCH($B94,'6-คาน เหล็กเสริม'!$A:$A,0))^2/162</f>
        <v/>
      </c>
      <c r="R94" s="8">
        <f>IF(INDEX('6-คาน เหล็กเสริม'!$M:$M,MATCH($B94,'6-คาน เหล็กเสริม'!$A:$A,0))=0,0,2*ROUNDUP(G94/4/INDEX('6-คาน เหล็กเสริม'!$N:$N,MATCH($B94,'6-คาน เหล็กเสริม'!$A:$A,0)),0)+ROUNDUP(G94/2/INDEX('6-คาน เหล็กเสริม'!$O:$O,MATCH($B94,'6-คาน เหล็กเสริม'!$A:$A,0)),0)+1)</f>
        <v/>
      </c>
      <c r="S94" s="8">
        <f>SUM(N94:Q94)</f>
        <v/>
      </c>
      <c r="T94" s="8" t="inlineStr">
        <is>
          <t>ผู้ว่าจ้างกำหนดระดับ</t>
        </is>
      </c>
    </row>
    <row r="95">
      <c r="A95" s="8" t="inlineStr">
        <is>
          <t>TB-001</t>
        </is>
      </c>
      <c r="B95" s="8" t="inlineStr">
        <is>
          <t>TB</t>
        </is>
      </c>
      <c r="C95" s="8" t="inlineStr">
        <is>
          <t>แนว A</t>
        </is>
      </c>
      <c r="D95" s="8" t="inlineStr">
        <is>
          <t>1/A</t>
        </is>
      </c>
      <c r="E95" s="8" t="inlineStr">
        <is>
          <t>2/A</t>
        </is>
      </c>
      <c r="F95" s="9" t="n">
        <v>6</v>
      </c>
      <c r="G95" s="9" t="n">
        <v>5.7</v>
      </c>
      <c r="H95" s="9" t="n">
        <v>0.15</v>
      </c>
      <c r="I95" s="9" t="n">
        <v>0.1</v>
      </c>
      <c r="J95" s="9" t="n">
        <v>2.7</v>
      </c>
      <c r="K95" s="9" t="n">
        <v>2.6</v>
      </c>
      <c r="L95" s="8">
        <f>H95*I95*G95</f>
        <v/>
      </c>
      <c r="M95" s="8">
        <f>2*I95*G95</f>
        <v/>
      </c>
      <c r="N95" s="8">
        <f>INDEX('6-คาน เหล็กเสริม'!$E:$E,MATCH($B95,'6-คาน เหล็กเสริม'!$A:$A,0))*(F95+2*INDEX('6-คาน เหล็กเสริม'!$Q:$Q,MATCH($B95,'6-คาน เหล็กเสริม'!$A:$A,0))*INDEX('6-คาน เหล็กเสริม'!$F:$F,MATCH($B95,'6-คาน เหล็กเสริม'!$A:$A,0))/1000)*INDEX('6-คาน เหล็กเสริม'!$F:$F,MATCH($B95,'6-คาน เหล็กเสริม'!$A:$A,0))^2/162</f>
        <v/>
      </c>
      <c r="O95" s="8">
        <f>INDEX('6-คาน เหล็กเสริม'!$G:$G,MATCH($B95,'6-คาน เหล็กเสริม'!$A:$A,0))*(F95+2*INDEX('6-คาน เหล็กเสริม'!$Q:$Q,MATCH($B95,'6-คาน เหล็กเสริม'!$A:$A,0))*INDEX('6-คาน เหล็กเสริม'!$H:$H,MATCH($B95,'6-คาน เหล็กเสริม'!$A:$A,0))/1000)*INDEX('6-คาน เหล็กเสริม'!$H:$H,MATCH($B95,'6-คาน เหล็กเสริม'!$A:$A,0))^2/162</f>
        <v/>
      </c>
      <c r="P95" s="8">
        <f>INDEX('6-คาน เหล็กเสริม'!$I:$I,MATCH($B95,'6-คาน เหล็กเสริม'!$A:$A,0))*2*(0.3*G95+INDEX('6-คาน เหล็กเสริม'!$Q:$Q,MATCH($B95,'6-คาน เหล็กเสริม'!$A:$A,0))*INDEX('6-คาน เหล็กเสริม'!$J:$J,MATCH($B95,'6-คาน เหล็กเสริม'!$A:$A,0))/1000)*INDEX('6-คาน เหล็กเสริม'!$J:$J,MATCH($B95,'6-คาน เหล็กเสริม'!$A:$A,0))^2/162+INDEX('6-คาน เหล็กเสริม'!$K:$K,MATCH($B95,'6-คาน เหล็กเสริม'!$A:$A,0))*0.7*G95*INDEX('6-คาน เหล็กเสริม'!$L:$L,MATCH($B95,'6-คาน เหล็กเสริม'!$A:$A,0))^2/162</f>
        <v/>
      </c>
      <c r="Q95" s="8">
        <f>R95*(2*(H95+I95)-8*INDEX('6-คาน เหล็กเสริม'!$P:$P,MATCH($B95,'6-คาน เหล็กเสริม'!$A:$A,0))+24*INDEX('6-คาน เหล็กเสริม'!$M:$M,MATCH($B95,'6-คาน เหล็กเสริม'!$A:$A,0))/1000)*INDEX('6-คาน เหล็กเสริม'!$M:$M,MATCH($B95,'6-คาน เหล็กเสริม'!$A:$A,0))^2/162</f>
        <v/>
      </c>
      <c r="R95" s="8">
        <f>IF(INDEX('6-คาน เหล็กเสริม'!$M:$M,MATCH($B95,'6-คาน เหล็กเสริม'!$A:$A,0))=0,0,2*ROUNDUP(G95/4/INDEX('6-คาน เหล็กเสริม'!$N:$N,MATCH($B95,'6-คาน เหล็กเสริม'!$A:$A,0)),0)+ROUNDUP(G95/2/INDEX('6-คาน เหล็กเสริม'!$O:$O,MATCH($B95,'6-คาน เหล็กเสริม'!$A:$A,0)),0)+1)</f>
        <v/>
      </c>
      <c r="S95" s="8">
        <f>SUM(N95:Q95)</f>
        <v/>
      </c>
      <c r="T95" s="8" t="inlineStr">
        <is>
          <t>สมมติตามมาตรฐานผนังก่อ (สูง &gt; 3 ม.)</t>
        </is>
      </c>
    </row>
    <row r="96">
      <c r="A96" s="8" t="inlineStr">
        <is>
          <t>TB-002</t>
        </is>
      </c>
      <c r="B96" s="8" t="inlineStr">
        <is>
          <t>TB</t>
        </is>
      </c>
      <c r="C96" s="8" t="inlineStr">
        <is>
          <t>แนว A</t>
        </is>
      </c>
      <c r="D96" s="8" t="inlineStr">
        <is>
          <t>2/A</t>
        </is>
      </c>
      <c r="E96" s="8" t="inlineStr">
        <is>
          <t>3/A</t>
        </is>
      </c>
      <c r="F96" s="9" t="n">
        <v>6</v>
      </c>
      <c r="G96" s="9" t="n">
        <v>5.7</v>
      </c>
      <c r="H96" s="9" t="n">
        <v>0.15</v>
      </c>
      <c r="I96" s="9" t="n">
        <v>0.1</v>
      </c>
      <c r="J96" s="9" t="n">
        <v>2.7</v>
      </c>
      <c r="K96" s="9" t="n">
        <v>2.6</v>
      </c>
      <c r="L96" s="8">
        <f>H96*I96*G96</f>
        <v/>
      </c>
      <c r="M96" s="8">
        <f>2*I96*G96</f>
        <v/>
      </c>
      <c r="N96" s="8">
        <f>INDEX('6-คาน เหล็กเสริม'!$E:$E,MATCH($B96,'6-คาน เหล็กเสริม'!$A:$A,0))*(F96+2*INDEX('6-คาน เหล็กเสริม'!$Q:$Q,MATCH($B96,'6-คาน เหล็กเสริม'!$A:$A,0))*INDEX('6-คาน เหล็กเสริม'!$F:$F,MATCH($B96,'6-คาน เหล็กเสริม'!$A:$A,0))/1000)*INDEX('6-คาน เหล็กเสริม'!$F:$F,MATCH($B96,'6-คาน เหล็กเสริม'!$A:$A,0))^2/162</f>
        <v/>
      </c>
      <c r="O96" s="8">
        <f>INDEX('6-คาน เหล็กเสริม'!$G:$G,MATCH($B96,'6-คาน เหล็กเสริม'!$A:$A,0))*(F96+2*INDEX('6-คาน เหล็กเสริม'!$Q:$Q,MATCH($B96,'6-คาน เหล็กเสริม'!$A:$A,0))*INDEX('6-คาน เหล็กเสริม'!$H:$H,MATCH($B96,'6-คาน เหล็กเสริม'!$A:$A,0))/1000)*INDEX('6-คาน เหล็กเสริม'!$H:$H,MATCH($B96,'6-คาน เหล็กเสริม'!$A:$A,0))^2/162</f>
        <v/>
      </c>
      <c r="P96" s="8">
        <f>INDEX('6-คาน เหล็กเสริม'!$I:$I,MATCH($B96,'6-คาน เหล็กเสริม'!$A:$A,0))*2*(0.3*G96+INDEX('6-คาน เหล็กเสริม'!$Q:$Q,MATCH($B96,'6-คาน เหล็กเสริม'!$A:$A,0))*INDEX('6-คาน เหล็กเสริม'!$J:$J,MATCH($B96,'6-คาน เหล็กเสริม'!$A:$A,0))/1000)*INDEX('6-คาน เหล็กเสริม'!$J:$J,MATCH($B96,'6-คาน เหล็กเสริม'!$A:$A,0))^2/162+INDEX('6-คาน เหล็กเสริม'!$K:$K,MATCH($B96,'6-คาน เหล็กเสริม'!$A:$A,0))*0.7*G96*INDEX('6-คาน เหล็กเสริม'!$L:$L,MATCH($B96,'6-คาน เหล็กเสริม'!$A:$A,0))^2/162</f>
        <v/>
      </c>
      <c r="Q96" s="8">
        <f>R96*(2*(H96+I96)-8*INDEX('6-คาน เหล็กเสริม'!$P:$P,MATCH($B96,'6-คาน เหล็กเสริม'!$A:$A,0))+24*INDEX('6-คาน เหล็กเสริม'!$M:$M,MATCH($B96,'6-คาน เหล็กเสริม'!$A:$A,0))/1000)*INDEX('6-คาน เหล็กเสริม'!$M:$M,MATCH($B96,'6-คาน เหล็กเสริม'!$A:$A,0))^2/162</f>
        <v/>
      </c>
      <c r="R96" s="8">
        <f>IF(INDEX('6-คาน เหล็กเสริม'!$M:$M,MATCH($B96,'6-คาน เหล็กเสริม'!$A:$A,0))=0,0,2*ROUNDUP(G96/4/INDEX('6-คาน เหล็กเสริม'!$N:$N,MATCH($B96,'6-คาน เหล็กเสริม'!$A:$A,0)),0)+ROUNDUP(G96/2/INDEX('6-คาน เหล็กเสริม'!$O:$O,MATCH($B96,'6-คาน เหล็กเสริม'!$A:$A,0)),0)+1)</f>
        <v/>
      </c>
      <c r="S96" s="8">
        <f>SUM(N96:Q96)</f>
        <v/>
      </c>
      <c r="T96" s="8" t="inlineStr">
        <is>
          <t>สมมติตามมาตรฐานผนังก่อ (สูง &gt; 3 ม.)</t>
        </is>
      </c>
    </row>
    <row r="97">
      <c r="A97" s="8" t="inlineStr">
        <is>
          <t>TB-003</t>
        </is>
      </c>
      <c r="B97" s="8" t="inlineStr">
        <is>
          <t>TB</t>
        </is>
      </c>
      <c r="C97" s="8" t="inlineStr">
        <is>
          <t>แนว A</t>
        </is>
      </c>
      <c r="D97" s="8" t="inlineStr">
        <is>
          <t>3/A</t>
        </is>
      </c>
      <c r="E97" s="8" t="inlineStr">
        <is>
          <t>4/A</t>
        </is>
      </c>
      <c r="F97" s="9" t="n">
        <v>6</v>
      </c>
      <c r="G97" s="9" t="n">
        <v>5.7</v>
      </c>
      <c r="H97" s="9" t="n">
        <v>0.15</v>
      </c>
      <c r="I97" s="9" t="n">
        <v>0.1</v>
      </c>
      <c r="J97" s="9" t="n">
        <v>2.7</v>
      </c>
      <c r="K97" s="9" t="n">
        <v>2.6</v>
      </c>
      <c r="L97" s="8">
        <f>H97*I97*G97</f>
        <v/>
      </c>
      <c r="M97" s="8">
        <f>2*I97*G97</f>
        <v/>
      </c>
      <c r="N97" s="8">
        <f>INDEX('6-คาน เหล็กเสริม'!$E:$E,MATCH($B97,'6-คาน เหล็กเสริม'!$A:$A,0))*(F97+2*INDEX('6-คาน เหล็กเสริม'!$Q:$Q,MATCH($B97,'6-คาน เหล็กเสริม'!$A:$A,0))*INDEX('6-คาน เหล็กเสริม'!$F:$F,MATCH($B97,'6-คาน เหล็กเสริม'!$A:$A,0))/1000)*INDEX('6-คาน เหล็กเสริม'!$F:$F,MATCH($B97,'6-คาน เหล็กเสริม'!$A:$A,0))^2/162</f>
        <v/>
      </c>
      <c r="O97" s="8">
        <f>INDEX('6-คาน เหล็กเสริม'!$G:$G,MATCH($B97,'6-คาน เหล็กเสริม'!$A:$A,0))*(F97+2*INDEX('6-คาน เหล็กเสริม'!$Q:$Q,MATCH($B97,'6-คาน เหล็กเสริม'!$A:$A,0))*INDEX('6-คาน เหล็กเสริม'!$H:$H,MATCH($B97,'6-คาน เหล็กเสริม'!$A:$A,0))/1000)*INDEX('6-คาน เหล็กเสริม'!$H:$H,MATCH($B97,'6-คาน เหล็กเสริม'!$A:$A,0))^2/162</f>
        <v/>
      </c>
      <c r="P97" s="8">
        <f>INDEX('6-คาน เหล็กเสริม'!$I:$I,MATCH($B97,'6-คาน เหล็กเสริม'!$A:$A,0))*2*(0.3*G97+INDEX('6-คาน เหล็กเสริม'!$Q:$Q,MATCH($B97,'6-คาน เหล็กเสริม'!$A:$A,0))*INDEX('6-คาน เหล็กเสริม'!$J:$J,MATCH($B97,'6-คาน เหล็กเสริม'!$A:$A,0))/1000)*INDEX('6-คาน เหล็กเสริม'!$J:$J,MATCH($B97,'6-คาน เหล็กเสริม'!$A:$A,0))^2/162+INDEX('6-คาน เหล็กเสริม'!$K:$K,MATCH($B97,'6-คาน เหล็กเสริม'!$A:$A,0))*0.7*G97*INDEX('6-คาน เหล็กเสริม'!$L:$L,MATCH($B97,'6-คาน เหล็กเสริม'!$A:$A,0))^2/162</f>
        <v/>
      </c>
      <c r="Q97" s="8">
        <f>R97*(2*(H97+I97)-8*INDEX('6-คาน เหล็กเสริม'!$P:$P,MATCH($B97,'6-คาน เหล็กเสริม'!$A:$A,0))+24*INDEX('6-คาน เหล็กเสริม'!$M:$M,MATCH($B97,'6-คาน เหล็กเสริม'!$A:$A,0))/1000)*INDEX('6-คาน เหล็กเสริม'!$M:$M,MATCH($B97,'6-คาน เหล็กเสริม'!$A:$A,0))^2/162</f>
        <v/>
      </c>
      <c r="R97" s="8">
        <f>IF(INDEX('6-คาน เหล็กเสริม'!$M:$M,MATCH($B97,'6-คาน เหล็กเสริม'!$A:$A,0))=0,0,2*ROUNDUP(G97/4/INDEX('6-คาน เหล็กเสริม'!$N:$N,MATCH($B97,'6-คาน เหล็กเสริม'!$A:$A,0)),0)+ROUNDUP(G97/2/INDEX('6-คาน เหล็กเสริม'!$O:$O,MATCH($B97,'6-คาน เหล็กเสริม'!$A:$A,0)),0)+1)</f>
        <v/>
      </c>
      <c r="S97" s="8">
        <f>SUM(N97:Q97)</f>
        <v/>
      </c>
      <c r="T97" s="8" t="inlineStr">
        <is>
          <t>สมมติตามมาตรฐานผนังก่อ (สูง &gt; 3 ม.)</t>
        </is>
      </c>
    </row>
    <row r="98">
      <c r="A98" s="8" t="inlineStr">
        <is>
          <t>TB-004</t>
        </is>
      </c>
      <c r="B98" s="8" t="inlineStr">
        <is>
          <t>TB</t>
        </is>
      </c>
      <c r="C98" s="8" t="inlineStr">
        <is>
          <t>แนว A</t>
        </is>
      </c>
      <c r="D98" s="8" t="inlineStr">
        <is>
          <t>4/A</t>
        </is>
      </c>
      <c r="E98" s="8" t="inlineStr">
        <is>
          <t>5/A</t>
        </is>
      </c>
      <c r="F98" s="9" t="n">
        <v>6</v>
      </c>
      <c r="G98" s="9" t="n">
        <v>5.7</v>
      </c>
      <c r="H98" s="9" t="n">
        <v>0.15</v>
      </c>
      <c r="I98" s="9" t="n">
        <v>0.1</v>
      </c>
      <c r="J98" s="9" t="n">
        <v>2.7</v>
      </c>
      <c r="K98" s="9" t="n">
        <v>2.6</v>
      </c>
      <c r="L98" s="8">
        <f>H98*I98*G98</f>
        <v/>
      </c>
      <c r="M98" s="8">
        <f>2*I98*G98</f>
        <v/>
      </c>
      <c r="N98" s="8">
        <f>INDEX('6-คาน เหล็กเสริม'!$E:$E,MATCH($B98,'6-คาน เหล็กเสริม'!$A:$A,0))*(F98+2*INDEX('6-คาน เหล็กเสริม'!$Q:$Q,MATCH($B98,'6-คาน เหล็กเสริม'!$A:$A,0))*INDEX('6-คาน เหล็กเสริม'!$F:$F,MATCH($B98,'6-คาน เหล็กเสริม'!$A:$A,0))/1000)*INDEX('6-คาน เหล็กเสริม'!$F:$F,MATCH($B98,'6-คาน เหล็กเสริม'!$A:$A,0))^2/162</f>
        <v/>
      </c>
      <c r="O98" s="8">
        <f>INDEX('6-คาน เหล็กเสริม'!$G:$G,MATCH($B98,'6-คาน เหล็กเสริม'!$A:$A,0))*(F98+2*INDEX('6-คาน เหล็กเสริม'!$Q:$Q,MATCH($B98,'6-คาน เหล็กเสริม'!$A:$A,0))*INDEX('6-คาน เหล็กเสริม'!$H:$H,MATCH($B98,'6-คาน เหล็กเสริม'!$A:$A,0))/1000)*INDEX('6-คาน เหล็กเสริม'!$H:$H,MATCH($B98,'6-คาน เหล็กเสริม'!$A:$A,0))^2/162</f>
        <v/>
      </c>
      <c r="P98" s="8">
        <f>INDEX('6-คาน เหล็กเสริม'!$I:$I,MATCH($B98,'6-คาน เหล็กเสริม'!$A:$A,0))*2*(0.3*G98+INDEX('6-คาน เหล็กเสริม'!$Q:$Q,MATCH($B98,'6-คาน เหล็กเสริม'!$A:$A,0))*INDEX('6-คาน เหล็กเสริม'!$J:$J,MATCH($B98,'6-คาน เหล็กเสริม'!$A:$A,0))/1000)*INDEX('6-คาน เหล็กเสริม'!$J:$J,MATCH($B98,'6-คาน เหล็กเสริม'!$A:$A,0))^2/162+INDEX('6-คาน เหล็กเสริม'!$K:$K,MATCH($B98,'6-คาน เหล็กเสริม'!$A:$A,0))*0.7*G98*INDEX('6-คาน เหล็กเสริม'!$L:$L,MATCH($B98,'6-คาน เหล็กเสริม'!$A:$A,0))^2/162</f>
        <v/>
      </c>
      <c r="Q98" s="8">
        <f>R98*(2*(H98+I98)-8*INDEX('6-คาน เหล็กเสริม'!$P:$P,MATCH($B98,'6-คาน เหล็กเสริม'!$A:$A,0))+24*INDEX('6-คาน เหล็กเสริม'!$M:$M,MATCH($B98,'6-คาน เหล็กเสริม'!$A:$A,0))/1000)*INDEX('6-คาน เหล็กเสริม'!$M:$M,MATCH($B98,'6-คาน เหล็กเสริม'!$A:$A,0))^2/162</f>
        <v/>
      </c>
      <c r="R98" s="8">
        <f>IF(INDEX('6-คาน เหล็กเสริม'!$M:$M,MATCH($B98,'6-คาน เหล็กเสริม'!$A:$A,0))=0,0,2*ROUNDUP(G98/4/INDEX('6-คาน เหล็กเสริม'!$N:$N,MATCH($B98,'6-คาน เหล็กเสริม'!$A:$A,0)),0)+ROUNDUP(G98/2/INDEX('6-คาน เหล็กเสริม'!$O:$O,MATCH($B98,'6-คาน เหล็กเสริม'!$A:$A,0)),0)+1)</f>
        <v/>
      </c>
      <c r="S98" s="8">
        <f>SUM(N98:Q98)</f>
        <v/>
      </c>
      <c r="T98" s="8" t="inlineStr">
        <is>
          <t>สมมติตามมาตรฐานผนังก่อ (สูง &gt; 3 ม.)</t>
        </is>
      </c>
    </row>
    <row r="99">
      <c r="A99" s="8" t="inlineStr">
        <is>
          <t>TB-005</t>
        </is>
      </c>
      <c r="B99" s="8" t="inlineStr">
        <is>
          <t>TB</t>
        </is>
      </c>
      <c r="C99" s="8" t="inlineStr">
        <is>
          <t>แนว A</t>
        </is>
      </c>
      <c r="D99" s="8" t="inlineStr">
        <is>
          <t>6/A</t>
        </is>
      </c>
      <c r="E99" s="8" t="inlineStr">
        <is>
          <t>7/A</t>
        </is>
      </c>
      <c r="F99" s="9" t="n">
        <v>6</v>
      </c>
      <c r="G99" s="9" t="n">
        <v>5.7</v>
      </c>
      <c r="H99" s="9" t="n">
        <v>0.15</v>
      </c>
      <c r="I99" s="9" t="n">
        <v>0.1</v>
      </c>
      <c r="J99" s="9" t="n">
        <v>2.7</v>
      </c>
      <c r="K99" s="9" t="n">
        <v>2.6</v>
      </c>
      <c r="L99" s="8">
        <f>H99*I99*G99</f>
        <v/>
      </c>
      <c r="M99" s="8">
        <f>2*I99*G99</f>
        <v/>
      </c>
      <c r="N99" s="8">
        <f>INDEX('6-คาน เหล็กเสริม'!$E:$E,MATCH($B99,'6-คาน เหล็กเสริม'!$A:$A,0))*(F99+2*INDEX('6-คาน เหล็กเสริม'!$Q:$Q,MATCH($B99,'6-คาน เหล็กเสริม'!$A:$A,0))*INDEX('6-คาน เหล็กเสริม'!$F:$F,MATCH($B99,'6-คาน เหล็กเสริม'!$A:$A,0))/1000)*INDEX('6-คาน เหล็กเสริม'!$F:$F,MATCH($B99,'6-คาน เหล็กเสริม'!$A:$A,0))^2/162</f>
        <v/>
      </c>
      <c r="O99" s="8">
        <f>INDEX('6-คาน เหล็กเสริม'!$G:$G,MATCH($B99,'6-คาน เหล็กเสริม'!$A:$A,0))*(F99+2*INDEX('6-คาน เหล็กเสริม'!$Q:$Q,MATCH($B99,'6-คาน เหล็กเสริม'!$A:$A,0))*INDEX('6-คาน เหล็กเสริม'!$H:$H,MATCH($B99,'6-คาน เหล็กเสริม'!$A:$A,0))/1000)*INDEX('6-คาน เหล็กเสริม'!$H:$H,MATCH($B99,'6-คาน เหล็กเสริม'!$A:$A,0))^2/162</f>
        <v/>
      </c>
      <c r="P99" s="8">
        <f>INDEX('6-คาน เหล็กเสริม'!$I:$I,MATCH($B99,'6-คาน เหล็กเสริม'!$A:$A,0))*2*(0.3*G99+INDEX('6-คาน เหล็กเสริม'!$Q:$Q,MATCH($B99,'6-คาน เหล็กเสริม'!$A:$A,0))*INDEX('6-คาน เหล็กเสริม'!$J:$J,MATCH($B99,'6-คาน เหล็กเสริม'!$A:$A,0))/1000)*INDEX('6-คาน เหล็กเสริม'!$J:$J,MATCH($B99,'6-คาน เหล็กเสริม'!$A:$A,0))^2/162+INDEX('6-คาน เหล็กเสริม'!$K:$K,MATCH($B99,'6-คาน เหล็กเสริม'!$A:$A,0))*0.7*G99*INDEX('6-คาน เหล็กเสริม'!$L:$L,MATCH($B99,'6-คาน เหล็กเสริม'!$A:$A,0))^2/162</f>
        <v/>
      </c>
      <c r="Q99" s="8">
        <f>R99*(2*(H99+I99)-8*INDEX('6-คาน เหล็กเสริม'!$P:$P,MATCH($B99,'6-คาน เหล็กเสริม'!$A:$A,0))+24*INDEX('6-คาน เหล็กเสริม'!$M:$M,MATCH($B99,'6-คาน เหล็กเสริม'!$A:$A,0))/1000)*INDEX('6-คาน เหล็กเสริม'!$M:$M,MATCH($B99,'6-คาน เหล็กเสริม'!$A:$A,0))^2/162</f>
        <v/>
      </c>
      <c r="R99" s="8">
        <f>IF(INDEX('6-คาน เหล็กเสริม'!$M:$M,MATCH($B99,'6-คาน เหล็กเสริม'!$A:$A,0))=0,0,2*ROUNDUP(G99/4/INDEX('6-คาน เหล็กเสริม'!$N:$N,MATCH($B99,'6-คาน เหล็กเสริม'!$A:$A,0)),0)+ROUNDUP(G99/2/INDEX('6-คาน เหล็กเสริม'!$O:$O,MATCH($B99,'6-คาน เหล็กเสริม'!$A:$A,0)),0)+1)</f>
        <v/>
      </c>
      <c r="S99" s="8">
        <f>SUM(N99:Q99)</f>
        <v/>
      </c>
      <c r="T99" s="8" t="inlineStr">
        <is>
          <t>สมมติตามมาตรฐานผนังก่อ (สูง &gt; 3 ม.)</t>
        </is>
      </c>
    </row>
    <row r="100">
      <c r="A100" s="8" t="inlineStr">
        <is>
          <t>TB-006</t>
        </is>
      </c>
      <c r="B100" s="8" t="inlineStr">
        <is>
          <t>TB</t>
        </is>
      </c>
      <c r="C100" s="8" t="inlineStr">
        <is>
          <t>แนว A</t>
        </is>
      </c>
      <c r="D100" s="8" t="inlineStr">
        <is>
          <t>7/A</t>
        </is>
      </c>
      <c r="E100" s="8" t="inlineStr">
        <is>
          <t>8/A</t>
        </is>
      </c>
      <c r="F100" s="9" t="n">
        <v>6</v>
      </c>
      <c r="G100" s="9" t="n">
        <v>5.7</v>
      </c>
      <c r="H100" s="9" t="n">
        <v>0.15</v>
      </c>
      <c r="I100" s="9" t="n">
        <v>0.1</v>
      </c>
      <c r="J100" s="9" t="n">
        <v>2.7</v>
      </c>
      <c r="K100" s="9" t="n">
        <v>2.6</v>
      </c>
      <c r="L100" s="8">
        <f>H100*I100*G100</f>
        <v/>
      </c>
      <c r="M100" s="8">
        <f>2*I100*G100</f>
        <v/>
      </c>
      <c r="N100" s="8">
        <f>INDEX('6-คาน เหล็กเสริม'!$E:$E,MATCH($B100,'6-คาน เหล็กเสริม'!$A:$A,0))*(F100+2*INDEX('6-คาน เหล็กเสริม'!$Q:$Q,MATCH($B100,'6-คาน เหล็กเสริม'!$A:$A,0))*INDEX('6-คาน เหล็กเสริม'!$F:$F,MATCH($B100,'6-คาน เหล็กเสริม'!$A:$A,0))/1000)*INDEX('6-คาน เหล็กเสริม'!$F:$F,MATCH($B100,'6-คาน เหล็กเสริม'!$A:$A,0))^2/162</f>
        <v/>
      </c>
      <c r="O100" s="8">
        <f>INDEX('6-คาน เหล็กเสริม'!$G:$G,MATCH($B100,'6-คาน เหล็กเสริม'!$A:$A,0))*(F100+2*INDEX('6-คาน เหล็กเสริม'!$Q:$Q,MATCH($B100,'6-คาน เหล็กเสริม'!$A:$A,0))*INDEX('6-คาน เหล็กเสริม'!$H:$H,MATCH($B100,'6-คาน เหล็กเสริม'!$A:$A,0))/1000)*INDEX('6-คาน เหล็กเสริม'!$H:$H,MATCH($B100,'6-คาน เหล็กเสริม'!$A:$A,0))^2/162</f>
        <v/>
      </c>
      <c r="P100" s="8">
        <f>INDEX('6-คาน เหล็กเสริม'!$I:$I,MATCH($B100,'6-คาน เหล็กเสริม'!$A:$A,0))*2*(0.3*G100+INDEX('6-คาน เหล็กเสริม'!$Q:$Q,MATCH($B100,'6-คาน เหล็กเสริม'!$A:$A,0))*INDEX('6-คาน เหล็กเสริม'!$J:$J,MATCH($B100,'6-คาน เหล็กเสริม'!$A:$A,0))/1000)*INDEX('6-คาน เหล็กเสริม'!$J:$J,MATCH($B100,'6-คาน เหล็กเสริม'!$A:$A,0))^2/162+INDEX('6-คาน เหล็กเสริม'!$K:$K,MATCH($B100,'6-คาน เหล็กเสริม'!$A:$A,0))*0.7*G100*INDEX('6-คาน เหล็กเสริม'!$L:$L,MATCH($B100,'6-คาน เหล็กเสริม'!$A:$A,0))^2/162</f>
        <v/>
      </c>
      <c r="Q100" s="8">
        <f>R100*(2*(H100+I100)-8*INDEX('6-คาน เหล็กเสริม'!$P:$P,MATCH($B100,'6-คาน เหล็กเสริม'!$A:$A,0))+24*INDEX('6-คาน เหล็กเสริม'!$M:$M,MATCH($B100,'6-คาน เหล็กเสริม'!$A:$A,0))/1000)*INDEX('6-คาน เหล็กเสริม'!$M:$M,MATCH($B100,'6-คาน เหล็กเสริม'!$A:$A,0))^2/162</f>
        <v/>
      </c>
      <c r="R100" s="8">
        <f>IF(INDEX('6-คาน เหล็กเสริม'!$M:$M,MATCH($B100,'6-คาน เหล็กเสริม'!$A:$A,0))=0,0,2*ROUNDUP(G100/4/INDEX('6-คาน เหล็กเสริม'!$N:$N,MATCH($B100,'6-คาน เหล็กเสริม'!$A:$A,0)),0)+ROUNDUP(G100/2/INDEX('6-คาน เหล็กเสริม'!$O:$O,MATCH($B100,'6-คาน เหล็กเสริม'!$A:$A,0)),0)+1)</f>
        <v/>
      </c>
      <c r="S100" s="8">
        <f>SUM(N100:Q100)</f>
        <v/>
      </c>
      <c r="T100" s="8" t="inlineStr">
        <is>
          <t>สมมติตามมาตรฐานผนังก่อ (สูง &gt; 3 ม.)</t>
        </is>
      </c>
    </row>
    <row r="101">
      <c r="A101" s="8" t="inlineStr">
        <is>
          <t>TB-007</t>
        </is>
      </c>
      <c r="B101" s="8" t="inlineStr">
        <is>
          <t>TB</t>
        </is>
      </c>
      <c r="C101" s="8" t="inlineStr">
        <is>
          <t>แนว A</t>
        </is>
      </c>
      <c r="D101" s="8" t="inlineStr">
        <is>
          <t>8/A</t>
        </is>
      </c>
      <c r="E101" s="8" t="inlineStr">
        <is>
          <t>9/A</t>
        </is>
      </c>
      <c r="F101" s="9" t="n">
        <v>6</v>
      </c>
      <c r="G101" s="9" t="n">
        <v>5.7</v>
      </c>
      <c r="H101" s="9" t="n">
        <v>0.15</v>
      </c>
      <c r="I101" s="9" t="n">
        <v>0.1</v>
      </c>
      <c r="J101" s="9" t="n">
        <v>2.7</v>
      </c>
      <c r="K101" s="9" t="n">
        <v>2.6</v>
      </c>
      <c r="L101" s="8">
        <f>H101*I101*G101</f>
        <v/>
      </c>
      <c r="M101" s="8">
        <f>2*I101*G101</f>
        <v/>
      </c>
      <c r="N101" s="8">
        <f>INDEX('6-คาน เหล็กเสริม'!$E:$E,MATCH($B101,'6-คาน เหล็กเสริม'!$A:$A,0))*(F101+2*INDEX('6-คาน เหล็กเสริม'!$Q:$Q,MATCH($B101,'6-คาน เหล็กเสริม'!$A:$A,0))*INDEX('6-คาน เหล็กเสริม'!$F:$F,MATCH($B101,'6-คาน เหล็กเสริม'!$A:$A,0))/1000)*INDEX('6-คาน เหล็กเสริม'!$F:$F,MATCH($B101,'6-คาน เหล็กเสริม'!$A:$A,0))^2/162</f>
        <v/>
      </c>
      <c r="O101" s="8">
        <f>INDEX('6-คาน เหล็กเสริม'!$G:$G,MATCH($B101,'6-คาน เหล็กเสริม'!$A:$A,0))*(F101+2*INDEX('6-คาน เหล็กเสริม'!$Q:$Q,MATCH($B101,'6-คาน เหล็กเสริม'!$A:$A,0))*INDEX('6-คาน เหล็กเสริม'!$H:$H,MATCH($B101,'6-คาน เหล็กเสริม'!$A:$A,0))/1000)*INDEX('6-คาน เหล็กเสริม'!$H:$H,MATCH($B101,'6-คาน เหล็กเสริม'!$A:$A,0))^2/162</f>
        <v/>
      </c>
      <c r="P101" s="8">
        <f>INDEX('6-คาน เหล็กเสริม'!$I:$I,MATCH($B101,'6-คาน เหล็กเสริม'!$A:$A,0))*2*(0.3*G101+INDEX('6-คาน เหล็กเสริม'!$Q:$Q,MATCH($B101,'6-คาน เหล็กเสริม'!$A:$A,0))*INDEX('6-คาน เหล็กเสริม'!$J:$J,MATCH($B101,'6-คาน เหล็กเสริม'!$A:$A,0))/1000)*INDEX('6-คาน เหล็กเสริม'!$J:$J,MATCH($B101,'6-คาน เหล็กเสริม'!$A:$A,0))^2/162+INDEX('6-คาน เหล็กเสริม'!$K:$K,MATCH($B101,'6-คาน เหล็กเสริม'!$A:$A,0))*0.7*G101*INDEX('6-คาน เหล็กเสริม'!$L:$L,MATCH($B101,'6-คาน เหล็กเสริม'!$A:$A,0))^2/162</f>
        <v/>
      </c>
      <c r="Q101" s="8">
        <f>R101*(2*(H101+I101)-8*INDEX('6-คาน เหล็กเสริม'!$P:$P,MATCH($B101,'6-คาน เหล็กเสริม'!$A:$A,0))+24*INDEX('6-คาน เหล็กเสริม'!$M:$M,MATCH($B101,'6-คาน เหล็กเสริม'!$A:$A,0))/1000)*INDEX('6-คาน เหล็กเสริม'!$M:$M,MATCH($B101,'6-คาน เหล็กเสริม'!$A:$A,0))^2/162</f>
        <v/>
      </c>
      <c r="R101" s="8">
        <f>IF(INDEX('6-คาน เหล็กเสริม'!$M:$M,MATCH($B101,'6-คาน เหล็กเสริม'!$A:$A,0))=0,0,2*ROUNDUP(G101/4/INDEX('6-คาน เหล็กเสริม'!$N:$N,MATCH($B101,'6-คาน เหล็กเสริม'!$A:$A,0)),0)+ROUNDUP(G101/2/INDEX('6-คาน เหล็กเสริม'!$O:$O,MATCH($B101,'6-คาน เหล็กเสริม'!$A:$A,0)),0)+1)</f>
        <v/>
      </c>
      <c r="S101" s="8">
        <f>SUM(N101:Q101)</f>
        <v/>
      </c>
      <c r="T101" s="8" t="inlineStr">
        <is>
          <t>สมมติตามมาตรฐานผนังก่อ (สูง &gt; 3 ม.)</t>
        </is>
      </c>
    </row>
    <row r="102">
      <c r="A102" s="8" t="inlineStr">
        <is>
          <t>TB-008</t>
        </is>
      </c>
      <c r="B102" s="8" t="inlineStr">
        <is>
          <t>TB</t>
        </is>
      </c>
      <c r="C102" s="8" t="inlineStr">
        <is>
          <t>แนว A</t>
        </is>
      </c>
      <c r="D102" s="8" t="inlineStr">
        <is>
          <t>9/A</t>
        </is>
      </c>
      <c r="E102" s="8" t="inlineStr">
        <is>
          <t>10/A</t>
        </is>
      </c>
      <c r="F102" s="9" t="n">
        <v>6</v>
      </c>
      <c r="G102" s="9" t="n">
        <v>5.7</v>
      </c>
      <c r="H102" s="9" t="n">
        <v>0.15</v>
      </c>
      <c r="I102" s="9" t="n">
        <v>0.1</v>
      </c>
      <c r="J102" s="9" t="n">
        <v>2.7</v>
      </c>
      <c r="K102" s="9" t="n">
        <v>2.6</v>
      </c>
      <c r="L102" s="8">
        <f>H102*I102*G102</f>
        <v/>
      </c>
      <c r="M102" s="8">
        <f>2*I102*G102</f>
        <v/>
      </c>
      <c r="N102" s="8">
        <f>INDEX('6-คาน เหล็กเสริม'!$E:$E,MATCH($B102,'6-คาน เหล็กเสริม'!$A:$A,0))*(F102+2*INDEX('6-คาน เหล็กเสริม'!$Q:$Q,MATCH($B102,'6-คาน เหล็กเสริม'!$A:$A,0))*INDEX('6-คาน เหล็กเสริม'!$F:$F,MATCH($B102,'6-คาน เหล็กเสริม'!$A:$A,0))/1000)*INDEX('6-คาน เหล็กเสริม'!$F:$F,MATCH($B102,'6-คาน เหล็กเสริม'!$A:$A,0))^2/162</f>
        <v/>
      </c>
      <c r="O102" s="8">
        <f>INDEX('6-คาน เหล็กเสริม'!$G:$G,MATCH($B102,'6-คาน เหล็กเสริม'!$A:$A,0))*(F102+2*INDEX('6-คาน เหล็กเสริม'!$Q:$Q,MATCH($B102,'6-คาน เหล็กเสริม'!$A:$A,0))*INDEX('6-คาน เหล็กเสริม'!$H:$H,MATCH($B102,'6-คาน เหล็กเสริม'!$A:$A,0))/1000)*INDEX('6-คาน เหล็กเสริม'!$H:$H,MATCH($B102,'6-คาน เหล็กเสริม'!$A:$A,0))^2/162</f>
        <v/>
      </c>
      <c r="P102" s="8">
        <f>INDEX('6-คาน เหล็กเสริม'!$I:$I,MATCH($B102,'6-คาน เหล็กเสริม'!$A:$A,0))*2*(0.3*G102+INDEX('6-คาน เหล็กเสริม'!$Q:$Q,MATCH($B102,'6-คาน เหล็กเสริม'!$A:$A,0))*INDEX('6-คาน เหล็กเสริม'!$J:$J,MATCH($B102,'6-คาน เหล็กเสริม'!$A:$A,0))/1000)*INDEX('6-คาน เหล็กเสริม'!$J:$J,MATCH($B102,'6-คาน เหล็กเสริม'!$A:$A,0))^2/162+INDEX('6-คาน เหล็กเสริม'!$K:$K,MATCH($B102,'6-คาน เหล็กเสริม'!$A:$A,0))*0.7*G102*INDEX('6-คาน เหล็กเสริม'!$L:$L,MATCH($B102,'6-คาน เหล็กเสริม'!$A:$A,0))^2/162</f>
        <v/>
      </c>
      <c r="Q102" s="8">
        <f>R102*(2*(H102+I102)-8*INDEX('6-คาน เหล็กเสริม'!$P:$P,MATCH($B102,'6-คาน เหล็กเสริม'!$A:$A,0))+24*INDEX('6-คาน เหล็กเสริม'!$M:$M,MATCH($B102,'6-คาน เหล็กเสริม'!$A:$A,0))/1000)*INDEX('6-คาน เหล็กเสริม'!$M:$M,MATCH($B102,'6-คาน เหล็กเสริม'!$A:$A,0))^2/162</f>
        <v/>
      </c>
      <c r="R102" s="8">
        <f>IF(INDEX('6-คาน เหล็กเสริม'!$M:$M,MATCH($B102,'6-คาน เหล็กเสริม'!$A:$A,0))=0,0,2*ROUNDUP(G102/4/INDEX('6-คาน เหล็กเสริม'!$N:$N,MATCH($B102,'6-คาน เหล็กเสริม'!$A:$A,0)),0)+ROUNDUP(G102/2/INDEX('6-คาน เหล็กเสริม'!$O:$O,MATCH($B102,'6-คาน เหล็กเสริม'!$A:$A,0)),0)+1)</f>
        <v/>
      </c>
      <c r="S102" s="8">
        <f>SUM(N102:Q102)</f>
        <v/>
      </c>
      <c r="T102" s="8" t="inlineStr">
        <is>
          <t>สมมติตามมาตรฐานผนังก่อ (สูง &gt; 3 ม.)</t>
        </is>
      </c>
    </row>
    <row r="103">
      <c r="A103" s="8" t="inlineStr">
        <is>
          <t>TB-009</t>
        </is>
      </c>
      <c r="B103" s="8" t="inlineStr">
        <is>
          <t>TB</t>
        </is>
      </c>
      <c r="C103" s="8" t="inlineStr">
        <is>
          <t>แนว A</t>
        </is>
      </c>
      <c r="D103" s="8" t="inlineStr">
        <is>
          <t>10/A</t>
        </is>
      </c>
      <c r="E103" s="8" t="inlineStr">
        <is>
          <t>11/A</t>
        </is>
      </c>
      <c r="F103" s="9" t="n">
        <v>6</v>
      </c>
      <c r="G103" s="9" t="n">
        <v>5.7</v>
      </c>
      <c r="H103" s="9" t="n">
        <v>0.15</v>
      </c>
      <c r="I103" s="9" t="n">
        <v>0.1</v>
      </c>
      <c r="J103" s="9" t="n">
        <v>2.7</v>
      </c>
      <c r="K103" s="9" t="n">
        <v>2.6</v>
      </c>
      <c r="L103" s="8">
        <f>H103*I103*G103</f>
        <v/>
      </c>
      <c r="M103" s="8">
        <f>2*I103*G103</f>
        <v/>
      </c>
      <c r="N103" s="8">
        <f>INDEX('6-คาน เหล็กเสริม'!$E:$E,MATCH($B103,'6-คาน เหล็กเสริม'!$A:$A,0))*(F103+2*INDEX('6-คาน เหล็กเสริม'!$Q:$Q,MATCH($B103,'6-คาน เหล็กเสริม'!$A:$A,0))*INDEX('6-คาน เหล็กเสริม'!$F:$F,MATCH($B103,'6-คาน เหล็กเสริม'!$A:$A,0))/1000)*INDEX('6-คาน เหล็กเสริม'!$F:$F,MATCH($B103,'6-คาน เหล็กเสริม'!$A:$A,0))^2/162</f>
        <v/>
      </c>
      <c r="O103" s="8">
        <f>INDEX('6-คาน เหล็กเสริม'!$G:$G,MATCH($B103,'6-คาน เหล็กเสริม'!$A:$A,0))*(F103+2*INDEX('6-คาน เหล็กเสริม'!$Q:$Q,MATCH($B103,'6-คาน เหล็กเสริม'!$A:$A,0))*INDEX('6-คาน เหล็กเสริม'!$H:$H,MATCH($B103,'6-คาน เหล็กเสริม'!$A:$A,0))/1000)*INDEX('6-คาน เหล็กเสริม'!$H:$H,MATCH($B103,'6-คาน เหล็กเสริม'!$A:$A,0))^2/162</f>
        <v/>
      </c>
      <c r="P103" s="8">
        <f>INDEX('6-คาน เหล็กเสริม'!$I:$I,MATCH($B103,'6-คาน เหล็กเสริม'!$A:$A,0))*2*(0.3*G103+INDEX('6-คาน เหล็กเสริม'!$Q:$Q,MATCH($B103,'6-คาน เหล็กเสริม'!$A:$A,0))*INDEX('6-คาน เหล็กเสริม'!$J:$J,MATCH($B103,'6-คาน เหล็กเสริม'!$A:$A,0))/1000)*INDEX('6-คาน เหล็กเสริม'!$J:$J,MATCH($B103,'6-คาน เหล็กเสริม'!$A:$A,0))^2/162+INDEX('6-คาน เหล็กเสริม'!$K:$K,MATCH($B103,'6-คาน เหล็กเสริม'!$A:$A,0))*0.7*G103*INDEX('6-คาน เหล็กเสริม'!$L:$L,MATCH($B103,'6-คาน เหล็กเสริม'!$A:$A,0))^2/162</f>
        <v/>
      </c>
      <c r="Q103" s="8">
        <f>R103*(2*(H103+I103)-8*INDEX('6-คาน เหล็กเสริม'!$P:$P,MATCH($B103,'6-คาน เหล็กเสริม'!$A:$A,0))+24*INDEX('6-คาน เหล็กเสริม'!$M:$M,MATCH($B103,'6-คาน เหล็กเสริม'!$A:$A,0))/1000)*INDEX('6-คาน เหล็กเสริม'!$M:$M,MATCH($B103,'6-คาน เหล็กเสริม'!$A:$A,0))^2/162</f>
        <v/>
      </c>
      <c r="R103" s="8">
        <f>IF(INDEX('6-คาน เหล็กเสริม'!$M:$M,MATCH($B103,'6-คาน เหล็กเสริม'!$A:$A,0))=0,0,2*ROUNDUP(G103/4/INDEX('6-คาน เหล็กเสริม'!$N:$N,MATCH($B103,'6-คาน เหล็กเสริม'!$A:$A,0)),0)+ROUNDUP(G103/2/INDEX('6-คาน เหล็กเสริม'!$O:$O,MATCH($B103,'6-คาน เหล็กเสริม'!$A:$A,0)),0)+1)</f>
        <v/>
      </c>
      <c r="S103" s="8">
        <f>SUM(N103:Q103)</f>
        <v/>
      </c>
      <c r="T103" s="8" t="inlineStr">
        <is>
          <t>สมมติตามมาตรฐานผนังก่อ (สูง &gt; 3 ม.)</t>
        </is>
      </c>
    </row>
    <row r="104">
      <c r="A104" s="8" t="inlineStr">
        <is>
          <t>TB-010</t>
        </is>
      </c>
      <c r="B104" s="8" t="inlineStr">
        <is>
          <t>TB</t>
        </is>
      </c>
      <c r="C104" s="8" t="inlineStr">
        <is>
          <t>แนว 1</t>
        </is>
      </c>
      <c r="D104" s="8" t="inlineStr">
        <is>
          <t>1/A</t>
        </is>
      </c>
      <c r="E104" s="8" t="inlineStr">
        <is>
          <t>1/B</t>
        </is>
      </c>
      <c r="F104" s="9" t="n">
        <v>6</v>
      </c>
      <c r="G104" s="9" t="n">
        <v>5.7</v>
      </c>
      <c r="H104" s="9" t="n">
        <v>0.15</v>
      </c>
      <c r="I104" s="9" t="n">
        <v>0.1</v>
      </c>
      <c r="J104" s="9" t="n">
        <v>2.7</v>
      </c>
      <c r="K104" s="9" t="n">
        <v>2.6</v>
      </c>
      <c r="L104" s="8">
        <f>H104*I104*G104</f>
        <v/>
      </c>
      <c r="M104" s="8">
        <f>2*I104*G104</f>
        <v/>
      </c>
      <c r="N104" s="8">
        <f>INDEX('6-คาน เหล็กเสริม'!$E:$E,MATCH($B104,'6-คาน เหล็กเสริม'!$A:$A,0))*(F104+2*INDEX('6-คาน เหล็กเสริม'!$Q:$Q,MATCH($B104,'6-คาน เหล็กเสริม'!$A:$A,0))*INDEX('6-คาน เหล็กเสริม'!$F:$F,MATCH($B104,'6-คาน เหล็กเสริม'!$A:$A,0))/1000)*INDEX('6-คาน เหล็กเสริม'!$F:$F,MATCH($B104,'6-คาน เหล็กเสริม'!$A:$A,0))^2/162</f>
        <v/>
      </c>
      <c r="O104" s="8">
        <f>INDEX('6-คาน เหล็กเสริม'!$G:$G,MATCH($B104,'6-คาน เหล็กเสริม'!$A:$A,0))*(F104+2*INDEX('6-คาน เหล็กเสริม'!$Q:$Q,MATCH($B104,'6-คาน เหล็กเสริม'!$A:$A,0))*INDEX('6-คาน เหล็กเสริม'!$H:$H,MATCH($B104,'6-คาน เหล็กเสริม'!$A:$A,0))/1000)*INDEX('6-คาน เหล็กเสริม'!$H:$H,MATCH($B104,'6-คาน เหล็กเสริม'!$A:$A,0))^2/162</f>
        <v/>
      </c>
      <c r="P104" s="8">
        <f>INDEX('6-คาน เหล็กเสริม'!$I:$I,MATCH($B104,'6-คาน เหล็กเสริม'!$A:$A,0))*2*(0.3*G104+INDEX('6-คาน เหล็กเสริม'!$Q:$Q,MATCH($B104,'6-คาน เหล็กเสริม'!$A:$A,0))*INDEX('6-คาน เหล็กเสริม'!$J:$J,MATCH($B104,'6-คาน เหล็กเสริม'!$A:$A,0))/1000)*INDEX('6-คาน เหล็กเสริม'!$J:$J,MATCH($B104,'6-คาน เหล็กเสริม'!$A:$A,0))^2/162+INDEX('6-คาน เหล็กเสริม'!$K:$K,MATCH($B104,'6-คาน เหล็กเสริม'!$A:$A,0))*0.7*G104*INDEX('6-คาน เหล็กเสริม'!$L:$L,MATCH($B104,'6-คาน เหล็กเสริม'!$A:$A,0))^2/162</f>
        <v/>
      </c>
      <c r="Q104" s="8">
        <f>R104*(2*(H104+I104)-8*INDEX('6-คาน เหล็กเสริม'!$P:$P,MATCH($B104,'6-คาน เหล็กเสริม'!$A:$A,0))+24*INDEX('6-คาน เหล็กเสริม'!$M:$M,MATCH($B104,'6-คาน เหล็กเสริม'!$A:$A,0))/1000)*INDEX('6-คาน เหล็กเสริม'!$M:$M,MATCH($B104,'6-คาน เหล็กเสริม'!$A:$A,0))^2/162</f>
        <v/>
      </c>
      <c r="R104" s="8">
        <f>IF(INDEX('6-คาน เหล็กเสริม'!$M:$M,MATCH($B104,'6-คาน เหล็กเสริม'!$A:$A,0))=0,0,2*ROUNDUP(G104/4/INDEX('6-คาน เหล็กเสริม'!$N:$N,MATCH($B104,'6-คาน เหล็กเสริม'!$A:$A,0)),0)+ROUNDUP(G104/2/INDEX('6-คาน เหล็กเสริม'!$O:$O,MATCH($B104,'6-คาน เหล็กเสริม'!$A:$A,0)),0)+1)</f>
        <v/>
      </c>
      <c r="S104" s="8">
        <f>SUM(N104:Q104)</f>
        <v/>
      </c>
      <c r="T104" s="8" t="inlineStr">
        <is>
          <t>สมมติตามมาตรฐานผนังก่อ (สูง &gt; 3 ม.)</t>
        </is>
      </c>
    </row>
    <row r="105">
      <c r="A105" s="8" t="inlineStr">
        <is>
          <t>TB-011</t>
        </is>
      </c>
      <c r="B105" s="8" t="inlineStr">
        <is>
          <t>TB</t>
        </is>
      </c>
      <c r="C105" s="8" t="inlineStr">
        <is>
          <t>แนว 11</t>
        </is>
      </c>
      <c r="D105" s="8" t="inlineStr">
        <is>
          <t>11/A</t>
        </is>
      </c>
      <c r="E105" s="8" t="inlineStr">
        <is>
          <t>11/B</t>
        </is>
      </c>
      <c r="F105" s="9" t="n">
        <v>6</v>
      </c>
      <c r="G105" s="9" t="n">
        <v>5.7</v>
      </c>
      <c r="H105" s="9" t="n">
        <v>0.15</v>
      </c>
      <c r="I105" s="9" t="n">
        <v>0.1</v>
      </c>
      <c r="J105" s="9" t="n">
        <v>2.7</v>
      </c>
      <c r="K105" s="9" t="n">
        <v>2.6</v>
      </c>
      <c r="L105" s="8">
        <f>H105*I105*G105</f>
        <v/>
      </c>
      <c r="M105" s="8">
        <f>2*I105*G105</f>
        <v/>
      </c>
      <c r="N105" s="8">
        <f>INDEX('6-คาน เหล็กเสริม'!$E:$E,MATCH($B105,'6-คาน เหล็กเสริม'!$A:$A,0))*(F105+2*INDEX('6-คาน เหล็กเสริม'!$Q:$Q,MATCH($B105,'6-คาน เหล็กเสริม'!$A:$A,0))*INDEX('6-คาน เหล็กเสริม'!$F:$F,MATCH($B105,'6-คาน เหล็กเสริม'!$A:$A,0))/1000)*INDEX('6-คาน เหล็กเสริม'!$F:$F,MATCH($B105,'6-คาน เหล็กเสริม'!$A:$A,0))^2/162</f>
        <v/>
      </c>
      <c r="O105" s="8">
        <f>INDEX('6-คาน เหล็กเสริม'!$G:$G,MATCH($B105,'6-คาน เหล็กเสริม'!$A:$A,0))*(F105+2*INDEX('6-คาน เหล็กเสริม'!$Q:$Q,MATCH($B105,'6-คาน เหล็กเสริม'!$A:$A,0))*INDEX('6-คาน เหล็กเสริม'!$H:$H,MATCH($B105,'6-คาน เหล็กเสริม'!$A:$A,0))/1000)*INDEX('6-คาน เหล็กเสริม'!$H:$H,MATCH($B105,'6-คาน เหล็กเสริม'!$A:$A,0))^2/162</f>
        <v/>
      </c>
      <c r="P105" s="8">
        <f>INDEX('6-คาน เหล็กเสริม'!$I:$I,MATCH($B105,'6-คาน เหล็กเสริม'!$A:$A,0))*2*(0.3*G105+INDEX('6-คาน เหล็กเสริม'!$Q:$Q,MATCH($B105,'6-คาน เหล็กเสริม'!$A:$A,0))*INDEX('6-คาน เหล็กเสริม'!$J:$J,MATCH($B105,'6-คาน เหล็กเสริม'!$A:$A,0))/1000)*INDEX('6-คาน เหล็กเสริม'!$J:$J,MATCH($B105,'6-คาน เหล็กเสริม'!$A:$A,0))^2/162+INDEX('6-คาน เหล็กเสริม'!$K:$K,MATCH($B105,'6-คาน เหล็กเสริม'!$A:$A,0))*0.7*G105*INDEX('6-คาน เหล็กเสริม'!$L:$L,MATCH($B105,'6-คาน เหล็กเสริม'!$A:$A,0))^2/162</f>
        <v/>
      </c>
      <c r="Q105" s="8">
        <f>R105*(2*(H105+I105)-8*INDEX('6-คาน เหล็กเสริม'!$P:$P,MATCH($B105,'6-คาน เหล็กเสริม'!$A:$A,0))+24*INDEX('6-คาน เหล็กเสริม'!$M:$M,MATCH($B105,'6-คาน เหล็กเสริม'!$A:$A,0))/1000)*INDEX('6-คาน เหล็กเสริม'!$M:$M,MATCH($B105,'6-คาน เหล็กเสริม'!$A:$A,0))^2/162</f>
        <v/>
      </c>
      <c r="R105" s="8">
        <f>IF(INDEX('6-คาน เหล็กเสริม'!$M:$M,MATCH($B105,'6-คาน เหล็กเสริม'!$A:$A,0))=0,0,2*ROUNDUP(G105/4/INDEX('6-คาน เหล็กเสริม'!$N:$N,MATCH($B105,'6-คาน เหล็กเสริม'!$A:$A,0)),0)+ROUNDUP(G105/2/INDEX('6-คาน เหล็กเสริม'!$O:$O,MATCH($B105,'6-คาน เหล็กเสริม'!$A:$A,0)),0)+1)</f>
        <v/>
      </c>
      <c r="S105" s="8">
        <f>SUM(N105:Q105)</f>
        <v/>
      </c>
      <c r="T105" s="8" t="inlineStr">
        <is>
          <t>สมมติตามมาตรฐานผนังก่อ (สูง &gt; 3 ม.)</t>
        </is>
      </c>
    </row>
    <row r="106">
      <c r="A106" s="8" t="inlineStr">
        <is>
          <t>TB-012</t>
        </is>
      </c>
      <c r="B106" s="8" t="inlineStr">
        <is>
          <t>TB</t>
        </is>
      </c>
      <c r="C106" s="8" t="inlineStr">
        <is>
          <t>แนว 1</t>
        </is>
      </c>
      <c r="D106" s="8" t="inlineStr">
        <is>
          <t>1/B</t>
        </is>
      </c>
      <c r="E106" s="8" t="inlineStr">
        <is>
          <t>1/C</t>
        </is>
      </c>
      <c r="F106" s="9" t="n">
        <v>6</v>
      </c>
      <c r="G106" s="9" t="n">
        <v>5.7</v>
      </c>
      <c r="H106" s="9" t="n">
        <v>0.15</v>
      </c>
      <c r="I106" s="9" t="n">
        <v>0.1</v>
      </c>
      <c r="J106" s="9" t="n">
        <v>2.7</v>
      </c>
      <c r="K106" s="9" t="n">
        <v>2.6</v>
      </c>
      <c r="L106" s="8">
        <f>H106*I106*G106</f>
        <v/>
      </c>
      <c r="M106" s="8">
        <f>2*I106*G106</f>
        <v/>
      </c>
      <c r="N106" s="8">
        <f>INDEX('6-คาน เหล็กเสริม'!$E:$E,MATCH($B106,'6-คาน เหล็กเสริม'!$A:$A,0))*(F106+2*INDEX('6-คาน เหล็กเสริม'!$Q:$Q,MATCH($B106,'6-คาน เหล็กเสริม'!$A:$A,0))*INDEX('6-คาน เหล็กเสริม'!$F:$F,MATCH($B106,'6-คาน เหล็กเสริม'!$A:$A,0))/1000)*INDEX('6-คาน เหล็กเสริม'!$F:$F,MATCH($B106,'6-คาน เหล็กเสริม'!$A:$A,0))^2/162</f>
        <v/>
      </c>
      <c r="O106" s="8">
        <f>INDEX('6-คาน เหล็กเสริม'!$G:$G,MATCH($B106,'6-คาน เหล็กเสริม'!$A:$A,0))*(F106+2*INDEX('6-คาน เหล็กเสริม'!$Q:$Q,MATCH($B106,'6-คาน เหล็กเสริม'!$A:$A,0))*INDEX('6-คาน เหล็กเสริม'!$H:$H,MATCH($B106,'6-คาน เหล็กเสริม'!$A:$A,0))/1000)*INDEX('6-คาน เหล็กเสริม'!$H:$H,MATCH($B106,'6-คาน เหล็กเสริม'!$A:$A,0))^2/162</f>
        <v/>
      </c>
      <c r="P106" s="8">
        <f>INDEX('6-คาน เหล็กเสริม'!$I:$I,MATCH($B106,'6-คาน เหล็กเสริม'!$A:$A,0))*2*(0.3*G106+INDEX('6-คาน เหล็กเสริม'!$Q:$Q,MATCH($B106,'6-คาน เหล็กเสริม'!$A:$A,0))*INDEX('6-คาน เหล็กเสริม'!$J:$J,MATCH($B106,'6-คาน เหล็กเสริม'!$A:$A,0))/1000)*INDEX('6-คาน เหล็กเสริม'!$J:$J,MATCH($B106,'6-คาน เหล็กเสริม'!$A:$A,0))^2/162+INDEX('6-คาน เหล็กเสริม'!$K:$K,MATCH($B106,'6-คาน เหล็กเสริม'!$A:$A,0))*0.7*G106*INDEX('6-คาน เหล็กเสริม'!$L:$L,MATCH($B106,'6-คาน เหล็กเสริม'!$A:$A,0))^2/162</f>
        <v/>
      </c>
      <c r="Q106" s="8">
        <f>R106*(2*(H106+I106)-8*INDEX('6-คาน เหล็กเสริม'!$P:$P,MATCH($B106,'6-คาน เหล็กเสริม'!$A:$A,0))+24*INDEX('6-คาน เหล็กเสริม'!$M:$M,MATCH($B106,'6-คาน เหล็กเสริม'!$A:$A,0))/1000)*INDEX('6-คาน เหล็กเสริม'!$M:$M,MATCH($B106,'6-คาน เหล็กเสริม'!$A:$A,0))^2/162</f>
        <v/>
      </c>
      <c r="R106" s="8">
        <f>IF(INDEX('6-คาน เหล็กเสริม'!$M:$M,MATCH($B106,'6-คาน เหล็กเสริม'!$A:$A,0))=0,0,2*ROUNDUP(G106/4/INDEX('6-คาน เหล็กเสริม'!$N:$N,MATCH($B106,'6-คาน เหล็กเสริม'!$A:$A,0)),0)+ROUNDUP(G106/2/INDEX('6-คาน เหล็กเสริม'!$O:$O,MATCH($B106,'6-คาน เหล็กเสริม'!$A:$A,0)),0)+1)</f>
        <v/>
      </c>
      <c r="S106" s="8">
        <f>SUM(N106:Q106)</f>
        <v/>
      </c>
      <c r="T106" s="8" t="inlineStr">
        <is>
          <t>สมมติตามมาตรฐานผนังก่อ (สูง &gt; 3 ม.)</t>
        </is>
      </c>
    </row>
    <row r="107">
      <c r="A107" s="8" t="inlineStr">
        <is>
          <t>TB-013</t>
        </is>
      </c>
      <c r="B107" s="8" t="inlineStr">
        <is>
          <t>TB</t>
        </is>
      </c>
      <c r="C107" s="8" t="inlineStr">
        <is>
          <t>แนว 11</t>
        </is>
      </c>
      <c r="D107" s="8" t="inlineStr">
        <is>
          <t>11/B</t>
        </is>
      </c>
      <c r="E107" s="8" t="inlineStr">
        <is>
          <t>11/C</t>
        </is>
      </c>
      <c r="F107" s="9" t="n">
        <v>6</v>
      </c>
      <c r="G107" s="9" t="n">
        <v>5.7</v>
      </c>
      <c r="H107" s="9" t="n">
        <v>0.15</v>
      </c>
      <c r="I107" s="9" t="n">
        <v>0.1</v>
      </c>
      <c r="J107" s="9" t="n">
        <v>2.7</v>
      </c>
      <c r="K107" s="9" t="n">
        <v>2.6</v>
      </c>
      <c r="L107" s="8">
        <f>H107*I107*G107</f>
        <v/>
      </c>
      <c r="M107" s="8">
        <f>2*I107*G107</f>
        <v/>
      </c>
      <c r="N107" s="8">
        <f>INDEX('6-คาน เหล็กเสริม'!$E:$E,MATCH($B107,'6-คาน เหล็กเสริม'!$A:$A,0))*(F107+2*INDEX('6-คาน เหล็กเสริม'!$Q:$Q,MATCH($B107,'6-คาน เหล็กเสริม'!$A:$A,0))*INDEX('6-คาน เหล็กเสริม'!$F:$F,MATCH($B107,'6-คาน เหล็กเสริม'!$A:$A,0))/1000)*INDEX('6-คาน เหล็กเสริม'!$F:$F,MATCH($B107,'6-คาน เหล็กเสริม'!$A:$A,0))^2/162</f>
        <v/>
      </c>
      <c r="O107" s="8">
        <f>INDEX('6-คาน เหล็กเสริม'!$G:$G,MATCH($B107,'6-คาน เหล็กเสริม'!$A:$A,0))*(F107+2*INDEX('6-คาน เหล็กเสริม'!$Q:$Q,MATCH($B107,'6-คาน เหล็กเสริม'!$A:$A,0))*INDEX('6-คาน เหล็กเสริม'!$H:$H,MATCH($B107,'6-คาน เหล็กเสริม'!$A:$A,0))/1000)*INDEX('6-คาน เหล็กเสริม'!$H:$H,MATCH($B107,'6-คาน เหล็กเสริม'!$A:$A,0))^2/162</f>
        <v/>
      </c>
      <c r="P107" s="8">
        <f>INDEX('6-คาน เหล็กเสริม'!$I:$I,MATCH($B107,'6-คาน เหล็กเสริม'!$A:$A,0))*2*(0.3*G107+INDEX('6-คาน เหล็กเสริม'!$Q:$Q,MATCH($B107,'6-คาน เหล็กเสริม'!$A:$A,0))*INDEX('6-คาน เหล็กเสริม'!$J:$J,MATCH($B107,'6-คาน เหล็กเสริม'!$A:$A,0))/1000)*INDEX('6-คาน เหล็กเสริม'!$J:$J,MATCH($B107,'6-คาน เหล็กเสริม'!$A:$A,0))^2/162+INDEX('6-คาน เหล็กเสริม'!$K:$K,MATCH($B107,'6-คาน เหล็กเสริม'!$A:$A,0))*0.7*G107*INDEX('6-คาน เหล็กเสริม'!$L:$L,MATCH($B107,'6-คาน เหล็กเสริม'!$A:$A,0))^2/162</f>
        <v/>
      </c>
      <c r="Q107" s="8">
        <f>R107*(2*(H107+I107)-8*INDEX('6-คาน เหล็กเสริม'!$P:$P,MATCH($B107,'6-คาน เหล็กเสริม'!$A:$A,0))+24*INDEX('6-คาน เหล็กเสริม'!$M:$M,MATCH($B107,'6-คาน เหล็กเสริม'!$A:$A,0))/1000)*INDEX('6-คาน เหล็กเสริม'!$M:$M,MATCH($B107,'6-คาน เหล็กเสริม'!$A:$A,0))^2/162</f>
        <v/>
      </c>
      <c r="R107" s="8">
        <f>IF(INDEX('6-คาน เหล็กเสริม'!$M:$M,MATCH($B107,'6-คาน เหล็กเสริม'!$A:$A,0))=0,0,2*ROUNDUP(G107/4/INDEX('6-คาน เหล็กเสริม'!$N:$N,MATCH($B107,'6-คาน เหล็กเสริม'!$A:$A,0)),0)+ROUNDUP(G107/2/INDEX('6-คาน เหล็กเสริม'!$O:$O,MATCH($B107,'6-คาน เหล็กเสริม'!$A:$A,0)),0)+1)</f>
        <v/>
      </c>
      <c r="S107" s="8">
        <f>SUM(N107:Q107)</f>
        <v/>
      </c>
      <c r="T107" s="8" t="inlineStr">
        <is>
          <t>สมมติตามมาตรฐานผนังก่อ (สูง &gt; 3 ม.)</t>
        </is>
      </c>
    </row>
    <row r="108">
      <c r="A108" s="8" t="inlineStr">
        <is>
          <t>TB-014</t>
        </is>
      </c>
      <c r="B108" s="8" t="inlineStr">
        <is>
          <t>TB</t>
        </is>
      </c>
      <c r="C108" s="8" t="inlineStr">
        <is>
          <t>แนว 1</t>
        </is>
      </c>
      <c r="D108" s="8" t="inlineStr">
        <is>
          <t>1/C</t>
        </is>
      </c>
      <c r="E108" s="8" t="inlineStr">
        <is>
          <t>1/D</t>
        </is>
      </c>
      <c r="F108" s="9" t="n">
        <v>6</v>
      </c>
      <c r="G108" s="9" t="n">
        <v>5.7</v>
      </c>
      <c r="H108" s="9" t="n">
        <v>0.15</v>
      </c>
      <c r="I108" s="9" t="n">
        <v>0.1</v>
      </c>
      <c r="J108" s="9" t="n">
        <v>2.7</v>
      </c>
      <c r="K108" s="9" t="n">
        <v>2.6</v>
      </c>
      <c r="L108" s="8">
        <f>H108*I108*G108</f>
        <v/>
      </c>
      <c r="M108" s="8">
        <f>2*I108*G108</f>
        <v/>
      </c>
      <c r="N108" s="8">
        <f>INDEX('6-คาน เหล็กเสริม'!$E:$E,MATCH($B108,'6-คาน เหล็กเสริม'!$A:$A,0))*(F108+2*INDEX('6-คาน เหล็กเสริม'!$Q:$Q,MATCH($B108,'6-คาน เหล็กเสริม'!$A:$A,0))*INDEX('6-คาน เหล็กเสริม'!$F:$F,MATCH($B108,'6-คาน เหล็กเสริม'!$A:$A,0))/1000)*INDEX('6-คาน เหล็กเสริม'!$F:$F,MATCH($B108,'6-คาน เหล็กเสริม'!$A:$A,0))^2/162</f>
        <v/>
      </c>
      <c r="O108" s="8">
        <f>INDEX('6-คาน เหล็กเสริม'!$G:$G,MATCH($B108,'6-คาน เหล็กเสริม'!$A:$A,0))*(F108+2*INDEX('6-คาน เหล็กเสริม'!$Q:$Q,MATCH($B108,'6-คาน เหล็กเสริม'!$A:$A,0))*INDEX('6-คาน เหล็กเสริม'!$H:$H,MATCH($B108,'6-คาน เหล็กเสริม'!$A:$A,0))/1000)*INDEX('6-คาน เหล็กเสริม'!$H:$H,MATCH($B108,'6-คาน เหล็กเสริม'!$A:$A,0))^2/162</f>
        <v/>
      </c>
      <c r="P108" s="8">
        <f>INDEX('6-คาน เหล็กเสริม'!$I:$I,MATCH($B108,'6-คาน เหล็กเสริม'!$A:$A,0))*2*(0.3*G108+INDEX('6-คาน เหล็กเสริม'!$Q:$Q,MATCH($B108,'6-คาน เหล็กเสริม'!$A:$A,0))*INDEX('6-คาน เหล็กเสริม'!$J:$J,MATCH($B108,'6-คาน เหล็กเสริม'!$A:$A,0))/1000)*INDEX('6-คาน เหล็กเสริม'!$J:$J,MATCH($B108,'6-คาน เหล็กเสริม'!$A:$A,0))^2/162+INDEX('6-คาน เหล็กเสริม'!$K:$K,MATCH($B108,'6-คาน เหล็กเสริม'!$A:$A,0))*0.7*G108*INDEX('6-คาน เหล็กเสริม'!$L:$L,MATCH($B108,'6-คาน เหล็กเสริม'!$A:$A,0))^2/162</f>
        <v/>
      </c>
      <c r="Q108" s="8">
        <f>R108*(2*(H108+I108)-8*INDEX('6-คาน เหล็กเสริม'!$P:$P,MATCH($B108,'6-คาน เหล็กเสริม'!$A:$A,0))+24*INDEX('6-คาน เหล็กเสริม'!$M:$M,MATCH($B108,'6-คาน เหล็กเสริม'!$A:$A,0))/1000)*INDEX('6-คาน เหล็กเสริม'!$M:$M,MATCH($B108,'6-คาน เหล็กเสริม'!$A:$A,0))^2/162</f>
        <v/>
      </c>
      <c r="R108" s="8">
        <f>IF(INDEX('6-คาน เหล็กเสริม'!$M:$M,MATCH($B108,'6-คาน เหล็กเสริม'!$A:$A,0))=0,0,2*ROUNDUP(G108/4/INDEX('6-คาน เหล็กเสริม'!$N:$N,MATCH($B108,'6-คาน เหล็กเสริม'!$A:$A,0)),0)+ROUNDUP(G108/2/INDEX('6-คาน เหล็กเสริม'!$O:$O,MATCH($B108,'6-คาน เหล็กเสริม'!$A:$A,0)),0)+1)</f>
        <v/>
      </c>
      <c r="S108" s="8">
        <f>SUM(N108:Q108)</f>
        <v/>
      </c>
      <c r="T108" s="8" t="inlineStr">
        <is>
          <t>สมมติตามมาตรฐานผนังก่อ (สูง &gt; 3 ม.)</t>
        </is>
      </c>
    </row>
    <row r="109">
      <c r="A109" s="8" t="inlineStr">
        <is>
          <t>TB-015</t>
        </is>
      </c>
      <c r="B109" s="8" t="inlineStr">
        <is>
          <t>TB</t>
        </is>
      </c>
      <c r="C109" s="8" t="inlineStr">
        <is>
          <t>แนว 11</t>
        </is>
      </c>
      <c r="D109" s="8" t="inlineStr">
        <is>
          <t>11/C</t>
        </is>
      </c>
      <c r="E109" s="8" t="inlineStr">
        <is>
          <t>11/D</t>
        </is>
      </c>
      <c r="F109" s="9" t="n">
        <v>6</v>
      </c>
      <c r="G109" s="9" t="n">
        <v>5.7</v>
      </c>
      <c r="H109" s="9" t="n">
        <v>0.15</v>
      </c>
      <c r="I109" s="9" t="n">
        <v>0.1</v>
      </c>
      <c r="J109" s="9" t="n">
        <v>2.7</v>
      </c>
      <c r="K109" s="9" t="n">
        <v>2.6</v>
      </c>
      <c r="L109" s="8">
        <f>H109*I109*G109</f>
        <v/>
      </c>
      <c r="M109" s="8">
        <f>2*I109*G109</f>
        <v/>
      </c>
      <c r="N109" s="8">
        <f>INDEX('6-คาน เหล็กเสริม'!$E:$E,MATCH($B109,'6-คาน เหล็กเสริม'!$A:$A,0))*(F109+2*INDEX('6-คาน เหล็กเสริม'!$Q:$Q,MATCH($B109,'6-คาน เหล็กเสริม'!$A:$A,0))*INDEX('6-คาน เหล็กเสริม'!$F:$F,MATCH($B109,'6-คาน เหล็กเสริม'!$A:$A,0))/1000)*INDEX('6-คาน เหล็กเสริม'!$F:$F,MATCH($B109,'6-คาน เหล็กเสริม'!$A:$A,0))^2/162</f>
        <v/>
      </c>
      <c r="O109" s="8">
        <f>INDEX('6-คาน เหล็กเสริม'!$G:$G,MATCH($B109,'6-คาน เหล็กเสริม'!$A:$A,0))*(F109+2*INDEX('6-คาน เหล็กเสริม'!$Q:$Q,MATCH($B109,'6-คาน เหล็กเสริม'!$A:$A,0))*INDEX('6-คาน เหล็กเสริม'!$H:$H,MATCH($B109,'6-คาน เหล็กเสริม'!$A:$A,0))/1000)*INDEX('6-คาน เหล็กเสริม'!$H:$H,MATCH($B109,'6-คาน เหล็กเสริม'!$A:$A,0))^2/162</f>
        <v/>
      </c>
      <c r="P109" s="8">
        <f>INDEX('6-คาน เหล็กเสริม'!$I:$I,MATCH($B109,'6-คาน เหล็กเสริม'!$A:$A,0))*2*(0.3*G109+INDEX('6-คาน เหล็กเสริม'!$Q:$Q,MATCH($B109,'6-คาน เหล็กเสริม'!$A:$A,0))*INDEX('6-คาน เหล็กเสริม'!$J:$J,MATCH($B109,'6-คาน เหล็กเสริม'!$A:$A,0))/1000)*INDEX('6-คาน เหล็กเสริม'!$J:$J,MATCH($B109,'6-คาน เหล็กเสริม'!$A:$A,0))^2/162+INDEX('6-คาน เหล็กเสริม'!$K:$K,MATCH($B109,'6-คาน เหล็กเสริม'!$A:$A,0))*0.7*G109*INDEX('6-คาน เหล็กเสริม'!$L:$L,MATCH($B109,'6-คาน เหล็กเสริม'!$A:$A,0))^2/162</f>
        <v/>
      </c>
      <c r="Q109" s="8">
        <f>R109*(2*(H109+I109)-8*INDEX('6-คาน เหล็กเสริม'!$P:$P,MATCH($B109,'6-คาน เหล็กเสริม'!$A:$A,0))+24*INDEX('6-คาน เหล็กเสริม'!$M:$M,MATCH($B109,'6-คาน เหล็กเสริม'!$A:$A,0))/1000)*INDEX('6-คาน เหล็กเสริม'!$M:$M,MATCH($B109,'6-คาน เหล็กเสริม'!$A:$A,0))^2/162</f>
        <v/>
      </c>
      <c r="R109" s="8">
        <f>IF(INDEX('6-คาน เหล็กเสริม'!$M:$M,MATCH($B109,'6-คาน เหล็กเสริม'!$A:$A,0))=0,0,2*ROUNDUP(G109/4/INDEX('6-คาน เหล็กเสริม'!$N:$N,MATCH($B109,'6-คาน เหล็กเสริม'!$A:$A,0)),0)+ROUNDUP(G109/2/INDEX('6-คาน เหล็กเสริม'!$O:$O,MATCH($B109,'6-คาน เหล็กเสริม'!$A:$A,0)),0)+1)</f>
        <v/>
      </c>
      <c r="S109" s="8">
        <f>SUM(N109:Q109)</f>
        <v/>
      </c>
      <c r="T109" s="8" t="inlineStr">
        <is>
          <t>สมมติตามมาตรฐานผนังก่อ (สูง &gt; 3 ม.)</t>
        </is>
      </c>
    </row>
    <row r="110">
      <c r="A110" s="8" t="inlineStr">
        <is>
          <t>TB-016</t>
        </is>
      </c>
      <c r="B110" s="8" t="inlineStr">
        <is>
          <t>TB</t>
        </is>
      </c>
      <c r="C110" s="8" t="inlineStr">
        <is>
          <t>แนว 1</t>
        </is>
      </c>
      <c r="D110" s="8" t="inlineStr">
        <is>
          <t>1/D</t>
        </is>
      </c>
      <c r="E110" s="8" t="inlineStr">
        <is>
          <t>1/E</t>
        </is>
      </c>
      <c r="F110" s="9" t="n">
        <v>6</v>
      </c>
      <c r="G110" s="9" t="n">
        <v>5.7</v>
      </c>
      <c r="H110" s="9" t="n">
        <v>0.15</v>
      </c>
      <c r="I110" s="9" t="n">
        <v>0.1</v>
      </c>
      <c r="J110" s="9" t="n">
        <v>2.7</v>
      </c>
      <c r="K110" s="9" t="n">
        <v>2.6</v>
      </c>
      <c r="L110" s="8">
        <f>H110*I110*G110</f>
        <v/>
      </c>
      <c r="M110" s="8">
        <f>2*I110*G110</f>
        <v/>
      </c>
      <c r="N110" s="8">
        <f>INDEX('6-คาน เหล็กเสริม'!$E:$E,MATCH($B110,'6-คาน เหล็กเสริม'!$A:$A,0))*(F110+2*INDEX('6-คาน เหล็กเสริม'!$Q:$Q,MATCH($B110,'6-คาน เหล็กเสริม'!$A:$A,0))*INDEX('6-คาน เหล็กเสริม'!$F:$F,MATCH($B110,'6-คาน เหล็กเสริม'!$A:$A,0))/1000)*INDEX('6-คาน เหล็กเสริม'!$F:$F,MATCH($B110,'6-คาน เหล็กเสริม'!$A:$A,0))^2/162</f>
        <v/>
      </c>
      <c r="O110" s="8">
        <f>INDEX('6-คาน เหล็กเสริม'!$G:$G,MATCH($B110,'6-คาน เหล็กเสริม'!$A:$A,0))*(F110+2*INDEX('6-คาน เหล็กเสริม'!$Q:$Q,MATCH($B110,'6-คาน เหล็กเสริม'!$A:$A,0))*INDEX('6-คาน เหล็กเสริม'!$H:$H,MATCH($B110,'6-คาน เหล็กเสริม'!$A:$A,0))/1000)*INDEX('6-คาน เหล็กเสริม'!$H:$H,MATCH($B110,'6-คาน เหล็กเสริม'!$A:$A,0))^2/162</f>
        <v/>
      </c>
      <c r="P110" s="8">
        <f>INDEX('6-คาน เหล็กเสริม'!$I:$I,MATCH($B110,'6-คาน เหล็กเสริม'!$A:$A,0))*2*(0.3*G110+INDEX('6-คาน เหล็กเสริม'!$Q:$Q,MATCH($B110,'6-คาน เหล็กเสริม'!$A:$A,0))*INDEX('6-คาน เหล็กเสริม'!$J:$J,MATCH($B110,'6-คาน เหล็กเสริม'!$A:$A,0))/1000)*INDEX('6-คาน เหล็กเสริม'!$J:$J,MATCH($B110,'6-คาน เหล็กเสริม'!$A:$A,0))^2/162+INDEX('6-คาน เหล็กเสริม'!$K:$K,MATCH($B110,'6-คาน เหล็กเสริม'!$A:$A,0))*0.7*G110*INDEX('6-คาน เหล็กเสริม'!$L:$L,MATCH($B110,'6-คาน เหล็กเสริม'!$A:$A,0))^2/162</f>
        <v/>
      </c>
      <c r="Q110" s="8">
        <f>R110*(2*(H110+I110)-8*INDEX('6-คาน เหล็กเสริม'!$P:$P,MATCH($B110,'6-คาน เหล็กเสริม'!$A:$A,0))+24*INDEX('6-คาน เหล็กเสริม'!$M:$M,MATCH($B110,'6-คาน เหล็กเสริม'!$A:$A,0))/1000)*INDEX('6-คาน เหล็กเสริม'!$M:$M,MATCH($B110,'6-คาน เหล็กเสริม'!$A:$A,0))^2/162</f>
        <v/>
      </c>
      <c r="R110" s="8">
        <f>IF(INDEX('6-คาน เหล็กเสริม'!$M:$M,MATCH($B110,'6-คาน เหล็กเสริม'!$A:$A,0))=0,0,2*ROUNDUP(G110/4/INDEX('6-คาน เหล็กเสริม'!$N:$N,MATCH($B110,'6-คาน เหล็กเสริม'!$A:$A,0)),0)+ROUNDUP(G110/2/INDEX('6-คาน เหล็กเสริม'!$O:$O,MATCH($B110,'6-คาน เหล็กเสริม'!$A:$A,0)),0)+1)</f>
        <v/>
      </c>
      <c r="S110" s="8">
        <f>SUM(N110:Q110)</f>
        <v/>
      </c>
      <c r="T110" s="8" t="inlineStr">
        <is>
          <t>สมมติตามมาตรฐานผนังก่อ (สูง &gt; 3 ม.)</t>
        </is>
      </c>
    </row>
    <row r="111">
      <c r="A111" s="8" t="inlineStr">
        <is>
          <t>TB-017</t>
        </is>
      </c>
      <c r="B111" s="8" t="inlineStr">
        <is>
          <t>TB</t>
        </is>
      </c>
      <c r="C111" s="8" t="inlineStr">
        <is>
          <t>แนว 11</t>
        </is>
      </c>
      <c r="D111" s="8" t="inlineStr">
        <is>
          <t>11/D</t>
        </is>
      </c>
      <c r="E111" s="8" t="inlineStr">
        <is>
          <t>11/E</t>
        </is>
      </c>
      <c r="F111" s="9" t="n">
        <v>6</v>
      </c>
      <c r="G111" s="9" t="n">
        <v>5.7</v>
      </c>
      <c r="H111" s="9" t="n">
        <v>0.15</v>
      </c>
      <c r="I111" s="9" t="n">
        <v>0.1</v>
      </c>
      <c r="J111" s="9" t="n">
        <v>2.7</v>
      </c>
      <c r="K111" s="9" t="n">
        <v>2.6</v>
      </c>
      <c r="L111" s="8">
        <f>H111*I111*G111</f>
        <v/>
      </c>
      <c r="M111" s="8">
        <f>2*I111*G111</f>
        <v/>
      </c>
      <c r="N111" s="8">
        <f>INDEX('6-คาน เหล็กเสริม'!$E:$E,MATCH($B111,'6-คาน เหล็กเสริม'!$A:$A,0))*(F111+2*INDEX('6-คาน เหล็กเสริม'!$Q:$Q,MATCH($B111,'6-คาน เหล็กเสริม'!$A:$A,0))*INDEX('6-คาน เหล็กเสริม'!$F:$F,MATCH($B111,'6-คาน เหล็กเสริม'!$A:$A,0))/1000)*INDEX('6-คาน เหล็กเสริม'!$F:$F,MATCH($B111,'6-คาน เหล็กเสริม'!$A:$A,0))^2/162</f>
        <v/>
      </c>
      <c r="O111" s="8">
        <f>INDEX('6-คาน เหล็กเสริม'!$G:$G,MATCH($B111,'6-คาน เหล็กเสริม'!$A:$A,0))*(F111+2*INDEX('6-คาน เหล็กเสริม'!$Q:$Q,MATCH($B111,'6-คาน เหล็กเสริม'!$A:$A,0))*INDEX('6-คาน เหล็กเสริม'!$H:$H,MATCH($B111,'6-คาน เหล็กเสริม'!$A:$A,0))/1000)*INDEX('6-คาน เหล็กเสริม'!$H:$H,MATCH($B111,'6-คาน เหล็กเสริม'!$A:$A,0))^2/162</f>
        <v/>
      </c>
      <c r="P111" s="8">
        <f>INDEX('6-คาน เหล็กเสริม'!$I:$I,MATCH($B111,'6-คาน เหล็กเสริม'!$A:$A,0))*2*(0.3*G111+INDEX('6-คาน เหล็กเสริม'!$Q:$Q,MATCH($B111,'6-คาน เหล็กเสริม'!$A:$A,0))*INDEX('6-คาน เหล็กเสริม'!$J:$J,MATCH($B111,'6-คาน เหล็กเสริม'!$A:$A,0))/1000)*INDEX('6-คาน เหล็กเสริม'!$J:$J,MATCH($B111,'6-คาน เหล็กเสริม'!$A:$A,0))^2/162+INDEX('6-คาน เหล็กเสริม'!$K:$K,MATCH($B111,'6-คาน เหล็กเสริม'!$A:$A,0))*0.7*G111*INDEX('6-คาน เหล็กเสริม'!$L:$L,MATCH($B111,'6-คาน เหล็กเสริม'!$A:$A,0))^2/162</f>
        <v/>
      </c>
      <c r="Q111" s="8">
        <f>R111*(2*(H111+I111)-8*INDEX('6-คาน เหล็กเสริม'!$P:$P,MATCH($B111,'6-คาน เหล็กเสริม'!$A:$A,0))+24*INDEX('6-คาน เหล็กเสริม'!$M:$M,MATCH($B111,'6-คาน เหล็กเสริม'!$A:$A,0))/1000)*INDEX('6-คาน เหล็กเสริม'!$M:$M,MATCH($B111,'6-คาน เหล็กเสริม'!$A:$A,0))^2/162</f>
        <v/>
      </c>
      <c r="R111" s="8">
        <f>IF(INDEX('6-คาน เหล็กเสริม'!$M:$M,MATCH($B111,'6-คาน เหล็กเสริม'!$A:$A,0))=0,0,2*ROUNDUP(G111/4/INDEX('6-คาน เหล็กเสริม'!$N:$N,MATCH($B111,'6-คาน เหล็กเสริม'!$A:$A,0)),0)+ROUNDUP(G111/2/INDEX('6-คาน เหล็กเสริม'!$O:$O,MATCH($B111,'6-คาน เหล็กเสริม'!$A:$A,0)),0)+1)</f>
        <v/>
      </c>
      <c r="S111" s="8">
        <f>SUM(N111:Q111)</f>
        <v/>
      </c>
      <c r="T111" s="8" t="inlineStr">
        <is>
          <t>สมมติตามมาตรฐานผนังก่อ (สูง &gt; 3 ม.)</t>
        </is>
      </c>
    </row>
    <row r="112">
      <c r="A112" s="8" t="inlineStr">
        <is>
          <t>TB-018</t>
        </is>
      </c>
      <c r="B112" s="8" t="inlineStr">
        <is>
          <t>TB</t>
        </is>
      </c>
      <c r="C112" s="8" t="inlineStr">
        <is>
          <t>แนว 1</t>
        </is>
      </c>
      <c r="D112" s="8" t="inlineStr">
        <is>
          <t>1/E</t>
        </is>
      </c>
      <c r="E112" s="8" t="inlineStr">
        <is>
          <t>1/F</t>
        </is>
      </c>
      <c r="F112" s="9" t="n">
        <v>6</v>
      </c>
      <c r="G112" s="9" t="n">
        <v>5.7</v>
      </c>
      <c r="H112" s="9" t="n">
        <v>0.15</v>
      </c>
      <c r="I112" s="9" t="n">
        <v>0.1</v>
      </c>
      <c r="J112" s="9" t="n">
        <v>2.7</v>
      </c>
      <c r="K112" s="9" t="n">
        <v>2.6</v>
      </c>
      <c r="L112" s="8">
        <f>H112*I112*G112</f>
        <v/>
      </c>
      <c r="M112" s="8">
        <f>2*I112*G112</f>
        <v/>
      </c>
      <c r="N112" s="8">
        <f>INDEX('6-คาน เหล็กเสริม'!$E:$E,MATCH($B112,'6-คาน เหล็กเสริม'!$A:$A,0))*(F112+2*INDEX('6-คาน เหล็กเสริม'!$Q:$Q,MATCH($B112,'6-คาน เหล็กเสริม'!$A:$A,0))*INDEX('6-คาน เหล็กเสริม'!$F:$F,MATCH($B112,'6-คาน เหล็กเสริม'!$A:$A,0))/1000)*INDEX('6-คาน เหล็กเสริม'!$F:$F,MATCH($B112,'6-คาน เหล็กเสริม'!$A:$A,0))^2/162</f>
        <v/>
      </c>
      <c r="O112" s="8">
        <f>INDEX('6-คาน เหล็กเสริม'!$G:$G,MATCH($B112,'6-คาน เหล็กเสริม'!$A:$A,0))*(F112+2*INDEX('6-คาน เหล็กเสริม'!$Q:$Q,MATCH($B112,'6-คาน เหล็กเสริม'!$A:$A,0))*INDEX('6-คาน เหล็กเสริม'!$H:$H,MATCH($B112,'6-คาน เหล็กเสริม'!$A:$A,0))/1000)*INDEX('6-คาน เหล็กเสริม'!$H:$H,MATCH($B112,'6-คาน เหล็กเสริม'!$A:$A,0))^2/162</f>
        <v/>
      </c>
      <c r="P112" s="8">
        <f>INDEX('6-คาน เหล็กเสริม'!$I:$I,MATCH($B112,'6-คาน เหล็กเสริม'!$A:$A,0))*2*(0.3*G112+INDEX('6-คาน เหล็กเสริม'!$Q:$Q,MATCH($B112,'6-คาน เหล็กเสริม'!$A:$A,0))*INDEX('6-คาน เหล็กเสริม'!$J:$J,MATCH($B112,'6-คาน เหล็กเสริม'!$A:$A,0))/1000)*INDEX('6-คาน เหล็กเสริม'!$J:$J,MATCH($B112,'6-คาน เหล็กเสริม'!$A:$A,0))^2/162+INDEX('6-คาน เหล็กเสริม'!$K:$K,MATCH($B112,'6-คาน เหล็กเสริม'!$A:$A,0))*0.7*G112*INDEX('6-คาน เหล็กเสริม'!$L:$L,MATCH($B112,'6-คาน เหล็กเสริม'!$A:$A,0))^2/162</f>
        <v/>
      </c>
      <c r="Q112" s="8">
        <f>R112*(2*(H112+I112)-8*INDEX('6-คาน เหล็กเสริม'!$P:$P,MATCH($B112,'6-คาน เหล็กเสริม'!$A:$A,0))+24*INDEX('6-คาน เหล็กเสริม'!$M:$M,MATCH($B112,'6-คาน เหล็กเสริม'!$A:$A,0))/1000)*INDEX('6-คาน เหล็กเสริม'!$M:$M,MATCH($B112,'6-คาน เหล็กเสริม'!$A:$A,0))^2/162</f>
        <v/>
      </c>
      <c r="R112" s="8">
        <f>IF(INDEX('6-คาน เหล็กเสริม'!$M:$M,MATCH($B112,'6-คาน เหล็กเสริม'!$A:$A,0))=0,0,2*ROUNDUP(G112/4/INDEX('6-คาน เหล็กเสริม'!$N:$N,MATCH($B112,'6-คาน เหล็กเสริม'!$A:$A,0)),0)+ROUNDUP(G112/2/INDEX('6-คาน เหล็กเสริม'!$O:$O,MATCH($B112,'6-คาน เหล็กเสริม'!$A:$A,0)),0)+1)</f>
        <v/>
      </c>
      <c r="S112" s="8">
        <f>SUM(N112:Q112)</f>
        <v/>
      </c>
      <c r="T112" s="8" t="inlineStr">
        <is>
          <t>สมมติตามมาตรฐานผนังก่อ (สูง &gt; 3 ม.)</t>
        </is>
      </c>
    </row>
    <row r="113">
      <c r="A113" s="8" t="inlineStr">
        <is>
          <t>TB-019</t>
        </is>
      </c>
      <c r="B113" s="8" t="inlineStr">
        <is>
          <t>TB</t>
        </is>
      </c>
      <c r="C113" s="8" t="inlineStr">
        <is>
          <t>แนว 11</t>
        </is>
      </c>
      <c r="D113" s="8" t="inlineStr">
        <is>
          <t>11/E</t>
        </is>
      </c>
      <c r="E113" s="8" t="inlineStr">
        <is>
          <t>11/F</t>
        </is>
      </c>
      <c r="F113" s="9" t="n">
        <v>6</v>
      </c>
      <c r="G113" s="9" t="n">
        <v>5.7</v>
      </c>
      <c r="H113" s="9" t="n">
        <v>0.15</v>
      </c>
      <c r="I113" s="9" t="n">
        <v>0.1</v>
      </c>
      <c r="J113" s="9" t="n">
        <v>2.7</v>
      </c>
      <c r="K113" s="9" t="n">
        <v>2.6</v>
      </c>
      <c r="L113" s="8">
        <f>H113*I113*G113</f>
        <v/>
      </c>
      <c r="M113" s="8">
        <f>2*I113*G113</f>
        <v/>
      </c>
      <c r="N113" s="8">
        <f>INDEX('6-คาน เหล็กเสริม'!$E:$E,MATCH($B113,'6-คาน เหล็กเสริม'!$A:$A,0))*(F113+2*INDEX('6-คาน เหล็กเสริม'!$Q:$Q,MATCH($B113,'6-คาน เหล็กเสริม'!$A:$A,0))*INDEX('6-คาน เหล็กเสริม'!$F:$F,MATCH($B113,'6-คาน เหล็กเสริม'!$A:$A,0))/1000)*INDEX('6-คาน เหล็กเสริม'!$F:$F,MATCH($B113,'6-คาน เหล็กเสริม'!$A:$A,0))^2/162</f>
        <v/>
      </c>
      <c r="O113" s="8">
        <f>INDEX('6-คาน เหล็กเสริม'!$G:$G,MATCH($B113,'6-คาน เหล็กเสริม'!$A:$A,0))*(F113+2*INDEX('6-คาน เหล็กเสริม'!$Q:$Q,MATCH($B113,'6-คาน เหล็กเสริม'!$A:$A,0))*INDEX('6-คาน เหล็กเสริม'!$H:$H,MATCH($B113,'6-คาน เหล็กเสริม'!$A:$A,0))/1000)*INDEX('6-คาน เหล็กเสริม'!$H:$H,MATCH($B113,'6-คาน เหล็กเสริม'!$A:$A,0))^2/162</f>
        <v/>
      </c>
      <c r="P113" s="8">
        <f>INDEX('6-คาน เหล็กเสริม'!$I:$I,MATCH($B113,'6-คาน เหล็กเสริม'!$A:$A,0))*2*(0.3*G113+INDEX('6-คาน เหล็กเสริม'!$Q:$Q,MATCH($B113,'6-คาน เหล็กเสริม'!$A:$A,0))*INDEX('6-คาน เหล็กเสริม'!$J:$J,MATCH($B113,'6-คาน เหล็กเสริม'!$A:$A,0))/1000)*INDEX('6-คาน เหล็กเสริม'!$J:$J,MATCH($B113,'6-คาน เหล็กเสริม'!$A:$A,0))^2/162+INDEX('6-คาน เหล็กเสริม'!$K:$K,MATCH($B113,'6-คาน เหล็กเสริม'!$A:$A,0))*0.7*G113*INDEX('6-คาน เหล็กเสริม'!$L:$L,MATCH($B113,'6-คาน เหล็กเสริม'!$A:$A,0))^2/162</f>
        <v/>
      </c>
      <c r="Q113" s="8">
        <f>R113*(2*(H113+I113)-8*INDEX('6-คาน เหล็กเสริม'!$P:$P,MATCH($B113,'6-คาน เหล็กเสริม'!$A:$A,0))+24*INDEX('6-คาน เหล็กเสริม'!$M:$M,MATCH($B113,'6-คาน เหล็กเสริม'!$A:$A,0))/1000)*INDEX('6-คาน เหล็กเสริม'!$M:$M,MATCH($B113,'6-คาน เหล็กเสริม'!$A:$A,0))^2/162</f>
        <v/>
      </c>
      <c r="R113" s="8">
        <f>IF(INDEX('6-คาน เหล็กเสริม'!$M:$M,MATCH($B113,'6-คาน เหล็กเสริม'!$A:$A,0))=0,0,2*ROUNDUP(G113/4/INDEX('6-คาน เหล็กเสริม'!$N:$N,MATCH($B113,'6-คาน เหล็กเสริม'!$A:$A,0)),0)+ROUNDUP(G113/2/INDEX('6-คาน เหล็กเสริม'!$O:$O,MATCH($B113,'6-คาน เหล็กเสริม'!$A:$A,0)),0)+1)</f>
        <v/>
      </c>
      <c r="S113" s="8">
        <f>SUM(N113:Q113)</f>
        <v/>
      </c>
      <c r="T113" s="8" t="inlineStr">
        <is>
          <t>สมมติตามมาตรฐานผนังก่อ (สูง &gt; 3 ม.)</t>
        </is>
      </c>
    </row>
    <row r="114">
      <c r="A114" s="8" t="inlineStr">
        <is>
          <t>TB-020</t>
        </is>
      </c>
      <c r="B114" s="8" t="inlineStr">
        <is>
          <t>TB</t>
        </is>
      </c>
      <c r="C114" s="8" t="inlineStr">
        <is>
          <t>แนว 1</t>
        </is>
      </c>
      <c r="D114" s="8" t="inlineStr">
        <is>
          <t>1/F</t>
        </is>
      </c>
      <c r="E114" s="8" t="inlineStr">
        <is>
          <t>1/G</t>
        </is>
      </c>
      <c r="F114" s="9" t="n">
        <v>6</v>
      </c>
      <c r="G114" s="9" t="n">
        <v>5.7</v>
      </c>
      <c r="H114" s="9" t="n">
        <v>0.15</v>
      </c>
      <c r="I114" s="9" t="n">
        <v>0.1</v>
      </c>
      <c r="J114" s="9" t="n">
        <v>2.7</v>
      </c>
      <c r="K114" s="9" t="n">
        <v>2.6</v>
      </c>
      <c r="L114" s="8">
        <f>H114*I114*G114</f>
        <v/>
      </c>
      <c r="M114" s="8">
        <f>2*I114*G114</f>
        <v/>
      </c>
      <c r="N114" s="8">
        <f>INDEX('6-คาน เหล็กเสริม'!$E:$E,MATCH($B114,'6-คาน เหล็กเสริม'!$A:$A,0))*(F114+2*INDEX('6-คาน เหล็กเสริม'!$Q:$Q,MATCH($B114,'6-คาน เหล็กเสริม'!$A:$A,0))*INDEX('6-คาน เหล็กเสริม'!$F:$F,MATCH($B114,'6-คาน เหล็กเสริม'!$A:$A,0))/1000)*INDEX('6-คาน เหล็กเสริม'!$F:$F,MATCH($B114,'6-คาน เหล็กเสริม'!$A:$A,0))^2/162</f>
        <v/>
      </c>
      <c r="O114" s="8">
        <f>INDEX('6-คาน เหล็กเสริม'!$G:$G,MATCH($B114,'6-คาน เหล็กเสริม'!$A:$A,0))*(F114+2*INDEX('6-คาน เหล็กเสริม'!$Q:$Q,MATCH($B114,'6-คาน เหล็กเสริม'!$A:$A,0))*INDEX('6-คาน เหล็กเสริม'!$H:$H,MATCH($B114,'6-คาน เหล็กเสริม'!$A:$A,0))/1000)*INDEX('6-คาน เหล็กเสริม'!$H:$H,MATCH($B114,'6-คาน เหล็กเสริม'!$A:$A,0))^2/162</f>
        <v/>
      </c>
      <c r="P114" s="8">
        <f>INDEX('6-คาน เหล็กเสริม'!$I:$I,MATCH($B114,'6-คาน เหล็กเสริม'!$A:$A,0))*2*(0.3*G114+INDEX('6-คาน เหล็กเสริม'!$Q:$Q,MATCH($B114,'6-คาน เหล็กเสริม'!$A:$A,0))*INDEX('6-คาน เหล็กเสริม'!$J:$J,MATCH($B114,'6-คาน เหล็กเสริม'!$A:$A,0))/1000)*INDEX('6-คาน เหล็กเสริม'!$J:$J,MATCH($B114,'6-คาน เหล็กเสริม'!$A:$A,0))^2/162+INDEX('6-คาน เหล็กเสริม'!$K:$K,MATCH($B114,'6-คาน เหล็กเสริม'!$A:$A,0))*0.7*G114*INDEX('6-คาน เหล็กเสริม'!$L:$L,MATCH($B114,'6-คาน เหล็กเสริม'!$A:$A,0))^2/162</f>
        <v/>
      </c>
      <c r="Q114" s="8">
        <f>R114*(2*(H114+I114)-8*INDEX('6-คาน เหล็กเสริม'!$P:$P,MATCH($B114,'6-คาน เหล็กเสริม'!$A:$A,0))+24*INDEX('6-คาน เหล็กเสริม'!$M:$M,MATCH($B114,'6-คาน เหล็กเสริม'!$A:$A,0))/1000)*INDEX('6-คาน เหล็กเสริม'!$M:$M,MATCH($B114,'6-คาน เหล็กเสริม'!$A:$A,0))^2/162</f>
        <v/>
      </c>
      <c r="R114" s="8">
        <f>IF(INDEX('6-คาน เหล็กเสริม'!$M:$M,MATCH($B114,'6-คาน เหล็กเสริม'!$A:$A,0))=0,0,2*ROUNDUP(G114/4/INDEX('6-คาน เหล็กเสริม'!$N:$N,MATCH($B114,'6-คาน เหล็กเสริม'!$A:$A,0)),0)+ROUNDUP(G114/2/INDEX('6-คาน เหล็กเสริม'!$O:$O,MATCH($B114,'6-คาน เหล็กเสริม'!$A:$A,0)),0)+1)</f>
        <v/>
      </c>
      <c r="S114" s="8">
        <f>SUM(N114:Q114)</f>
        <v/>
      </c>
      <c r="T114" s="8" t="inlineStr">
        <is>
          <t>สมมติตามมาตรฐานผนังก่อ (สูง &gt; 3 ม.)</t>
        </is>
      </c>
    </row>
    <row r="115">
      <c r="A115" s="8" t="inlineStr">
        <is>
          <t>TB-021</t>
        </is>
      </c>
      <c r="B115" s="8" t="inlineStr">
        <is>
          <t>TB</t>
        </is>
      </c>
      <c r="C115" s="8" t="inlineStr">
        <is>
          <t>แนว 11</t>
        </is>
      </c>
      <c r="D115" s="8" t="inlineStr">
        <is>
          <t>11/F</t>
        </is>
      </c>
      <c r="E115" s="8" t="inlineStr">
        <is>
          <t>11/G</t>
        </is>
      </c>
      <c r="F115" s="9" t="n">
        <v>6</v>
      </c>
      <c r="G115" s="9" t="n">
        <v>5.7</v>
      </c>
      <c r="H115" s="9" t="n">
        <v>0.15</v>
      </c>
      <c r="I115" s="9" t="n">
        <v>0.1</v>
      </c>
      <c r="J115" s="9" t="n">
        <v>2.7</v>
      </c>
      <c r="K115" s="9" t="n">
        <v>2.6</v>
      </c>
      <c r="L115" s="8">
        <f>H115*I115*G115</f>
        <v/>
      </c>
      <c r="M115" s="8">
        <f>2*I115*G115</f>
        <v/>
      </c>
      <c r="N115" s="8">
        <f>INDEX('6-คาน เหล็กเสริม'!$E:$E,MATCH($B115,'6-คาน เหล็กเสริม'!$A:$A,0))*(F115+2*INDEX('6-คาน เหล็กเสริม'!$Q:$Q,MATCH($B115,'6-คาน เหล็กเสริม'!$A:$A,0))*INDEX('6-คาน เหล็กเสริม'!$F:$F,MATCH($B115,'6-คาน เหล็กเสริม'!$A:$A,0))/1000)*INDEX('6-คาน เหล็กเสริม'!$F:$F,MATCH($B115,'6-คาน เหล็กเสริม'!$A:$A,0))^2/162</f>
        <v/>
      </c>
      <c r="O115" s="8">
        <f>INDEX('6-คาน เหล็กเสริม'!$G:$G,MATCH($B115,'6-คาน เหล็กเสริม'!$A:$A,0))*(F115+2*INDEX('6-คาน เหล็กเสริม'!$Q:$Q,MATCH($B115,'6-คาน เหล็กเสริม'!$A:$A,0))*INDEX('6-คาน เหล็กเสริม'!$H:$H,MATCH($B115,'6-คาน เหล็กเสริม'!$A:$A,0))/1000)*INDEX('6-คาน เหล็กเสริม'!$H:$H,MATCH($B115,'6-คาน เหล็กเสริม'!$A:$A,0))^2/162</f>
        <v/>
      </c>
      <c r="P115" s="8">
        <f>INDEX('6-คาน เหล็กเสริม'!$I:$I,MATCH($B115,'6-คาน เหล็กเสริม'!$A:$A,0))*2*(0.3*G115+INDEX('6-คาน เหล็กเสริม'!$Q:$Q,MATCH($B115,'6-คาน เหล็กเสริม'!$A:$A,0))*INDEX('6-คาน เหล็กเสริม'!$J:$J,MATCH($B115,'6-คาน เหล็กเสริม'!$A:$A,0))/1000)*INDEX('6-คาน เหล็กเสริม'!$J:$J,MATCH($B115,'6-คาน เหล็กเสริม'!$A:$A,0))^2/162+INDEX('6-คาน เหล็กเสริม'!$K:$K,MATCH($B115,'6-คาน เหล็กเสริม'!$A:$A,0))*0.7*G115*INDEX('6-คาน เหล็กเสริม'!$L:$L,MATCH($B115,'6-คาน เหล็กเสริม'!$A:$A,0))^2/162</f>
        <v/>
      </c>
      <c r="Q115" s="8">
        <f>R115*(2*(H115+I115)-8*INDEX('6-คาน เหล็กเสริม'!$P:$P,MATCH($B115,'6-คาน เหล็กเสริม'!$A:$A,0))+24*INDEX('6-คาน เหล็กเสริม'!$M:$M,MATCH($B115,'6-คาน เหล็กเสริม'!$A:$A,0))/1000)*INDEX('6-คาน เหล็กเสริม'!$M:$M,MATCH($B115,'6-คาน เหล็กเสริม'!$A:$A,0))^2/162</f>
        <v/>
      </c>
      <c r="R115" s="8">
        <f>IF(INDEX('6-คาน เหล็กเสริม'!$M:$M,MATCH($B115,'6-คาน เหล็กเสริม'!$A:$A,0))=0,0,2*ROUNDUP(G115/4/INDEX('6-คาน เหล็กเสริม'!$N:$N,MATCH($B115,'6-คาน เหล็กเสริม'!$A:$A,0)),0)+ROUNDUP(G115/2/INDEX('6-คาน เหล็กเสริม'!$O:$O,MATCH($B115,'6-คาน เหล็กเสริม'!$A:$A,0)),0)+1)</f>
        <v/>
      </c>
      <c r="S115" s="8">
        <f>SUM(N115:Q115)</f>
        <v/>
      </c>
      <c r="T115" s="8" t="inlineStr">
        <is>
          <t>สมมติตามมาตรฐานผนังก่อ (สูง &gt; 3 ม.)</t>
        </is>
      </c>
    </row>
    <row r="116">
      <c r="A116" s="8" t="inlineStr">
        <is>
          <t>TB-022</t>
        </is>
      </c>
      <c r="B116" s="8" t="inlineStr">
        <is>
          <t>TB</t>
        </is>
      </c>
      <c r="C116" s="8" t="inlineStr">
        <is>
          <t>แนว 1</t>
        </is>
      </c>
      <c r="D116" s="8" t="inlineStr">
        <is>
          <t>1/G</t>
        </is>
      </c>
      <c r="E116" s="8" t="inlineStr">
        <is>
          <t>1/H</t>
        </is>
      </c>
      <c r="F116" s="9" t="n">
        <v>6</v>
      </c>
      <c r="G116" s="9" t="n">
        <v>5.7</v>
      </c>
      <c r="H116" s="9" t="n">
        <v>0.15</v>
      </c>
      <c r="I116" s="9" t="n">
        <v>0.1</v>
      </c>
      <c r="J116" s="9" t="n">
        <v>2.7</v>
      </c>
      <c r="K116" s="9" t="n">
        <v>2.6</v>
      </c>
      <c r="L116" s="8">
        <f>H116*I116*G116</f>
        <v/>
      </c>
      <c r="M116" s="8">
        <f>2*I116*G116</f>
        <v/>
      </c>
      <c r="N116" s="8">
        <f>INDEX('6-คาน เหล็กเสริม'!$E:$E,MATCH($B116,'6-คาน เหล็กเสริม'!$A:$A,0))*(F116+2*INDEX('6-คาน เหล็กเสริม'!$Q:$Q,MATCH($B116,'6-คาน เหล็กเสริม'!$A:$A,0))*INDEX('6-คาน เหล็กเสริม'!$F:$F,MATCH($B116,'6-คาน เหล็กเสริม'!$A:$A,0))/1000)*INDEX('6-คาน เหล็กเสริม'!$F:$F,MATCH($B116,'6-คาน เหล็กเสริม'!$A:$A,0))^2/162</f>
        <v/>
      </c>
      <c r="O116" s="8">
        <f>INDEX('6-คาน เหล็กเสริม'!$G:$G,MATCH($B116,'6-คาน เหล็กเสริม'!$A:$A,0))*(F116+2*INDEX('6-คาน เหล็กเสริม'!$Q:$Q,MATCH($B116,'6-คาน เหล็กเสริม'!$A:$A,0))*INDEX('6-คาน เหล็กเสริม'!$H:$H,MATCH($B116,'6-คาน เหล็กเสริม'!$A:$A,0))/1000)*INDEX('6-คาน เหล็กเสริม'!$H:$H,MATCH($B116,'6-คาน เหล็กเสริม'!$A:$A,0))^2/162</f>
        <v/>
      </c>
      <c r="P116" s="8">
        <f>INDEX('6-คาน เหล็กเสริม'!$I:$I,MATCH($B116,'6-คาน เหล็กเสริม'!$A:$A,0))*2*(0.3*G116+INDEX('6-คาน เหล็กเสริม'!$Q:$Q,MATCH($B116,'6-คาน เหล็กเสริม'!$A:$A,0))*INDEX('6-คาน เหล็กเสริม'!$J:$J,MATCH($B116,'6-คาน เหล็กเสริม'!$A:$A,0))/1000)*INDEX('6-คาน เหล็กเสริม'!$J:$J,MATCH($B116,'6-คาน เหล็กเสริม'!$A:$A,0))^2/162+INDEX('6-คาน เหล็กเสริม'!$K:$K,MATCH($B116,'6-คาน เหล็กเสริม'!$A:$A,0))*0.7*G116*INDEX('6-คาน เหล็กเสริม'!$L:$L,MATCH($B116,'6-คาน เหล็กเสริม'!$A:$A,0))^2/162</f>
        <v/>
      </c>
      <c r="Q116" s="8">
        <f>R116*(2*(H116+I116)-8*INDEX('6-คาน เหล็กเสริม'!$P:$P,MATCH($B116,'6-คาน เหล็กเสริม'!$A:$A,0))+24*INDEX('6-คาน เหล็กเสริม'!$M:$M,MATCH($B116,'6-คาน เหล็กเสริม'!$A:$A,0))/1000)*INDEX('6-คาน เหล็กเสริม'!$M:$M,MATCH($B116,'6-คาน เหล็กเสริม'!$A:$A,0))^2/162</f>
        <v/>
      </c>
      <c r="R116" s="8">
        <f>IF(INDEX('6-คาน เหล็กเสริม'!$M:$M,MATCH($B116,'6-คาน เหล็กเสริม'!$A:$A,0))=0,0,2*ROUNDUP(G116/4/INDEX('6-คาน เหล็กเสริม'!$N:$N,MATCH($B116,'6-คาน เหล็กเสริม'!$A:$A,0)),0)+ROUNDUP(G116/2/INDEX('6-คาน เหล็กเสริม'!$O:$O,MATCH($B116,'6-คาน เหล็กเสริม'!$A:$A,0)),0)+1)</f>
        <v/>
      </c>
      <c r="S116" s="8">
        <f>SUM(N116:Q116)</f>
        <v/>
      </c>
      <c r="T116" s="8" t="inlineStr">
        <is>
          <t>สมมติตามมาตรฐานผนังก่อ (สูง &gt; 3 ม.)</t>
        </is>
      </c>
    </row>
    <row r="117">
      <c r="A117" s="8" t="inlineStr">
        <is>
          <t>TB-023</t>
        </is>
      </c>
      <c r="B117" s="8" t="inlineStr">
        <is>
          <t>TB</t>
        </is>
      </c>
      <c r="C117" s="8" t="inlineStr">
        <is>
          <t>แนว 11</t>
        </is>
      </c>
      <c r="D117" s="8" t="inlineStr">
        <is>
          <t>11/G</t>
        </is>
      </c>
      <c r="E117" s="8" t="inlineStr">
        <is>
          <t>11/H</t>
        </is>
      </c>
      <c r="F117" s="9" t="n">
        <v>6</v>
      </c>
      <c r="G117" s="9" t="n">
        <v>5.7</v>
      </c>
      <c r="H117" s="9" t="n">
        <v>0.15</v>
      </c>
      <c r="I117" s="9" t="n">
        <v>0.1</v>
      </c>
      <c r="J117" s="9" t="n">
        <v>2.7</v>
      </c>
      <c r="K117" s="9" t="n">
        <v>2.6</v>
      </c>
      <c r="L117" s="8">
        <f>H117*I117*G117</f>
        <v/>
      </c>
      <c r="M117" s="8">
        <f>2*I117*G117</f>
        <v/>
      </c>
      <c r="N117" s="8">
        <f>INDEX('6-คาน เหล็กเสริม'!$E:$E,MATCH($B117,'6-คาน เหล็กเสริม'!$A:$A,0))*(F117+2*INDEX('6-คาน เหล็กเสริม'!$Q:$Q,MATCH($B117,'6-คาน เหล็กเสริม'!$A:$A,0))*INDEX('6-คาน เหล็กเสริม'!$F:$F,MATCH($B117,'6-คาน เหล็กเสริม'!$A:$A,0))/1000)*INDEX('6-คาน เหล็กเสริม'!$F:$F,MATCH($B117,'6-คาน เหล็กเสริม'!$A:$A,0))^2/162</f>
        <v/>
      </c>
      <c r="O117" s="8">
        <f>INDEX('6-คาน เหล็กเสริม'!$G:$G,MATCH($B117,'6-คาน เหล็กเสริม'!$A:$A,0))*(F117+2*INDEX('6-คาน เหล็กเสริม'!$Q:$Q,MATCH($B117,'6-คาน เหล็กเสริม'!$A:$A,0))*INDEX('6-คาน เหล็กเสริม'!$H:$H,MATCH($B117,'6-คาน เหล็กเสริม'!$A:$A,0))/1000)*INDEX('6-คาน เหล็กเสริม'!$H:$H,MATCH($B117,'6-คาน เหล็กเสริม'!$A:$A,0))^2/162</f>
        <v/>
      </c>
      <c r="P117" s="8">
        <f>INDEX('6-คาน เหล็กเสริม'!$I:$I,MATCH($B117,'6-คาน เหล็กเสริม'!$A:$A,0))*2*(0.3*G117+INDEX('6-คาน เหล็กเสริม'!$Q:$Q,MATCH($B117,'6-คาน เหล็กเสริม'!$A:$A,0))*INDEX('6-คาน เหล็กเสริม'!$J:$J,MATCH($B117,'6-คาน เหล็กเสริม'!$A:$A,0))/1000)*INDEX('6-คาน เหล็กเสริม'!$J:$J,MATCH($B117,'6-คาน เหล็กเสริม'!$A:$A,0))^2/162+INDEX('6-คาน เหล็กเสริม'!$K:$K,MATCH($B117,'6-คาน เหล็กเสริม'!$A:$A,0))*0.7*G117*INDEX('6-คาน เหล็กเสริม'!$L:$L,MATCH($B117,'6-คาน เหล็กเสริม'!$A:$A,0))^2/162</f>
        <v/>
      </c>
      <c r="Q117" s="8">
        <f>R117*(2*(H117+I117)-8*INDEX('6-คาน เหล็กเสริม'!$P:$P,MATCH($B117,'6-คาน เหล็กเสริม'!$A:$A,0))+24*INDEX('6-คาน เหล็กเสริม'!$M:$M,MATCH($B117,'6-คาน เหล็กเสริม'!$A:$A,0))/1000)*INDEX('6-คาน เหล็กเสริม'!$M:$M,MATCH($B117,'6-คาน เหล็กเสริม'!$A:$A,0))^2/162</f>
        <v/>
      </c>
      <c r="R117" s="8">
        <f>IF(INDEX('6-คาน เหล็กเสริม'!$M:$M,MATCH($B117,'6-คาน เหล็กเสริม'!$A:$A,0))=0,0,2*ROUNDUP(G117/4/INDEX('6-คาน เหล็กเสริม'!$N:$N,MATCH($B117,'6-คาน เหล็กเสริม'!$A:$A,0)),0)+ROUNDUP(G117/2/INDEX('6-คาน เหล็กเสริม'!$O:$O,MATCH($B117,'6-คาน เหล็กเสริม'!$A:$A,0)),0)+1)</f>
        <v/>
      </c>
      <c r="S117" s="8">
        <f>SUM(N117:Q117)</f>
        <v/>
      </c>
      <c r="T117" s="8" t="inlineStr">
        <is>
          <t>สมมติตามมาตรฐานผนังก่อ (สูง &gt; 3 ม.)</t>
        </is>
      </c>
    </row>
    <row r="118">
      <c r="A118" s="8" t="inlineStr">
        <is>
          <t>TB-024</t>
        </is>
      </c>
      <c r="B118" s="8" t="inlineStr">
        <is>
          <t>TB</t>
        </is>
      </c>
      <c r="C118" s="8" t="inlineStr">
        <is>
          <t>แนว 1</t>
        </is>
      </c>
      <c r="D118" s="8" t="inlineStr">
        <is>
          <t>1/H</t>
        </is>
      </c>
      <c r="E118" s="8" t="inlineStr">
        <is>
          <t>1/I</t>
        </is>
      </c>
      <c r="F118" s="9" t="n">
        <v>6</v>
      </c>
      <c r="G118" s="9" t="n">
        <v>5.7</v>
      </c>
      <c r="H118" s="9" t="n">
        <v>0.15</v>
      </c>
      <c r="I118" s="9" t="n">
        <v>0.1</v>
      </c>
      <c r="J118" s="9" t="n">
        <v>2.7</v>
      </c>
      <c r="K118" s="9" t="n">
        <v>2.6</v>
      </c>
      <c r="L118" s="8">
        <f>H118*I118*G118</f>
        <v/>
      </c>
      <c r="M118" s="8">
        <f>2*I118*G118</f>
        <v/>
      </c>
      <c r="N118" s="8">
        <f>INDEX('6-คาน เหล็กเสริม'!$E:$E,MATCH($B118,'6-คาน เหล็กเสริม'!$A:$A,0))*(F118+2*INDEX('6-คาน เหล็กเสริม'!$Q:$Q,MATCH($B118,'6-คาน เหล็กเสริม'!$A:$A,0))*INDEX('6-คาน เหล็กเสริม'!$F:$F,MATCH($B118,'6-คาน เหล็กเสริม'!$A:$A,0))/1000)*INDEX('6-คาน เหล็กเสริม'!$F:$F,MATCH($B118,'6-คาน เหล็กเสริม'!$A:$A,0))^2/162</f>
        <v/>
      </c>
      <c r="O118" s="8">
        <f>INDEX('6-คาน เหล็กเสริม'!$G:$G,MATCH($B118,'6-คาน เหล็กเสริม'!$A:$A,0))*(F118+2*INDEX('6-คาน เหล็กเสริม'!$Q:$Q,MATCH($B118,'6-คาน เหล็กเสริม'!$A:$A,0))*INDEX('6-คาน เหล็กเสริม'!$H:$H,MATCH($B118,'6-คาน เหล็กเสริม'!$A:$A,0))/1000)*INDEX('6-คาน เหล็กเสริม'!$H:$H,MATCH($B118,'6-คาน เหล็กเสริม'!$A:$A,0))^2/162</f>
        <v/>
      </c>
      <c r="P118" s="8">
        <f>INDEX('6-คาน เหล็กเสริม'!$I:$I,MATCH($B118,'6-คาน เหล็กเสริม'!$A:$A,0))*2*(0.3*G118+INDEX('6-คาน เหล็กเสริม'!$Q:$Q,MATCH($B118,'6-คาน เหล็กเสริม'!$A:$A,0))*INDEX('6-คาน เหล็กเสริม'!$J:$J,MATCH($B118,'6-คาน เหล็กเสริม'!$A:$A,0))/1000)*INDEX('6-คาน เหล็กเสริม'!$J:$J,MATCH($B118,'6-คาน เหล็กเสริม'!$A:$A,0))^2/162+INDEX('6-คาน เหล็กเสริม'!$K:$K,MATCH($B118,'6-คาน เหล็กเสริม'!$A:$A,0))*0.7*G118*INDEX('6-คาน เหล็กเสริม'!$L:$L,MATCH($B118,'6-คาน เหล็กเสริม'!$A:$A,0))^2/162</f>
        <v/>
      </c>
      <c r="Q118" s="8">
        <f>R118*(2*(H118+I118)-8*INDEX('6-คาน เหล็กเสริม'!$P:$P,MATCH($B118,'6-คาน เหล็กเสริม'!$A:$A,0))+24*INDEX('6-คาน เหล็กเสริม'!$M:$M,MATCH($B118,'6-คาน เหล็กเสริม'!$A:$A,0))/1000)*INDEX('6-คาน เหล็กเสริม'!$M:$M,MATCH($B118,'6-คาน เหล็กเสริม'!$A:$A,0))^2/162</f>
        <v/>
      </c>
      <c r="R118" s="8">
        <f>IF(INDEX('6-คาน เหล็กเสริม'!$M:$M,MATCH($B118,'6-คาน เหล็กเสริม'!$A:$A,0))=0,0,2*ROUNDUP(G118/4/INDEX('6-คาน เหล็กเสริม'!$N:$N,MATCH($B118,'6-คาน เหล็กเสริม'!$A:$A,0)),0)+ROUNDUP(G118/2/INDEX('6-คาน เหล็กเสริม'!$O:$O,MATCH($B118,'6-คาน เหล็กเสริม'!$A:$A,0)),0)+1)</f>
        <v/>
      </c>
      <c r="S118" s="8">
        <f>SUM(N118:Q118)</f>
        <v/>
      </c>
      <c r="T118" s="8" t="inlineStr">
        <is>
          <t>สมมติตามมาตรฐานผนังก่อ (สูง &gt; 3 ม.)</t>
        </is>
      </c>
    </row>
    <row r="119">
      <c r="A119" s="8" t="inlineStr">
        <is>
          <t>TB-025</t>
        </is>
      </c>
      <c r="B119" s="8" t="inlineStr">
        <is>
          <t>TB</t>
        </is>
      </c>
      <c r="C119" s="8" t="inlineStr">
        <is>
          <t>แนว 11</t>
        </is>
      </c>
      <c r="D119" s="8" t="inlineStr">
        <is>
          <t>11/H</t>
        </is>
      </c>
      <c r="E119" s="8" t="inlineStr">
        <is>
          <t>11/I</t>
        </is>
      </c>
      <c r="F119" s="9" t="n">
        <v>6</v>
      </c>
      <c r="G119" s="9" t="n">
        <v>5.7</v>
      </c>
      <c r="H119" s="9" t="n">
        <v>0.15</v>
      </c>
      <c r="I119" s="9" t="n">
        <v>0.1</v>
      </c>
      <c r="J119" s="9" t="n">
        <v>2.7</v>
      </c>
      <c r="K119" s="9" t="n">
        <v>2.6</v>
      </c>
      <c r="L119" s="8">
        <f>H119*I119*G119</f>
        <v/>
      </c>
      <c r="M119" s="8">
        <f>2*I119*G119</f>
        <v/>
      </c>
      <c r="N119" s="8">
        <f>INDEX('6-คาน เหล็กเสริม'!$E:$E,MATCH($B119,'6-คาน เหล็กเสริม'!$A:$A,0))*(F119+2*INDEX('6-คาน เหล็กเสริม'!$Q:$Q,MATCH($B119,'6-คาน เหล็กเสริม'!$A:$A,0))*INDEX('6-คาน เหล็กเสริม'!$F:$F,MATCH($B119,'6-คาน เหล็กเสริม'!$A:$A,0))/1000)*INDEX('6-คาน เหล็กเสริม'!$F:$F,MATCH($B119,'6-คาน เหล็กเสริม'!$A:$A,0))^2/162</f>
        <v/>
      </c>
      <c r="O119" s="8">
        <f>INDEX('6-คาน เหล็กเสริม'!$G:$G,MATCH($B119,'6-คาน เหล็กเสริม'!$A:$A,0))*(F119+2*INDEX('6-คาน เหล็กเสริม'!$Q:$Q,MATCH($B119,'6-คาน เหล็กเสริม'!$A:$A,0))*INDEX('6-คาน เหล็กเสริม'!$H:$H,MATCH($B119,'6-คาน เหล็กเสริม'!$A:$A,0))/1000)*INDEX('6-คาน เหล็กเสริม'!$H:$H,MATCH($B119,'6-คาน เหล็กเสริม'!$A:$A,0))^2/162</f>
        <v/>
      </c>
      <c r="P119" s="8">
        <f>INDEX('6-คาน เหล็กเสริม'!$I:$I,MATCH($B119,'6-คาน เหล็กเสริม'!$A:$A,0))*2*(0.3*G119+INDEX('6-คาน เหล็กเสริม'!$Q:$Q,MATCH($B119,'6-คาน เหล็กเสริม'!$A:$A,0))*INDEX('6-คาน เหล็กเสริม'!$J:$J,MATCH($B119,'6-คาน เหล็กเสริม'!$A:$A,0))/1000)*INDEX('6-คาน เหล็กเสริม'!$J:$J,MATCH($B119,'6-คาน เหล็กเสริม'!$A:$A,0))^2/162+INDEX('6-คาน เหล็กเสริม'!$K:$K,MATCH($B119,'6-คาน เหล็กเสริม'!$A:$A,0))*0.7*G119*INDEX('6-คาน เหล็กเสริม'!$L:$L,MATCH($B119,'6-คาน เหล็กเสริม'!$A:$A,0))^2/162</f>
        <v/>
      </c>
      <c r="Q119" s="8">
        <f>R119*(2*(H119+I119)-8*INDEX('6-คาน เหล็กเสริม'!$P:$P,MATCH($B119,'6-คาน เหล็กเสริม'!$A:$A,0))+24*INDEX('6-คาน เหล็กเสริม'!$M:$M,MATCH($B119,'6-คาน เหล็กเสริม'!$A:$A,0))/1000)*INDEX('6-คาน เหล็กเสริม'!$M:$M,MATCH($B119,'6-คาน เหล็กเสริม'!$A:$A,0))^2/162</f>
        <v/>
      </c>
      <c r="R119" s="8">
        <f>IF(INDEX('6-คาน เหล็กเสริม'!$M:$M,MATCH($B119,'6-คาน เหล็กเสริม'!$A:$A,0))=0,0,2*ROUNDUP(G119/4/INDEX('6-คาน เหล็กเสริม'!$N:$N,MATCH($B119,'6-คาน เหล็กเสริม'!$A:$A,0)),0)+ROUNDUP(G119/2/INDEX('6-คาน เหล็กเสริม'!$O:$O,MATCH($B119,'6-คาน เหล็กเสริม'!$A:$A,0)),0)+1)</f>
        <v/>
      </c>
      <c r="S119" s="8">
        <f>SUM(N119:Q119)</f>
        <v/>
      </c>
      <c r="T119" s="8" t="inlineStr">
        <is>
          <t>สมมติตามมาตรฐานผนังก่อ (สูง &gt; 3 ม.)</t>
        </is>
      </c>
    </row>
    <row r="120">
      <c r="A120" s="8" t="inlineStr">
        <is>
          <t>TB-026</t>
        </is>
      </c>
      <c r="B120" s="8" t="inlineStr">
        <is>
          <t>TB</t>
        </is>
      </c>
      <c r="C120" s="8" t="inlineStr">
        <is>
          <t>แนว 1</t>
        </is>
      </c>
      <c r="D120" s="8" t="inlineStr">
        <is>
          <t>1/I</t>
        </is>
      </c>
      <c r="E120" s="8" t="inlineStr">
        <is>
          <t>1/J</t>
        </is>
      </c>
      <c r="F120" s="9" t="n">
        <v>6</v>
      </c>
      <c r="G120" s="9" t="n">
        <v>5.7</v>
      </c>
      <c r="H120" s="9" t="n">
        <v>0.15</v>
      </c>
      <c r="I120" s="9" t="n">
        <v>0.1</v>
      </c>
      <c r="J120" s="9" t="n">
        <v>2.7</v>
      </c>
      <c r="K120" s="9" t="n">
        <v>2.6</v>
      </c>
      <c r="L120" s="8">
        <f>H120*I120*G120</f>
        <v/>
      </c>
      <c r="M120" s="8">
        <f>2*I120*G120</f>
        <v/>
      </c>
      <c r="N120" s="8">
        <f>INDEX('6-คาน เหล็กเสริม'!$E:$E,MATCH($B120,'6-คาน เหล็กเสริม'!$A:$A,0))*(F120+2*INDEX('6-คาน เหล็กเสริม'!$Q:$Q,MATCH($B120,'6-คาน เหล็กเสริม'!$A:$A,0))*INDEX('6-คาน เหล็กเสริม'!$F:$F,MATCH($B120,'6-คาน เหล็กเสริม'!$A:$A,0))/1000)*INDEX('6-คาน เหล็กเสริม'!$F:$F,MATCH($B120,'6-คาน เหล็กเสริม'!$A:$A,0))^2/162</f>
        <v/>
      </c>
      <c r="O120" s="8">
        <f>INDEX('6-คาน เหล็กเสริม'!$G:$G,MATCH($B120,'6-คาน เหล็กเสริม'!$A:$A,0))*(F120+2*INDEX('6-คาน เหล็กเสริม'!$Q:$Q,MATCH($B120,'6-คาน เหล็กเสริม'!$A:$A,0))*INDEX('6-คาน เหล็กเสริม'!$H:$H,MATCH($B120,'6-คาน เหล็กเสริม'!$A:$A,0))/1000)*INDEX('6-คาน เหล็กเสริม'!$H:$H,MATCH($B120,'6-คาน เหล็กเสริม'!$A:$A,0))^2/162</f>
        <v/>
      </c>
      <c r="P120" s="8">
        <f>INDEX('6-คาน เหล็กเสริม'!$I:$I,MATCH($B120,'6-คาน เหล็กเสริม'!$A:$A,0))*2*(0.3*G120+INDEX('6-คาน เหล็กเสริม'!$Q:$Q,MATCH($B120,'6-คาน เหล็กเสริม'!$A:$A,0))*INDEX('6-คาน เหล็กเสริม'!$J:$J,MATCH($B120,'6-คาน เหล็กเสริม'!$A:$A,0))/1000)*INDEX('6-คาน เหล็กเสริม'!$J:$J,MATCH($B120,'6-คาน เหล็กเสริม'!$A:$A,0))^2/162+INDEX('6-คาน เหล็กเสริม'!$K:$K,MATCH($B120,'6-คาน เหล็กเสริม'!$A:$A,0))*0.7*G120*INDEX('6-คาน เหล็กเสริม'!$L:$L,MATCH($B120,'6-คาน เหล็กเสริม'!$A:$A,0))^2/162</f>
        <v/>
      </c>
      <c r="Q120" s="8">
        <f>R120*(2*(H120+I120)-8*INDEX('6-คาน เหล็กเสริม'!$P:$P,MATCH($B120,'6-คาน เหล็กเสริม'!$A:$A,0))+24*INDEX('6-คาน เหล็กเสริม'!$M:$M,MATCH($B120,'6-คาน เหล็กเสริม'!$A:$A,0))/1000)*INDEX('6-คาน เหล็กเสริม'!$M:$M,MATCH($B120,'6-คาน เหล็กเสริม'!$A:$A,0))^2/162</f>
        <v/>
      </c>
      <c r="R120" s="8">
        <f>IF(INDEX('6-คาน เหล็กเสริม'!$M:$M,MATCH($B120,'6-คาน เหล็กเสริม'!$A:$A,0))=0,0,2*ROUNDUP(G120/4/INDEX('6-คาน เหล็กเสริม'!$N:$N,MATCH($B120,'6-คาน เหล็กเสริม'!$A:$A,0)),0)+ROUNDUP(G120/2/INDEX('6-คาน เหล็กเสริม'!$O:$O,MATCH($B120,'6-คาน เหล็กเสริม'!$A:$A,0)),0)+1)</f>
        <v/>
      </c>
      <c r="S120" s="8">
        <f>SUM(N120:Q120)</f>
        <v/>
      </c>
      <c r="T120" s="8" t="inlineStr">
        <is>
          <t>สมมติตามมาตรฐานผนังก่อ (สูง &gt; 3 ม.)</t>
        </is>
      </c>
    </row>
    <row r="121">
      <c r="A121" s="8" t="inlineStr">
        <is>
          <t>TB-027</t>
        </is>
      </c>
      <c r="B121" s="8" t="inlineStr">
        <is>
          <t>TB</t>
        </is>
      </c>
      <c r="C121" s="8" t="inlineStr">
        <is>
          <t>แนว 11</t>
        </is>
      </c>
      <c r="D121" s="8" t="inlineStr">
        <is>
          <t>11/I</t>
        </is>
      </c>
      <c r="E121" s="8" t="inlineStr">
        <is>
          <t>11/J</t>
        </is>
      </c>
      <c r="F121" s="9" t="n">
        <v>6</v>
      </c>
      <c r="G121" s="9" t="n">
        <v>5.7</v>
      </c>
      <c r="H121" s="9" t="n">
        <v>0.15</v>
      </c>
      <c r="I121" s="9" t="n">
        <v>0.1</v>
      </c>
      <c r="J121" s="9" t="n">
        <v>2.7</v>
      </c>
      <c r="K121" s="9" t="n">
        <v>2.6</v>
      </c>
      <c r="L121" s="8">
        <f>H121*I121*G121</f>
        <v/>
      </c>
      <c r="M121" s="8">
        <f>2*I121*G121</f>
        <v/>
      </c>
      <c r="N121" s="8">
        <f>INDEX('6-คาน เหล็กเสริม'!$E:$E,MATCH($B121,'6-คาน เหล็กเสริม'!$A:$A,0))*(F121+2*INDEX('6-คาน เหล็กเสริม'!$Q:$Q,MATCH($B121,'6-คาน เหล็กเสริม'!$A:$A,0))*INDEX('6-คาน เหล็กเสริม'!$F:$F,MATCH($B121,'6-คาน เหล็กเสริม'!$A:$A,0))/1000)*INDEX('6-คาน เหล็กเสริม'!$F:$F,MATCH($B121,'6-คาน เหล็กเสริม'!$A:$A,0))^2/162</f>
        <v/>
      </c>
      <c r="O121" s="8">
        <f>INDEX('6-คาน เหล็กเสริม'!$G:$G,MATCH($B121,'6-คาน เหล็กเสริม'!$A:$A,0))*(F121+2*INDEX('6-คาน เหล็กเสริม'!$Q:$Q,MATCH($B121,'6-คาน เหล็กเสริม'!$A:$A,0))*INDEX('6-คาน เหล็กเสริม'!$H:$H,MATCH($B121,'6-คาน เหล็กเสริม'!$A:$A,0))/1000)*INDEX('6-คาน เหล็กเสริม'!$H:$H,MATCH($B121,'6-คาน เหล็กเสริม'!$A:$A,0))^2/162</f>
        <v/>
      </c>
      <c r="P121" s="8">
        <f>INDEX('6-คาน เหล็กเสริม'!$I:$I,MATCH($B121,'6-คาน เหล็กเสริม'!$A:$A,0))*2*(0.3*G121+INDEX('6-คาน เหล็กเสริม'!$Q:$Q,MATCH($B121,'6-คาน เหล็กเสริม'!$A:$A,0))*INDEX('6-คาน เหล็กเสริม'!$J:$J,MATCH($B121,'6-คาน เหล็กเสริม'!$A:$A,0))/1000)*INDEX('6-คาน เหล็กเสริม'!$J:$J,MATCH($B121,'6-คาน เหล็กเสริม'!$A:$A,0))^2/162+INDEX('6-คาน เหล็กเสริม'!$K:$K,MATCH($B121,'6-คาน เหล็กเสริม'!$A:$A,0))*0.7*G121*INDEX('6-คาน เหล็กเสริม'!$L:$L,MATCH($B121,'6-คาน เหล็กเสริม'!$A:$A,0))^2/162</f>
        <v/>
      </c>
      <c r="Q121" s="8">
        <f>R121*(2*(H121+I121)-8*INDEX('6-คาน เหล็กเสริม'!$P:$P,MATCH($B121,'6-คาน เหล็กเสริม'!$A:$A,0))+24*INDEX('6-คาน เหล็กเสริม'!$M:$M,MATCH($B121,'6-คาน เหล็กเสริม'!$A:$A,0))/1000)*INDEX('6-คาน เหล็กเสริม'!$M:$M,MATCH($B121,'6-คาน เหล็กเสริม'!$A:$A,0))^2/162</f>
        <v/>
      </c>
      <c r="R121" s="8">
        <f>IF(INDEX('6-คาน เหล็กเสริม'!$M:$M,MATCH($B121,'6-คาน เหล็กเสริม'!$A:$A,0))=0,0,2*ROUNDUP(G121/4/INDEX('6-คาน เหล็กเสริม'!$N:$N,MATCH($B121,'6-คาน เหล็กเสริม'!$A:$A,0)),0)+ROUNDUP(G121/2/INDEX('6-คาน เหล็กเสริม'!$O:$O,MATCH($B121,'6-คาน เหล็กเสริม'!$A:$A,0)),0)+1)</f>
        <v/>
      </c>
      <c r="S121" s="8">
        <f>SUM(N121:Q121)</f>
        <v/>
      </c>
      <c r="T121" s="8" t="inlineStr">
        <is>
          <t>สมมติตามมาตรฐานผนังก่อ (สูง &gt; 3 ม.)</t>
        </is>
      </c>
    </row>
    <row r="122">
      <c r="A122" s="8" t="inlineStr">
        <is>
          <t>TB-028</t>
        </is>
      </c>
      <c r="B122" s="8" t="inlineStr">
        <is>
          <t>TB</t>
        </is>
      </c>
      <c r="C122" s="8" t="inlineStr">
        <is>
          <t>แนว J</t>
        </is>
      </c>
      <c r="D122" s="8" t="inlineStr">
        <is>
          <t>1/J</t>
        </is>
      </c>
      <c r="E122" s="8" t="inlineStr">
        <is>
          <t>2/J</t>
        </is>
      </c>
      <c r="F122" s="9" t="n">
        <v>6</v>
      </c>
      <c r="G122" s="9" t="n">
        <v>5.7</v>
      </c>
      <c r="H122" s="9" t="n">
        <v>0.15</v>
      </c>
      <c r="I122" s="9" t="n">
        <v>0.1</v>
      </c>
      <c r="J122" s="9" t="n">
        <v>2.7</v>
      </c>
      <c r="K122" s="9" t="n">
        <v>2.6</v>
      </c>
      <c r="L122" s="8">
        <f>H122*I122*G122</f>
        <v/>
      </c>
      <c r="M122" s="8">
        <f>2*I122*G122</f>
        <v/>
      </c>
      <c r="N122" s="8">
        <f>INDEX('6-คาน เหล็กเสริม'!$E:$E,MATCH($B122,'6-คาน เหล็กเสริม'!$A:$A,0))*(F122+2*INDEX('6-คาน เหล็กเสริม'!$Q:$Q,MATCH($B122,'6-คาน เหล็กเสริม'!$A:$A,0))*INDEX('6-คาน เหล็กเสริม'!$F:$F,MATCH($B122,'6-คาน เหล็กเสริม'!$A:$A,0))/1000)*INDEX('6-คาน เหล็กเสริม'!$F:$F,MATCH($B122,'6-คาน เหล็กเสริม'!$A:$A,0))^2/162</f>
        <v/>
      </c>
      <c r="O122" s="8">
        <f>INDEX('6-คาน เหล็กเสริม'!$G:$G,MATCH($B122,'6-คาน เหล็กเสริม'!$A:$A,0))*(F122+2*INDEX('6-คาน เหล็กเสริม'!$Q:$Q,MATCH($B122,'6-คาน เหล็กเสริม'!$A:$A,0))*INDEX('6-คาน เหล็กเสริม'!$H:$H,MATCH($B122,'6-คาน เหล็กเสริม'!$A:$A,0))/1000)*INDEX('6-คาน เหล็กเสริม'!$H:$H,MATCH($B122,'6-คาน เหล็กเสริม'!$A:$A,0))^2/162</f>
        <v/>
      </c>
      <c r="P122" s="8">
        <f>INDEX('6-คาน เหล็กเสริม'!$I:$I,MATCH($B122,'6-คาน เหล็กเสริม'!$A:$A,0))*2*(0.3*G122+INDEX('6-คาน เหล็กเสริม'!$Q:$Q,MATCH($B122,'6-คาน เหล็กเสริม'!$A:$A,0))*INDEX('6-คาน เหล็กเสริม'!$J:$J,MATCH($B122,'6-คาน เหล็กเสริม'!$A:$A,0))/1000)*INDEX('6-คาน เหล็กเสริม'!$J:$J,MATCH($B122,'6-คาน เหล็กเสริม'!$A:$A,0))^2/162+INDEX('6-คาน เหล็กเสริม'!$K:$K,MATCH($B122,'6-คาน เหล็กเสริม'!$A:$A,0))*0.7*G122*INDEX('6-คาน เหล็กเสริม'!$L:$L,MATCH($B122,'6-คาน เหล็กเสริม'!$A:$A,0))^2/162</f>
        <v/>
      </c>
      <c r="Q122" s="8">
        <f>R122*(2*(H122+I122)-8*INDEX('6-คาน เหล็กเสริม'!$P:$P,MATCH($B122,'6-คาน เหล็กเสริม'!$A:$A,0))+24*INDEX('6-คาน เหล็กเสริม'!$M:$M,MATCH($B122,'6-คาน เหล็กเสริม'!$A:$A,0))/1000)*INDEX('6-คาน เหล็กเสริม'!$M:$M,MATCH($B122,'6-คาน เหล็กเสริม'!$A:$A,0))^2/162</f>
        <v/>
      </c>
      <c r="R122" s="8">
        <f>IF(INDEX('6-คาน เหล็กเสริม'!$M:$M,MATCH($B122,'6-คาน เหล็กเสริม'!$A:$A,0))=0,0,2*ROUNDUP(G122/4/INDEX('6-คาน เหล็กเสริม'!$N:$N,MATCH($B122,'6-คาน เหล็กเสริม'!$A:$A,0)),0)+ROUNDUP(G122/2/INDEX('6-คาน เหล็กเสริม'!$O:$O,MATCH($B122,'6-คาน เหล็กเสริม'!$A:$A,0)),0)+1)</f>
        <v/>
      </c>
      <c r="S122" s="8">
        <f>SUM(N122:Q122)</f>
        <v/>
      </c>
      <c r="T122" s="8" t="inlineStr">
        <is>
          <t>สมมติตามมาตรฐานผนังก่อ (สูง &gt; 3 ม.)</t>
        </is>
      </c>
    </row>
    <row r="123">
      <c r="A123" s="8" t="inlineStr">
        <is>
          <t>TB-029</t>
        </is>
      </c>
      <c r="B123" s="8" t="inlineStr">
        <is>
          <t>TB</t>
        </is>
      </c>
      <c r="C123" s="8" t="inlineStr">
        <is>
          <t>แนว J</t>
        </is>
      </c>
      <c r="D123" s="8" t="inlineStr">
        <is>
          <t>2/J</t>
        </is>
      </c>
      <c r="E123" s="8" t="inlineStr">
        <is>
          <t>3/J</t>
        </is>
      </c>
      <c r="F123" s="9" t="n">
        <v>6</v>
      </c>
      <c r="G123" s="9" t="n">
        <v>5.7</v>
      </c>
      <c r="H123" s="9" t="n">
        <v>0.15</v>
      </c>
      <c r="I123" s="9" t="n">
        <v>0.1</v>
      </c>
      <c r="J123" s="9" t="n">
        <v>2.7</v>
      </c>
      <c r="K123" s="9" t="n">
        <v>2.6</v>
      </c>
      <c r="L123" s="8">
        <f>H123*I123*G123</f>
        <v/>
      </c>
      <c r="M123" s="8">
        <f>2*I123*G123</f>
        <v/>
      </c>
      <c r="N123" s="8">
        <f>INDEX('6-คาน เหล็กเสริม'!$E:$E,MATCH($B123,'6-คาน เหล็กเสริม'!$A:$A,0))*(F123+2*INDEX('6-คาน เหล็กเสริม'!$Q:$Q,MATCH($B123,'6-คาน เหล็กเสริม'!$A:$A,0))*INDEX('6-คาน เหล็กเสริม'!$F:$F,MATCH($B123,'6-คาน เหล็กเสริม'!$A:$A,0))/1000)*INDEX('6-คาน เหล็กเสริม'!$F:$F,MATCH($B123,'6-คาน เหล็กเสริม'!$A:$A,0))^2/162</f>
        <v/>
      </c>
      <c r="O123" s="8">
        <f>INDEX('6-คาน เหล็กเสริม'!$G:$G,MATCH($B123,'6-คาน เหล็กเสริม'!$A:$A,0))*(F123+2*INDEX('6-คาน เหล็กเสริม'!$Q:$Q,MATCH($B123,'6-คาน เหล็กเสริม'!$A:$A,0))*INDEX('6-คาน เหล็กเสริม'!$H:$H,MATCH($B123,'6-คาน เหล็กเสริม'!$A:$A,0))/1000)*INDEX('6-คาน เหล็กเสริม'!$H:$H,MATCH($B123,'6-คาน เหล็กเสริม'!$A:$A,0))^2/162</f>
        <v/>
      </c>
      <c r="P123" s="8">
        <f>INDEX('6-คาน เหล็กเสริม'!$I:$I,MATCH($B123,'6-คาน เหล็กเสริม'!$A:$A,0))*2*(0.3*G123+INDEX('6-คาน เหล็กเสริม'!$Q:$Q,MATCH($B123,'6-คาน เหล็กเสริม'!$A:$A,0))*INDEX('6-คาน เหล็กเสริม'!$J:$J,MATCH($B123,'6-คาน เหล็กเสริม'!$A:$A,0))/1000)*INDEX('6-คาน เหล็กเสริม'!$J:$J,MATCH($B123,'6-คาน เหล็กเสริม'!$A:$A,0))^2/162+INDEX('6-คาน เหล็กเสริม'!$K:$K,MATCH($B123,'6-คาน เหล็กเสริม'!$A:$A,0))*0.7*G123*INDEX('6-คาน เหล็กเสริม'!$L:$L,MATCH($B123,'6-คาน เหล็กเสริม'!$A:$A,0))^2/162</f>
        <v/>
      </c>
      <c r="Q123" s="8">
        <f>R123*(2*(H123+I123)-8*INDEX('6-คาน เหล็กเสริม'!$P:$P,MATCH($B123,'6-คาน เหล็กเสริม'!$A:$A,0))+24*INDEX('6-คาน เหล็กเสริม'!$M:$M,MATCH($B123,'6-คาน เหล็กเสริม'!$A:$A,0))/1000)*INDEX('6-คาน เหล็กเสริม'!$M:$M,MATCH($B123,'6-คาน เหล็กเสริม'!$A:$A,0))^2/162</f>
        <v/>
      </c>
      <c r="R123" s="8">
        <f>IF(INDEX('6-คาน เหล็กเสริม'!$M:$M,MATCH($B123,'6-คาน เหล็กเสริม'!$A:$A,0))=0,0,2*ROUNDUP(G123/4/INDEX('6-คาน เหล็กเสริม'!$N:$N,MATCH($B123,'6-คาน เหล็กเสริม'!$A:$A,0)),0)+ROUNDUP(G123/2/INDEX('6-คาน เหล็กเสริม'!$O:$O,MATCH($B123,'6-คาน เหล็กเสริม'!$A:$A,0)),0)+1)</f>
        <v/>
      </c>
      <c r="S123" s="8">
        <f>SUM(N123:Q123)</f>
        <v/>
      </c>
      <c r="T123" s="8" t="inlineStr">
        <is>
          <t>สมมติตามมาตรฐานผนังก่อ (สูง &gt; 3 ม.)</t>
        </is>
      </c>
    </row>
    <row r="124">
      <c r="A124" s="8" t="inlineStr">
        <is>
          <t>TB-030</t>
        </is>
      </c>
      <c r="B124" s="8" t="inlineStr">
        <is>
          <t>TB</t>
        </is>
      </c>
      <c r="C124" s="8" t="inlineStr">
        <is>
          <t>แนว J</t>
        </is>
      </c>
      <c r="D124" s="8" t="inlineStr">
        <is>
          <t>3/J</t>
        </is>
      </c>
      <c r="E124" s="8" t="inlineStr">
        <is>
          <t>4/J</t>
        </is>
      </c>
      <c r="F124" s="9" t="n">
        <v>6</v>
      </c>
      <c r="G124" s="9" t="n">
        <v>5.7</v>
      </c>
      <c r="H124" s="9" t="n">
        <v>0.15</v>
      </c>
      <c r="I124" s="9" t="n">
        <v>0.1</v>
      </c>
      <c r="J124" s="9" t="n">
        <v>2.7</v>
      </c>
      <c r="K124" s="9" t="n">
        <v>2.6</v>
      </c>
      <c r="L124" s="8">
        <f>H124*I124*G124</f>
        <v/>
      </c>
      <c r="M124" s="8">
        <f>2*I124*G124</f>
        <v/>
      </c>
      <c r="N124" s="8">
        <f>INDEX('6-คาน เหล็กเสริม'!$E:$E,MATCH($B124,'6-คาน เหล็กเสริม'!$A:$A,0))*(F124+2*INDEX('6-คาน เหล็กเสริม'!$Q:$Q,MATCH($B124,'6-คาน เหล็กเสริม'!$A:$A,0))*INDEX('6-คาน เหล็กเสริม'!$F:$F,MATCH($B124,'6-คาน เหล็กเสริม'!$A:$A,0))/1000)*INDEX('6-คาน เหล็กเสริม'!$F:$F,MATCH($B124,'6-คาน เหล็กเสริม'!$A:$A,0))^2/162</f>
        <v/>
      </c>
      <c r="O124" s="8">
        <f>INDEX('6-คาน เหล็กเสริม'!$G:$G,MATCH($B124,'6-คาน เหล็กเสริม'!$A:$A,0))*(F124+2*INDEX('6-คาน เหล็กเสริม'!$Q:$Q,MATCH($B124,'6-คาน เหล็กเสริม'!$A:$A,0))*INDEX('6-คาน เหล็กเสริม'!$H:$H,MATCH($B124,'6-คาน เหล็กเสริม'!$A:$A,0))/1000)*INDEX('6-คาน เหล็กเสริม'!$H:$H,MATCH($B124,'6-คาน เหล็กเสริม'!$A:$A,0))^2/162</f>
        <v/>
      </c>
      <c r="P124" s="8">
        <f>INDEX('6-คาน เหล็กเสริม'!$I:$I,MATCH($B124,'6-คาน เหล็กเสริม'!$A:$A,0))*2*(0.3*G124+INDEX('6-คาน เหล็กเสริม'!$Q:$Q,MATCH($B124,'6-คาน เหล็กเสริม'!$A:$A,0))*INDEX('6-คาน เหล็กเสริม'!$J:$J,MATCH($B124,'6-คาน เหล็กเสริม'!$A:$A,0))/1000)*INDEX('6-คาน เหล็กเสริม'!$J:$J,MATCH($B124,'6-คาน เหล็กเสริม'!$A:$A,0))^2/162+INDEX('6-คาน เหล็กเสริม'!$K:$K,MATCH($B124,'6-คาน เหล็กเสริม'!$A:$A,0))*0.7*G124*INDEX('6-คาน เหล็กเสริม'!$L:$L,MATCH($B124,'6-คาน เหล็กเสริม'!$A:$A,0))^2/162</f>
        <v/>
      </c>
      <c r="Q124" s="8">
        <f>R124*(2*(H124+I124)-8*INDEX('6-คาน เหล็กเสริม'!$P:$P,MATCH($B124,'6-คาน เหล็กเสริม'!$A:$A,0))+24*INDEX('6-คาน เหล็กเสริม'!$M:$M,MATCH($B124,'6-คาน เหล็กเสริม'!$A:$A,0))/1000)*INDEX('6-คาน เหล็กเสริม'!$M:$M,MATCH($B124,'6-คาน เหล็กเสริม'!$A:$A,0))^2/162</f>
        <v/>
      </c>
      <c r="R124" s="8">
        <f>IF(INDEX('6-คาน เหล็กเสริม'!$M:$M,MATCH($B124,'6-คาน เหล็กเสริม'!$A:$A,0))=0,0,2*ROUNDUP(G124/4/INDEX('6-คาน เหล็กเสริม'!$N:$N,MATCH($B124,'6-คาน เหล็กเสริม'!$A:$A,0)),0)+ROUNDUP(G124/2/INDEX('6-คาน เหล็กเสริม'!$O:$O,MATCH($B124,'6-คาน เหล็กเสริม'!$A:$A,0)),0)+1)</f>
        <v/>
      </c>
      <c r="S124" s="8">
        <f>SUM(N124:Q124)</f>
        <v/>
      </c>
      <c r="T124" s="8" t="inlineStr">
        <is>
          <t>สมมติตามมาตรฐานผนังก่อ (สูง &gt; 3 ม.)</t>
        </is>
      </c>
    </row>
    <row r="125">
      <c r="A125" s="8" t="inlineStr">
        <is>
          <t>TB-031</t>
        </is>
      </c>
      <c r="B125" s="8" t="inlineStr">
        <is>
          <t>TB</t>
        </is>
      </c>
      <c r="C125" s="8" t="inlineStr">
        <is>
          <t>แนว J</t>
        </is>
      </c>
      <c r="D125" s="8" t="inlineStr">
        <is>
          <t>4/J</t>
        </is>
      </c>
      <c r="E125" s="8" t="inlineStr">
        <is>
          <t>5/J</t>
        </is>
      </c>
      <c r="F125" s="9" t="n">
        <v>6</v>
      </c>
      <c r="G125" s="9" t="n">
        <v>5.7</v>
      </c>
      <c r="H125" s="9" t="n">
        <v>0.15</v>
      </c>
      <c r="I125" s="9" t="n">
        <v>0.1</v>
      </c>
      <c r="J125" s="9" t="n">
        <v>2.7</v>
      </c>
      <c r="K125" s="9" t="n">
        <v>2.6</v>
      </c>
      <c r="L125" s="8">
        <f>H125*I125*G125</f>
        <v/>
      </c>
      <c r="M125" s="8">
        <f>2*I125*G125</f>
        <v/>
      </c>
      <c r="N125" s="8">
        <f>INDEX('6-คาน เหล็กเสริม'!$E:$E,MATCH($B125,'6-คาน เหล็กเสริม'!$A:$A,0))*(F125+2*INDEX('6-คาน เหล็กเสริม'!$Q:$Q,MATCH($B125,'6-คาน เหล็กเสริม'!$A:$A,0))*INDEX('6-คาน เหล็กเสริม'!$F:$F,MATCH($B125,'6-คาน เหล็กเสริม'!$A:$A,0))/1000)*INDEX('6-คาน เหล็กเสริม'!$F:$F,MATCH($B125,'6-คาน เหล็กเสริม'!$A:$A,0))^2/162</f>
        <v/>
      </c>
      <c r="O125" s="8">
        <f>INDEX('6-คาน เหล็กเสริม'!$G:$G,MATCH($B125,'6-คาน เหล็กเสริม'!$A:$A,0))*(F125+2*INDEX('6-คาน เหล็กเสริม'!$Q:$Q,MATCH($B125,'6-คาน เหล็กเสริม'!$A:$A,0))*INDEX('6-คาน เหล็กเสริม'!$H:$H,MATCH($B125,'6-คาน เหล็กเสริม'!$A:$A,0))/1000)*INDEX('6-คาน เหล็กเสริม'!$H:$H,MATCH($B125,'6-คาน เหล็กเสริม'!$A:$A,0))^2/162</f>
        <v/>
      </c>
      <c r="P125" s="8">
        <f>INDEX('6-คาน เหล็กเสริม'!$I:$I,MATCH($B125,'6-คาน เหล็กเสริม'!$A:$A,0))*2*(0.3*G125+INDEX('6-คาน เหล็กเสริม'!$Q:$Q,MATCH($B125,'6-คาน เหล็กเสริม'!$A:$A,0))*INDEX('6-คาน เหล็กเสริม'!$J:$J,MATCH($B125,'6-คาน เหล็กเสริม'!$A:$A,0))/1000)*INDEX('6-คาน เหล็กเสริม'!$J:$J,MATCH($B125,'6-คาน เหล็กเสริม'!$A:$A,0))^2/162+INDEX('6-คาน เหล็กเสริม'!$K:$K,MATCH($B125,'6-คาน เหล็กเสริม'!$A:$A,0))*0.7*G125*INDEX('6-คาน เหล็กเสริม'!$L:$L,MATCH($B125,'6-คาน เหล็กเสริม'!$A:$A,0))^2/162</f>
        <v/>
      </c>
      <c r="Q125" s="8">
        <f>R125*(2*(H125+I125)-8*INDEX('6-คาน เหล็กเสริม'!$P:$P,MATCH($B125,'6-คาน เหล็กเสริม'!$A:$A,0))+24*INDEX('6-คาน เหล็กเสริม'!$M:$M,MATCH($B125,'6-คาน เหล็กเสริม'!$A:$A,0))/1000)*INDEX('6-คาน เหล็กเสริม'!$M:$M,MATCH($B125,'6-คาน เหล็กเสริม'!$A:$A,0))^2/162</f>
        <v/>
      </c>
      <c r="R125" s="8">
        <f>IF(INDEX('6-คาน เหล็กเสริม'!$M:$M,MATCH($B125,'6-คาน เหล็กเสริม'!$A:$A,0))=0,0,2*ROUNDUP(G125/4/INDEX('6-คาน เหล็กเสริม'!$N:$N,MATCH($B125,'6-คาน เหล็กเสริม'!$A:$A,0)),0)+ROUNDUP(G125/2/INDEX('6-คาน เหล็กเสริม'!$O:$O,MATCH($B125,'6-คาน เหล็กเสริม'!$A:$A,0)),0)+1)</f>
        <v/>
      </c>
      <c r="S125" s="8">
        <f>SUM(N125:Q125)</f>
        <v/>
      </c>
      <c r="T125" s="8" t="inlineStr">
        <is>
          <t>สมมติตามมาตรฐานผนังก่อ (สูง &gt; 3 ม.)</t>
        </is>
      </c>
    </row>
    <row r="126">
      <c r="A126" s="8" t="inlineStr">
        <is>
          <t>TB-032</t>
        </is>
      </c>
      <c r="B126" s="8" t="inlineStr">
        <is>
          <t>TB</t>
        </is>
      </c>
      <c r="C126" s="8" t="inlineStr">
        <is>
          <t>แนว J</t>
        </is>
      </c>
      <c r="D126" s="8" t="inlineStr">
        <is>
          <t>5/J</t>
        </is>
      </c>
      <c r="E126" s="8" t="inlineStr">
        <is>
          <t>6/J</t>
        </is>
      </c>
      <c r="F126" s="9" t="n">
        <v>6</v>
      </c>
      <c r="G126" s="9" t="n">
        <v>5.7</v>
      </c>
      <c r="H126" s="9" t="n">
        <v>0.15</v>
      </c>
      <c r="I126" s="9" t="n">
        <v>0.1</v>
      </c>
      <c r="J126" s="9" t="n">
        <v>2.7</v>
      </c>
      <c r="K126" s="9" t="n">
        <v>2.6</v>
      </c>
      <c r="L126" s="8">
        <f>H126*I126*G126</f>
        <v/>
      </c>
      <c r="M126" s="8">
        <f>2*I126*G126</f>
        <v/>
      </c>
      <c r="N126" s="8">
        <f>INDEX('6-คาน เหล็กเสริม'!$E:$E,MATCH($B126,'6-คาน เหล็กเสริม'!$A:$A,0))*(F126+2*INDEX('6-คาน เหล็กเสริม'!$Q:$Q,MATCH($B126,'6-คาน เหล็กเสริม'!$A:$A,0))*INDEX('6-คาน เหล็กเสริม'!$F:$F,MATCH($B126,'6-คาน เหล็กเสริม'!$A:$A,0))/1000)*INDEX('6-คาน เหล็กเสริม'!$F:$F,MATCH($B126,'6-คาน เหล็กเสริม'!$A:$A,0))^2/162</f>
        <v/>
      </c>
      <c r="O126" s="8">
        <f>INDEX('6-คาน เหล็กเสริม'!$G:$G,MATCH($B126,'6-คาน เหล็กเสริม'!$A:$A,0))*(F126+2*INDEX('6-คาน เหล็กเสริม'!$Q:$Q,MATCH($B126,'6-คาน เหล็กเสริม'!$A:$A,0))*INDEX('6-คาน เหล็กเสริม'!$H:$H,MATCH($B126,'6-คาน เหล็กเสริม'!$A:$A,0))/1000)*INDEX('6-คาน เหล็กเสริม'!$H:$H,MATCH($B126,'6-คาน เหล็กเสริม'!$A:$A,0))^2/162</f>
        <v/>
      </c>
      <c r="P126" s="8">
        <f>INDEX('6-คาน เหล็กเสริม'!$I:$I,MATCH($B126,'6-คาน เหล็กเสริม'!$A:$A,0))*2*(0.3*G126+INDEX('6-คาน เหล็กเสริม'!$Q:$Q,MATCH($B126,'6-คาน เหล็กเสริม'!$A:$A,0))*INDEX('6-คาน เหล็กเสริม'!$J:$J,MATCH($B126,'6-คาน เหล็กเสริม'!$A:$A,0))/1000)*INDEX('6-คาน เหล็กเสริม'!$J:$J,MATCH($B126,'6-คาน เหล็กเสริม'!$A:$A,0))^2/162+INDEX('6-คาน เหล็กเสริม'!$K:$K,MATCH($B126,'6-คาน เหล็กเสริม'!$A:$A,0))*0.7*G126*INDEX('6-คาน เหล็กเสริม'!$L:$L,MATCH($B126,'6-คาน เหล็กเสริม'!$A:$A,0))^2/162</f>
        <v/>
      </c>
      <c r="Q126" s="8">
        <f>R126*(2*(H126+I126)-8*INDEX('6-คาน เหล็กเสริม'!$P:$P,MATCH($B126,'6-คาน เหล็กเสริม'!$A:$A,0))+24*INDEX('6-คาน เหล็กเสริม'!$M:$M,MATCH($B126,'6-คาน เหล็กเสริม'!$A:$A,0))/1000)*INDEX('6-คาน เหล็กเสริม'!$M:$M,MATCH($B126,'6-คาน เหล็กเสริม'!$A:$A,0))^2/162</f>
        <v/>
      </c>
      <c r="R126" s="8">
        <f>IF(INDEX('6-คาน เหล็กเสริม'!$M:$M,MATCH($B126,'6-คาน เหล็กเสริม'!$A:$A,0))=0,0,2*ROUNDUP(G126/4/INDEX('6-คาน เหล็กเสริม'!$N:$N,MATCH($B126,'6-คาน เหล็กเสริม'!$A:$A,0)),0)+ROUNDUP(G126/2/INDEX('6-คาน เหล็กเสริม'!$O:$O,MATCH($B126,'6-คาน เหล็กเสริม'!$A:$A,0)),0)+1)</f>
        <v/>
      </c>
      <c r="S126" s="8">
        <f>SUM(N126:Q126)</f>
        <v/>
      </c>
      <c r="T126" s="8" t="inlineStr">
        <is>
          <t>สมมติตามมาตรฐานผนังก่อ (สูง &gt; 3 ม.)</t>
        </is>
      </c>
    </row>
    <row r="127">
      <c r="A127" s="8" t="inlineStr">
        <is>
          <t>TB-033</t>
        </is>
      </c>
      <c r="B127" s="8" t="inlineStr">
        <is>
          <t>TB</t>
        </is>
      </c>
      <c r="C127" s="8" t="inlineStr">
        <is>
          <t>แนว J</t>
        </is>
      </c>
      <c r="D127" s="8" t="inlineStr">
        <is>
          <t>6/J</t>
        </is>
      </c>
      <c r="E127" s="8" t="inlineStr">
        <is>
          <t>7/J</t>
        </is>
      </c>
      <c r="F127" s="9" t="n">
        <v>6</v>
      </c>
      <c r="G127" s="9" t="n">
        <v>5.7</v>
      </c>
      <c r="H127" s="9" t="n">
        <v>0.15</v>
      </c>
      <c r="I127" s="9" t="n">
        <v>0.1</v>
      </c>
      <c r="J127" s="9" t="n">
        <v>2.7</v>
      </c>
      <c r="K127" s="9" t="n">
        <v>2.6</v>
      </c>
      <c r="L127" s="8">
        <f>H127*I127*G127</f>
        <v/>
      </c>
      <c r="M127" s="8">
        <f>2*I127*G127</f>
        <v/>
      </c>
      <c r="N127" s="8">
        <f>INDEX('6-คาน เหล็กเสริม'!$E:$E,MATCH($B127,'6-คาน เหล็กเสริม'!$A:$A,0))*(F127+2*INDEX('6-คาน เหล็กเสริม'!$Q:$Q,MATCH($B127,'6-คาน เหล็กเสริม'!$A:$A,0))*INDEX('6-คาน เหล็กเสริม'!$F:$F,MATCH($B127,'6-คาน เหล็กเสริม'!$A:$A,0))/1000)*INDEX('6-คาน เหล็กเสริม'!$F:$F,MATCH($B127,'6-คาน เหล็กเสริม'!$A:$A,0))^2/162</f>
        <v/>
      </c>
      <c r="O127" s="8">
        <f>INDEX('6-คาน เหล็กเสริม'!$G:$G,MATCH($B127,'6-คาน เหล็กเสริม'!$A:$A,0))*(F127+2*INDEX('6-คาน เหล็กเสริม'!$Q:$Q,MATCH($B127,'6-คาน เหล็กเสริม'!$A:$A,0))*INDEX('6-คาน เหล็กเสริม'!$H:$H,MATCH($B127,'6-คาน เหล็กเสริม'!$A:$A,0))/1000)*INDEX('6-คาน เหล็กเสริม'!$H:$H,MATCH($B127,'6-คาน เหล็กเสริม'!$A:$A,0))^2/162</f>
        <v/>
      </c>
      <c r="P127" s="8">
        <f>INDEX('6-คาน เหล็กเสริม'!$I:$I,MATCH($B127,'6-คาน เหล็กเสริม'!$A:$A,0))*2*(0.3*G127+INDEX('6-คาน เหล็กเสริม'!$Q:$Q,MATCH($B127,'6-คาน เหล็กเสริม'!$A:$A,0))*INDEX('6-คาน เหล็กเสริม'!$J:$J,MATCH($B127,'6-คาน เหล็กเสริม'!$A:$A,0))/1000)*INDEX('6-คาน เหล็กเสริม'!$J:$J,MATCH($B127,'6-คาน เหล็กเสริม'!$A:$A,0))^2/162+INDEX('6-คาน เหล็กเสริม'!$K:$K,MATCH($B127,'6-คาน เหล็กเสริม'!$A:$A,0))*0.7*G127*INDEX('6-คาน เหล็กเสริม'!$L:$L,MATCH($B127,'6-คาน เหล็กเสริม'!$A:$A,0))^2/162</f>
        <v/>
      </c>
      <c r="Q127" s="8">
        <f>R127*(2*(H127+I127)-8*INDEX('6-คาน เหล็กเสริม'!$P:$P,MATCH($B127,'6-คาน เหล็กเสริม'!$A:$A,0))+24*INDEX('6-คาน เหล็กเสริม'!$M:$M,MATCH($B127,'6-คาน เหล็กเสริม'!$A:$A,0))/1000)*INDEX('6-คาน เหล็กเสริม'!$M:$M,MATCH($B127,'6-คาน เหล็กเสริม'!$A:$A,0))^2/162</f>
        <v/>
      </c>
      <c r="R127" s="8">
        <f>IF(INDEX('6-คาน เหล็กเสริม'!$M:$M,MATCH($B127,'6-คาน เหล็กเสริม'!$A:$A,0))=0,0,2*ROUNDUP(G127/4/INDEX('6-คาน เหล็กเสริม'!$N:$N,MATCH($B127,'6-คาน เหล็กเสริม'!$A:$A,0)),0)+ROUNDUP(G127/2/INDEX('6-คาน เหล็กเสริม'!$O:$O,MATCH($B127,'6-คาน เหล็กเสริม'!$A:$A,0)),0)+1)</f>
        <v/>
      </c>
      <c r="S127" s="8">
        <f>SUM(N127:Q127)</f>
        <v/>
      </c>
      <c r="T127" s="8" t="inlineStr">
        <is>
          <t>สมมติตามมาตรฐานผนังก่อ (สูง &gt; 3 ม.)</t>
        </is>
      </c>
    </row>
    <row r="128">
      <c r="A128" s="8" t="inlineStr">
        <is>
          <t>TB-034</t>
        </is>
      </c>
      <c r="B128" s="8" t="inlineStr">
        <is>
          <t>TB</t>
        </is>
      </c>
      <c r="C128" s="8" t="inlineStr">
        <is>
          <t>แนว J</t>
        </is>
      </c>
      <c r="D128" s="8" t="inlineStr">
        <is>
          <t>8/J</t>
        </is>
      </c>
      <c r="E128" s="8" t="inlineStr">
        <is>
          <t>9/J</t>
        </is>
      </c>
      <c r="F128" s="9" t="n">
        <v>6</v>
      </c>
      <c r="G128" s="9" t="n">
        <v>5.7</v>
      </c>
      <c r="H128" s="9" t="n">
        <v>0.15</v>
      </c>
      <c r="I128" s="9" t="n">
        <v>0.1</v>
      </c>
      <c r="J128" s="9" t="n">
        <v>2.7</v>
      </c>
      <c r="K128" s="9" t="n">
        <v>2.6</v>
      </c>
      <c r="L128" s="8">
        <f>H128*I128*G128</f>
        <v/>
      </c>
      <c r="M128" s="8">
        <f>2*I128*G128</f>
        <v/>
      </c>
      <c r="N128" s="8">
        <f>INDEX('6-คาน เหล็กเสริม'!$E:$E,MATCH($B128,'6-คาน เหล็กเสริม'!$A:$A,0))*(F128+2*INDEX('6-คาน เหล็กเสริม'!$Q:$Q,MATCH($B128,'6-คาน เหล็กเสริม'!$A:$A,0))*INDEX('6-คาน เหล็กเสริม'!$F:$F,MATCH($B128,'6-คาน เหล็กเสริม'!$A:$A,0))/1000)*INDEX('6-คาน เหล็กเสริม'!$F:$F,MATCH($B128,'6-คาน เหล็กเสริม'!$A:$A,0))^2/162</f>
        <v/>
      </c>
      <c r="O128" s="8">
        <f>INDEX('6-คาน เหล็กเสริม'!$G:$G,MATCH($B128,'6-คาน เหล็กเสริม'!$A:$A,0))*(F128+2*INDEX('6-คาน เหล็กเสริม'!$Q:$Q,MATCH($B128,'6-คาน เหล็กเสริม'!$A:$A,0))*INDEX('6-คาน เหล็กเสริม'!$H:$H,MATCH($B128,'6-คาน เหล็กเสริม'!$A:$A,0))/1000)*INDEX('6-คาน เหล็กเสริม'!$H:$H,MATCH($B128,'6-คาน เหล็กเสริม'!$A:$A,0))^2/162</f>
        <v/>
      </c>
      <c r="P128" s="8">
        <f>INDEX('6-คาน เหล็กเสริม'!$I:$I,MATCH($B128,'6-คาน เหล็กเสริม'!$A:$A,0))*2*(0.3*G128+INDEX('6-คาน เหล็กเสริม'!$Q:$Q,MATCH($B128,'6-คาน เหล็กเสริม'!$A:$A,0))*INDEX('6-คาน เหล็กเสริม'!$J:$J,MATCH($B128,'6-คาน เหล็กเสริม'!$A:$A,0))/1000)*INDEX('6-คาน เหล็กเสริม'!$J:$J,MATCH($B128,'6-คาน เหล็กเสริม'!$A:$A,0))^2/162+INDEX('6-คาน เหล็กเสริม'!$K:$K,MATCH($B128,'6-คาน เหล็กเสริม'!$A:$A,0))*0.7*G128*INDEX('6-คาน เหล็กเสริม'!$L:$L,MATCH($B128,'6-คาน เหล็กเสริม'!$A:$A,0))^2/162</f>
        <v/>
      </c>
      <c r="Q128" s="8">
        <f>R128*(2*(H128+I128)-8*INDEX('6-คาน เหล็กเสริม'!$P:$P,MATCH($B128,'6-คาน เหล็กเสริม'!$A:$A,0))+24*INDEX('6-คาน เหล็กเสริม'!$M:$M,MATCH($B128,'6-คาน เหล็กเสริม'!$A:$A,0))/1000)*INDEX('6-คาน เหล็กเสริม'!$M:$M,MATCH($B128,'6-คาน เหล็กเสริม'!$A:$A,0))^2/162</f>
        <v/>
      </c>
      <c r="R128" s="8">
        <f>IF(INDEX('6-คาน เหล็กเสริม'!$M:$M,MATCH($B128,'6-คาน เหล็กเสริม'!$A:$A,0))=0,0,2*ROUNDUP(G128/4/INDEX('6-คาน เหล็กเสริม'!$N:$N,MATCH($B128,'6-คาน เหล็กเสริม'!$A:$A,0)),0)+ROUNDUP(G128/2/INDEX('6-คาน เหล็กเสริม'!$O:$O,MATCH($B128,'6-คาน เหล็กเสริม'!$A:$A,0)),0)+1)</f>
        <v/>
      </c>
      <c r="S128" s="8">
        <f>SUM(N128:Q128)</f>
        <v/>
      </c>
      <c r="T128" s="8" t="inlineStr">
        <is>
          <t>สมมติตามมาตรฐานผนังก่อ (สูง &gt; 3 ม.)</t>
        </is>
      </c>
    </row>
    <row r="129">
      <c r="A129" s="8" t="inlineStr">
        <is>
          <t>TB-035</t>
        </is>
      </c>
      <c r="B129" s="8" t="inlineStr">
        <is>
          <t>TB</t>
        </is>
      </c>
      <c r="C129" s="8" t="inlineStr">
        <is>
          <t>แนว J</t>
        </is>
      </c>
      <c r="D129" s="8" t="inlineStr">
        <is>
          <t>9/J</t>
        </is>
      </c>
      <c r="E129" s="8" t="inlineStr">
        <is>
          <t>10/J</t>
        </is>
      </c>
      <c r="F129" s="9" t="n">
        <v>6</v>
      </c>
      <c r="G129" s="9" t="n">
        <v>5.7</v>
      </c>
      <c r="H129" s="9" t="n">
        <v>0.15</v>
      </c>
      <c r="I129" s="9" t="n">
        <v>0.1</v>
      </c>
      <c r="J129" s="9" t="n">
        <v>2.7</v>
      </c>
      <c r="K129" s="9" t="n">
        <v>2.6</v>
      </c>
      <c r="L129" s="8">
        <f>H129*I129*G129</f>
        <v/>
      </c>
      <c r="M129" s="8">
        <f>2*I129*G129</f>
        <v/>
      </c>
      <c r="N129" s="8">
        <f>INDEX('6-คาน เหล็กเสริม'!$E:$E,MATCH($B129,'6-คาน เหล็กเสริม'!$A:$A,0))*(F129+2*INDEX('6-คาน เหล็กเสริม'!$Q:$Q,MATCH($B129,'6-คาน เหล็กเสริม'!$A:$A,0))*INDEX('6-คาน เหล็กเสริม'!$F:$F,MATCH($B129,'6-คาน เหล็กเสริม'!$A:$A,0))/1000)*INDEX('6-คาน เหล็กเสริม'!$F:$F,MATCH($B129,'6-คาน เหล็กเสริม'!$A:$A,0))^2/162</f>
        <v/>
      </c>
      <c r="O129" s="8">
        <f>INDEX('6-คาน เหล็กเสริม'!$G:$G,MATCH($B129,'6-คาน เหล็กเสริม'!$A:$A,0))*(F129+2*INDEX('6-คาน เหล็กเสริม'!$Q:$Q,MATCH($B129,'6-คาน เหล็กเสริม'!$A:$A,0))*INDEX('6-คาน เหล็กเสริม'!$H:$H,MATCH($B129,'6-คาน เหล็กเสริม'!$A:$A,0))/1000)*INDEX('6-คาน เหล็กเสริม'!$H:$H,MATCH($B129,'6-คาน เหล็กเสริม'!$A:$A,0))^2/162</f>
        <v/>
      </c>
      <c r="P129" s="8">
        <f>INDEX('6-คาน เหล็กเสริม'!$I:$I,MATCH($B129,'6-คาน เหล็กเสริม'!$A:$A,0))*2*(0.3*G129+INDEX('6-คาน เหล็กเสริม'!$Q:$Q,MATCH($B129,'6-คาน เหล็กเสริม'!$A:$A,0))*INDEX('6-คาน เหล็กเสริม'!$J:$J,MATCH($B129,'6-คาน เหล็กเสริม'!$A:$A,0))/1000)*INDEX('6-คาน เหล็กเสริม'!$J:$J,MATCH($B129,'6-คาน เหล็กเสริม'!$A:$A,0))^2/162+INDEX('6-คาน เหล็กเสริม'!$K:$K,MATCH($B129,'6-คาน เหล็กเสริม'!$A:$A,0))*0.7*G129*INDEX('6-คาน เหล็กเสริม'!$L:$L,MATCH($B129,'6-คาน เหล็กเสริม'!$A:$A,0))^2/162</f>
        <v/>
      </c>
      <c r="Q129" s="8">
        <f>R129*(2*(H129+I129)-8*INDEX('6-คาน เหล็กเสริม'!$P:$P,MATCH($B129,'6-คาน เหล็กเสริม'!$A:$A,0))+24*INDEX('6-คาน เหล็กเสริม'!$M:$M,MATCH($B129,'6-คาน เหล็กเสริม'!$A:$A,0))/1000)*INDEX('6-คาน เหล็กเสริม'!$M:$M,MATCH($B129,'6-คาน เหล็กเสริม'!$A:$A,0))^2/162</f>
        <v/>
      </c>
      <c r="R129" s="8">
        <f>IF(INDEX('6-คาน เหล็กเสริม'!$M:$M,MATCH($B129,'6-คาน เหล็กเสริม'!$A:$A,0))=0,0,2*ROUNDUP(G129/4/INDEX('6-คาน เหล็กเสริม'!$N:$N,MATCH($B129,'6-คาน เหล็กเสริม'!$A:$A,0)),0)+ROUNDUP(G129/2/INDEX('6-คาน เหล็กเสริม'!$O:$O,MATCH($B129,'6-คาน เหล็กเสริม'!$A:$A,0)),0)+1)</f>
        <v/>
      </c>
      <c r="S129" s="8">
        <f>SUM(N129:Q129)</f>
        <v/>
      </c>
      <c r="T129" s="8" t="inlineStr">
        <is>
          <t>สมมติตามมาตรฐานผนังก่อ (สูง &gt; 3 ม.)</t>
        </is>
      </c>
    </row>
    <row r="130">
      <c r="A130" s="8" t="inlineStr">
        <is>
          <t>TB-036</t>
        </is>
      </c>
      <c r="B130" s="8" t="inlineStr">
        <is>
          <t>TB</t>
        </is>
      </c>
      <c r="C130" s="8" t="inlineStr">
        <is>
          <t>แนว J</t>
        </is>
      </c>
      <c r="D130" s="8" t="inlineStr">
        <is>
          <t>10/J</t>
        </is>
      </c>
      <c r="E130" s="8" t="inlineStr">
        <is>
          <t>11/J</t>
        </is>
      </c>
      <c r="F130" s="9" t="n">
        <v>6</v>
      </c>
      <c r="G130" s="9" t="n">
        <v>5.7</v>
      </c>
      <c r="H130" s="9" t="n">
        <v>0.15</v>
      </c>
      <c r="I130" s="9" t="n">
        <v>0.1</v>
      </c>
      <c r="J130" s="9" t="n">
        <v>2.7</v>
      </c>
      <c r="K130" s="9" t="n">
        <v>2.6</v>
      </c>
      <c r="L130" s="8">
        <f>H130*I130*G130</f>
        <v/>
      </c>
      <c r="M130" s="8">
        <f>2*I130*G130</f>
        <v/>
      </c>
      <c r="N130" s="8">
        <f>INDEX('6-คาน เหล็กเสริม'!$E:$E,MATCH($B130,'6-คาน เหล็กเสริม'!$A:$A,0))*(F130+2*INDEX('6-คาน เหล็กเสริม'!$Q:$Q,MATCH($B130,'6-คาน เหล็กเสริม'!$A:$A,0))*INDEX('6-คาน เหล็กเสริม'!$F:$F,MATCH($B130,'6-คาน เหล็กเสริม'!$A:$A,0))/1000)*INDEX('6-คาน เหล็กเสริม'!$F:$F,MATCH($B130,'6-คาน เหล็กเสริม'!$A:$A,0))^2/162</f>
        <v/>
      </c>
      <c r="O130" s="8">
        <f>INDEX('6-คาน เหล็กเสริม'!$G:$G,MATCH($B130,'6-คาน เหล็กเสริม'!$A:$A,0))*(F130+2*INDEX('6-คาน เหล็กเสริม'!$Q:$Q,MATCH($B130,'6-คาน เหล็กเสริม'!$A:$A,0))*INDEX('6-คาน เหล็กเสริม'!$H:$H,MATCH($B130,'6-คาน เหล็กเสริม'!$A:$A,0))/1000)*INDEX('6-คาน เหล็กเสริม'!$H:$H,MATCH($B130,'6-คาน เหล็กเสริม'!$A:$A,0))^2/162</f>
        <v/>
      </c>
      <c r="P130" s="8">
        <f>INDEX('6-คาน เหล็กเสริม'!$I:$I,MATCH($B130,'6-คาน เหล็กเสริม'!$A:$A,0))*2*(0.3*G130+INDEX('6-คาน เหล็กเสริม'!$Q:$Q,MATCH($B130,'6-คาน เหล็กเสริม'!$A:$A,0))*INDEX('6-คาน เหล็กเสริม'!$J:$J,MATCH($B130,'6-คาน เหล็กเสริม'!$A:$A,0))/1000)*INDEX('6-คาน เหล็กเสริม'!$J:$J,MATCH($B130,'6-คาน เหล็กเสริม'!$A:$A,0))^2/162+INDEX('6-คาน เหล็กเสริม'!$K:$K,MATCH($B130,'6-คาน เหล็กเสริม'!$A:$A,0))*0.7*G130*INDEX('6-คาน เหล็กเสริม'!$L:$L,MATCH($B130,'6-คาน เหล็กเสริม'!$A:$A,0))^2/162</f>
        <v/>
      </c>
      <c r="Q130" s="8">
        <f>R130*(2*(H130+I130)-8*INDEX('6-คาน เหล็กเสริม'!$P:$P,MATCH($B130,'6-คาน เหล็กเสริม'!$A:$A,0))+24*INDEX('6-คาน เหล็กเสริม'!$M:$M,MATCH($B130,'6-คาน เหล็กเสริม'!$A:$A,0))/1000)*INDEX('6-คาน เหล็กเสริม'!$M:$M,MATCH($B130,'6-คาน เหล็กเสริม'!$A:$A,0))^2/162</f>
        <v/>
      </c>
      <c r="R130" s="8">
        <f>IF(INDEX('6-คาน เหล็กเสริม'!$M:$M,MATCH($B130,'6-คาน เหล็กเสริม'!$A:$A,0))=0,0,2*ROUNDUP(G130/4/INDEX('6-คาน เหล็กเสริม'!$N:$N,MATCH($B130,'6-คาน เหล็กเสริม'!$A:$A,0)),0)+ROUNDUP(G130/2/INDEX('6-คาน เหล็กเสริม'!$O:$O,MATCH($B130,'6-คาน เหล็กเสริม'!$A:$A,0)),0)+1)</f>
        <v/>
      </c>
      <c r="S130" s="8">
        <f>SUM(N130:Q130)</f>
        <v/>
      </c>
      <c r="T130" s="8" t="inlineStr">
        <is>
          <t>สมมติตามมาตรฐานผนังก่อ (สูง &gt; 3 ม.)</t>
        </is>
      </c>
    </row>
    <row r="131">
      <c r="A131" s="8" t="inlineStr">
        <is>
          <t>รวม</t>
        </is>
      </c>
      <c r="B131" s="8" t="n"/>
      <c r="C131" s="8" t="n"/>
      <c r="D131" s="8" t="n"/>
      <c r="E131" s="8" t="n"/>
      <c r="F131" s="8">
        <f>SUM(F4:F130)</f>
        <v/>
      </c>
      <c r="G131" s="8">
        <f>SUM(G4:G130)</f>
        <v/>
      </c>
      <c r="H131" s="8" t="n"/>
      <c r="I131" s="8" t="n"/>
      <c r="J131" s="8" t="n"/>
      <c r="K131" s="8" t="n"/>
      <c r="L131" s="8">
        <f>SUM(L4:L130)</f>
        <v/>
      </c>
      <c r="M131" s="8">
        <f>SUM(M4:M130)</f>
        <v/>
      </c>
      <c r="N131" s="8">
        <f>SUM(N4:N130)</f>
        <v/>
      </c>
      <c r="O131" s="8">
        <f>SUM(O4:O130)</f>
        <v/>
      </c>
      <c r="P131" s="8">
        <f>SUM(P4:P130)</f>
        <v/>
      </c>
      <c r="Q131" s="8">
        <f>SUM(Q4:Q130)</f>
        <v/>
      </c>
      <c r="R131" s="8">
        <f>SUM(R4:R130)</f>
        <v/>
      </c>
      <c r="S131" s="8">
        <f>SUM(S4:S130)</f>
        <v/>
      </c>
      <c r="T131" s="8" t="n"/>
    </row>
    <row r="132">
      <c r="A132" s="8" t="inlineStr">
        <is>
          <t>หมายเหตุ: B1 ยาวสุทธิ = ศก.-ศก. หัก 0.30 ม. (ด้านแคบของเสา C1); B3 หัก 0.20 ม. (C3); คานทับหลัง LB / คานเอ็น TB วัดผิวเสาถึงผิวเสา; ไม้แบบ B1/B3 = 2 ข้าง + ท้อง, LB/TB = 2 ข้าง (วางบนผนัง)</t>
        </is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" customWidth="1" min="3" max="3"/>
    <col width="6" customWidth="1" min="4" max="4"/>
    <col width="9" customWidth="1" min="5" max="5"/>
    <col width="6" customWidth="1" min="6" max="6"/>
    <col width="9" customWidth="1" min="7" max="7"/>
    <col width="6" customWidth="1" min="8" max="8"/>
    <col width="9" customWidth="1" min="9" max="9"/>
    <col width="6" customWidth="1" min="10" max="10"/>
    <col width="9" customWidth="1" min="11" max="11"/>
    <col width="6" customWidth="1" min="12" max="12"/>
    <col width="7" customWidth="1" min="13" max="13"/>
    <col width="9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11" customWidth="1" min="20" max="20"/>
    <col width="22" customWidth="1" min="21" max="21"/>
  </cols>
  <sheetData>
    <row r="1">
      <c r="A1" s="1" t="inlineStr">
        <is>
          <t>เหล็กเสริมคาน แยกตามชนิด: เหล็กยืน เหล็กเสริมพิเศษ และเหล็กปลอก (กรอกช่องสีเหลือง)</t>
        </is>
      </c>
    </row>
    <row r="2">
      <c r="A2" t="inlineStr">
        <is>
          <t>งานก่อสร้างอาคารโกดังและงานบริเวณ บริษัท ตงเฉิน อีเล็คทริค เคเบิ้ล แอนด์ไวร์ จำกัด | WEC-TC-6901</t>
        </is>
      </c>
    </row>
    <row r="3" ht="42" customHeight="1">
      <c r="A3" s="7" t="inlineStr">
        <is>
          <t>ชนิด</t>
        </is>
      </c>
      <c r="B3" s="7" t="inlineStr">
        <is>
          <t>รายละเอียด</t>
        </is>
      </c>
      <c r="C3" s="7" t="inlineStr">
        <is>
          <t>b (ม.)</t>
        </is>
      </c>
      <c r="D3" s="7" t="inlineStr">
        <is>
          <t>h (ม.)</t>
        </is>
      </c>
      <c r="E3" s="7" t="inlineStr">
        <is>
          <t>เหล็กบนต่อเนื่อง: จำนวน</t>
        </is>
      </c>
      <c r="F3" s="7" t="inlineStr">
        <is>
          <t>Ø (มม.)</t>
        </is>
      </c>
      <c r="G3" s="7" t="inlineStr">
        <is>
          <t>เหล็กล่างต่อเนื่อง: จำนวน</t>
        </is>
      </c>
      <c r="H3" s="7" t="inlineStr">
        <is>
          <t>Ø (มม.)</t>
        </is>
      </c>
      <c r="I3" s="7" t="inlineStr">
        <is>
          <t>เสริมบนที่หัวเสา: จำนวน</t>
        </is>
      </c>
      <c r="J3" s="7" t="inlineStr">
        <is>
          <t>Ø (มม.)</t>
        </is>
      </c>
      <c r="K3" s="7" t="inlineStr">
        <is>
          <t>เสริมล่างกลางช่วง: จำนวน</t>
        </is>
      </c>
      <c r="L3" s="7" t="inlineStr">
        <is>
          <t>Ø (มม.)</t>
        </is>
      </c>
      <c r="M3" s="7" t="inlineStr">
        <is>
          <t>ปลอก Ø (มม.)</t>
        </is>
      </c>
      <c r="N3" s="7" t="inlineStr">
        <is>
          <t>ระยะปลอก ช่วงริม L/4 (ม.)</t>
        </is>
      </c>
      <c r="O3" s="7" t="inlineStr">
        <is>
          <t>ระยะปลอก ช่วงกลาง (ม.)</t>
        </is>
      </c>
      <c r="P3" s="7" t="inlineStr">
        <is>
          <t>ระยะหุ้ม (ม.)</t>
        </is>
      </c>
      <c r="Q3" s="7" t="inlineStr">
        <is>
          <t>ระยะทาบ/ฝัง (เท่าของ Ø)</t>
        </is>
      </c>
      <c r="R3" s="7" t="inlineStr">
        <is>
          <t>จำนวนช่วง</t>
        </is>
      </c>
      <c r="S3" s="7" t="inlineStr">
        <is>
          <t>ยาวรวม (ม.)</t>
        </is>
      </c>
      <c r="T3" s="7" t="inlineStr">
        <is>
          <t>เหล็กรวม (กก.)</t>
        </is>
      </c>
      <c r="U3" s="7" t="inlineStr">
        <is>
          <t>สถานะ</t>
        </is>
      </c>
    </row>
    <row r="4">
      <c r="A4" s="8" t="inlineStr">
        <is>
          <t>B1</t>
        </is>
      </c>
      <c r="B4" s="8" t="inlineStr">
        <is>
          <t>คานคอดิน B1 0.20x0.60 หลังคาน +0.50 (รอบอาคาร + แนวกริด 6)</t>
        </is>
      </c>
      <c r="C4" s="9" t="n">
        <v>0.2</v>
      </c>
      <c r="D4" s="9" t="n">
        <v>0.6</v>
      </c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3" t="n">
        <v>0.04</v>
      </c>
      <c r="Q4" s="12" t="n">
        <v>40</v>
      </c>
      <c r="R4" s="8">
        <f>COUNTIF('5-คาน รายช่วง'!$B:$B,A4)</f>
        <v/>
      </c>
      <c r="S4" s="8">
        <f>SUMIF('5-คาน รายช่วง'!$B:$B,A4,'5-คาน รายช่วง'!$F:$F)</f>
        <v/>
      </c>
      <c r="T4" s="8">
        <f>SUMIF('5-คาน รายช่วง'!$B:$B,A4,'5-คาน รายช่วง'!$S:$S)</f>
        <v/>
      </c>
      <c r="U4" s="10" t="inlineStr">
        <is>
          <t>รอเอกสารออกแบบเหล็กเสริม</t>
        </is>
      </c>
    </row>
    <row r="5">
      <c r="A5" s="8" t="inlineStr">
        <is>
          <t>B3</t>
        </is>
      </c>
      <c r="B5" s="8" t="inlineStr">
        <is>
          <t>คาน B3 0.20x0.40 อาคารประกอบ (ห้องน้ำ +0.50 / ห้องสารเคมี +0.40)</t>
        </is>
      </c>
      <c r="C5" s="9" t="n">
        <v>0.2</v>
      </c>
      <c r="D5" s="9" t="n">
        <v>0.4</v>
      </c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3" t="n">
        <v>0.04</v>
      </c>
      <c r="Q5" s="12" t="n">
        <v>40</v>
      </c>
      <c r="R5" s="8">
        <f>COUNTIF('5-คาน รายช่วง'!$B:$B,A5)</f>
        <v/>
      </c>
      <c r="S5" s="8">
        <f>SUMIF('5-คาน รายช่วง'!$B:$B,A5,'5-คาน รายช่วง'!$F:$F)</f>
        <v/>
      </c>
      <c r="T5" s="8">
        <f>SUMIF('5-คาน รายช่วง'!$B:$B,A5,'5-คาน รายช่วง'!$S:$S)</f>
        <v/>
      </c>
      <c r="U5" s="10" t="inlineStr">
        <is>
          <t>รอเอกสารออกแบบเหล็กเสริม</t>
        </is>
      </c>
    </row>
    <row r="6">
      <c r="A6" s="8" t="inlineStr">
        <is>
          <t>LB</t>
        </is>
      </c>
      <c r="B6" s="8" t="inlineStr">
        <is>
          <t>คานทับหลัง 0.15x0.15 +4.35..+4.50 บนผนังก่อ</t>
        </is>
      </c>
      <c r="C6" s="9" t="n">
        <v>0.15</v>
      </c>
      <c r="D6" s="9" t="n">
        <v>0.15</v>
      </c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3" t="n">
        <v>0.02</v>
      </c>
      <c r="Q6" s="12" t="n">
        <v>40</v>
      </c>
      <c r="R6" s="8">
        <f>COUNTIF('5-คาน รายช่วง'!$B:$B,A6)</f>
        <v/>
      </c>
      <c r="S6" s="8">
        <f>SUMIF('5-คาน รายช่วง'!$B:$B,A6,'5-คาน รายช่วง'!$F:$F)</f>
        <v/>
      </c>
      <c r="T6" s="8">
        <f>SUMIF('5-คาน รายช่วง'!$B:$B,A6,'5-คาน รายช่วง'!$S:$S)</f>
        <v/>
      </c>
      <c r="U6" s="10" t="inlineStr">
        <is>
          <t>รอเอกสารออกแบบเหล็กเสริม</t>
        </is>
      </c>
    </row>
    <row r="7">
      <c r="A7" s="8" t="inlineStr">
        <is>
          <t>TB</t>
        </is>
      </c>
      <c r="B7" s="8" t="inlineStr">
        <is>
          <t>คานเอ็น 0.15x0.10 ระดับหลังวงกบ +2.60</t>
        </is>
      </c>
      <c r="C7" s="9" t="n">
        <v>0.15</v>
      </c>
      <c r="D7" s="9" t="n">
        <v>0.1</v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3" t="n">
        <v>0.02</v>
      </c>
      <c r="Q7" s="12" t="n">
        <v>40</v>
      </c>
      <c r="R7" s="8">
        <f>COUNTIF('5-คาน รายช่วง'!$B:$B,A7)</f>
        <v/>
      </c>
      <c r="S7" s="8">
        <f>SUMIF('5-คาน รายช่วง'!$B:$B,A7,'5-คาน รายช่วง'!$F:$F)</f>
        <v/>
      </c>
      <c r="T7" s="8">
        <f>SUMIF('5-คาน รายช่วง'!$B:$B,A7,'5-คาน รายช่วง'!$S:$S)</f>
        <v/>
      </c>
      <c r="U7" s="10" t="inlineStr">
        <is>
          <t>รอเอกสารออกแบบเหล็กเสริม</t>
        </is>
      </c>
    </row>
    <row r="8">
      <c r="A8" s="8" t="inlineStr">
        <is>
          <t>รวม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>
        <f>SUM(T4:T7)</f>
        <v/>
      </c>
      <c r="U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>
      <c r="A10" s="8" t="inlineStr">
        <is>
          <t>วิธีคิด: เหล็กยืนต่อเนื่อง ยาว = ศก.-ศก. + 2 x ระยะทาบ/ฝัง x Ø; เสริมบนที่หัวเสา 2 ปลาย/ช่วง ยาวปลายละ 0.3 x ยาวสุทธิ + ระยะฝัง; เสริมล่าง 0.7 x ยาวสุทธิ; ปลอก ช่วงริม L/4 สองด้าน + ช่วงกลาง L/2, ยาวต่อตัว = 2(b+h) - 8 x ระยะหุ้ม + ขอ 24Ø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9" customWidth="1" min="4" max="4"/>
    <col width="13" customWidth="1" min="5" max="5"/>
    <col width="9" customWidth="1" min="6" max="6"/>
    <col width="13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10" customWidth="1" min="13" max="13"/>
    <col width="11" customWidth="1" min="14" max="14"/>
    <col width="10" customWidth="1" min="15" max="15"/>
    <col width="18" customWidth="1" min="16" max="16"/>
  </cols>
  <sheetData>
    <row r="1">
      <c r="A1" s="1" t="inlineStr">
        <is>
          <t>รอยต่อเสาเหล็ก H244x175 กับหัวเสา คสล.: แผ่นเหล็กฐาน PL20x200x450 + Anchor bolt M20x750 6 ชุด + แผ่นหัวเสา PL20x200x450 (แบบขยาย D01)</t>
        </is>
      </c>
    </row>
    <row r="2">
      <c r="A2" t="inlineStr">
        <is>
          <t>งานก่อสร้างอาคารโกดังและงานบริเวณ บริษัท ตงเฉิน อีเล็คทริค เคเบิ้ล แอนด์ไวร์ จำกัด | WEC-TC-6901</t>
        </is>
      </c>
    </row>
    <row r="3" ht="42" customHeight="1">
      <c r="A3" s="7" t="inlineStr">
        <is>
          <t>รหัสเสาเหล็ก</t>
        </is>
      </c>
      <c r="B3" s="7" t="inlineStr">
        <is>
          <t>ตำแหน่งกริด</t>
        </is>
      </c>
      <c r="C3" s="7" t="inlineStr">
        <is>
          <t>เสา คสล. ใต้</t>
        </is>
      </c>
      <c r="D3" s="7" t="inlineStr">
        <is>
          <t>ด้านยาวแผ่นตามแนว</t>
        </is>
      </c>
      <c r="E3" s="7" t="inlineStr">
        <is>
          <t>Base plate (มม.)</t>
        </is>
      </c>
      <c r="F3" s="7" t="inlineStr">
        <is>
          <t>Base plate (กก.)</t>
        </is>
      </c>
      <c r="G3" s="7" t="inlineStr">
        <is>
          <t>Top plate (มม.)</t>
        </is>
      </c>
      <c r="H3" s="7" t="inlineStr">
        <is>
          <t>Top plate (กก.)</t>
        </is>
      </c>
      <c r="I3" s="7" t="inlineStr">
        <is>
          <t>Anchor bolt (ชุด)</t>
        </is>
      </c>
      <c r="J3" s="7" t="inlineStr">
        <is>
          <t>Anchor bolt (กก.)</t>
        </is>
      </c>
      <c r="K3" s="7" t="inlineStr">
        <is>
          <t>ระยะฝังสลัก (ม.)</t>
        </is>
      </c>
      <c r="L3" s="7" t="inlineStr">
        <is>
          <t>เกราท์ (ลบ.ม.)</t>
        </is>
      </c>
      <c r="M3" s="7" t="inlineStr">
        <is>
          <t>ระยะหุ้มเหล็กยืนเสา (ม.)</t>
        </is>
      </c>
      <c r="N3" s="7" t="inlineStr">
        <is>
          <t>ระยะสลัก-เหล็กมุมเสา ศก. (มม.)</t>
        </is>
      </c>
      <c r="O3" s="7" t="inlineStr">
        <is>
          <t>ระยะช่องว่าง (มม.)</t>
        </is>
      </c>
      <c r="P3" s="7" t="inlineStr">
        <is>
          <t>ผล</t>
        </is>
      </c>
    </row>
    <row r="4">
      <c r="A4" s="8" t="inlineStr">
        <is>
          <t>SC1-001</t>
        </is>
      </c>
      <c r="B4" s="8" t="inlineStr">
        <is>
          <t>1/A</t>
        </is>
      </c>
      <c r="C4" s="8" t="inlineStr">
        <is>
          <t>C1-001</t>
        </is>
      </c>
      <c r="D4" s="8" t="inlineStr">
        <is>
          <t>X</t>
        </is>
      </c>
      <c r="E4" s="8" t="inlineStr">
        <is>
          <t>20x200x450</t>
        </is>
      </c>
      <c r="F4" s="9" t="n">
        <v>14.13</v>
      </c>
      <c r="G4" s="8" t="inlineStr">
        <is>
          <t>20x200x450</t>
        </is>
      </c>
      <c r="H4" s="9" t="n">
        <v>14.13</v>
      </c>
      <c r="I4" s="8" t="n">
        <v>6</v>
      </c>
      <c r="J4" s="9" t="n">
        <v>12.06</v>
      </c>
      <c r="K4" s="9" t="n">
        <v>0.645</v>
      </c>
      <c r="L4" s="9" t="n">
        <v>0.0031</v>
      </c>
      <c r="M4" s="8">
        <f>INDEX('4-เสา เหล็กเสริม'!$E:$E,MATCH("C1",'4-เสา เหล็กเสริม'!$A:$A,0))</f>
        <v/>
      </c>
      <c r="N4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4" s="8">
        <f>IF(INDEX('4-เสา เหล็กเสริม'!$G:$G,MATCH("C1",'4-เสา เหล็กเสริม'!$A:$A,0))=0,"รอตารางเสา",ROUND(N4-10.0-INDEX('4-เสา เหล็กเสริม'!$G:$G,MATCH("C1",'4-เสา เหล็กเสริม'!$A:$A,0))/2,1))</f>
        <v/>
      </c>
      <c r="P4" s="8">
        <f>IF(INDEX('4-เสา เหล็กเสริม'!$G:$G,MATCH("C1",'4-เสา เหล็กเสริม'!$A:$A,0))=0,"รอตารางเสา",IF(O4&gt;=25,"ผ่าน (≥25 มม.)","ชน/แคบ ตรวจแบบ"))</f>
        <v/>
      </c>
    </row>
    <row r="5">
      <c r="A5" s="8" t="inlineStr">
        <is>
          <t>SC1-002</t>
        </is>
      </c>
      <c r="B5" s="8" t="inlineStr">
        <is>
          <t>2/A</t>
        </is>
      </c>
      <c r="C5" s="8" t="inlineStr">
        <is>
          <t>C1-002</t>
        </is>
      </c>
      <c r="D5" s="8" t="inlineStr">
        <is>
          <t>Y</t>
        </is>
      </c>
      <c r="E5" s="8" t="inlineStr">
        <is>
          <t>20x200x450</t>
        </is>
      </c>
      <c r="F5" s="9" t="n">
        <v>14.13</v>
      </c>
      <c r="G5" s="8" t="inlineStr">
        <is>
          <t>20x200x450</t>
        </is>
      </c>
      <c r="H5" s="9" t="n">
        <v>14.13</v>
      </c>
      <c r="I5" s="8" t="n">
        <v>6</v>
      </c>
      <c r="J5" s="9" t="n">
        <v>12.06</v>
      </c>
      <c r="K5" s="9" t="n">
        <v>0.645</v>
      </c>
      <c r="L5" s="9" t="n">
        <v>0.0031</v>
      </c>
      <c r="M5" s="8">
        <f>INDEX('4-เสา เหล็กเสริม'!$E:$E,MATCH("C1",'4-เสา เหล็กเสริม'!$A:$A,0))</f>
        <v/>
      </c>
      <c r="N5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เหล็กเสริม'!$A:$A,0))/2000-0.175)^2+(0.15000000000000036-INDEX('4-เสา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5" s="8">
        <f>IF(INDEX('4-เสา เหล็กเสริม'!$G:$G,MATCH("C1",'4-เสา เหล็กเสริม'!$A:$A,0))=0,"รอตารางเสา",ROUND(N5-10.0-INDEX('4-เสา เหล็กเสริม'!$G:$G,MATCH("C1",'4-เสา เหล็กเสริม'!$A:$A,0))/2,1))</f>
        <v/>
      </c>
      <c r="P5" s="8">
        <f>IF(INDEX('4-เสา เหล็กเสริม'!$G:$G,MATCH("C1",'4-เสา เหล็กเสริม'!$A:$A,0))=0,"รอตารางเสา",IF(O5&gt;=25,"ผ่าน (≥25 มม.)","ชน/แคบ ตรวจแบบ"))</f>
        <v/>
      </c>
    </row>
    <row r="6">
      <c r="A6" s="8" t="inlineStr">
        <is>
          <t>SC1-003</t>
        </is>
      </c>
      <c r="B6" s="8" t="inlineStr">
        <is>
          <t>3/A</t>
        </is>
      </c>
      <c r="C6" s="8" t="inlineStr">
        <is>
          <t>C1-003</t>
        </is>
      </c>
      <c r="D6" s="8" t="inlineStr">
        <is>
          <t>Y</t>
        </is>
      </c>
      <c r="E6" s="8" t="inlineStr">
        <is>
          <t>20x200x450</t>
        </is>
      </c>
      <c r="F6" s="9" t="n">
        <v>14.13</v>
      </c>
      <c r="G6" s="8" t="inlineStr">
        <is>
          <t>20x200x450</t>
        </is>
      </c>
      <c r="H6" s="9" t="n">
        <v>14.13</v>
      </c>
      <c r="I6" s="8" t="n">
        <v>6</v>
      </c>
      <c r="J6" s="9" t="n">
        <v>12.06</v>
      </c>
      <c r="K6" s="9" t="n">
        <v>0.645</v>
      </c>
      <c r="L6" s="9" t="n">
        <v>0.0031</v>
      </c>
      <c r="M6" s="8">
        <f>INDEX('4-เสา เหล็กเสริม'!$E:$E,MATCH("C1",'4-เสา เหล็กเสริม'!$A:$A,0))</f>
        <v/>
      </c>
      <c r="N6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เหล็กเสริม'!$A:$A,0))/2000-0.175)^2+(0.15000000000000036-INDEX('4-เสา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6" s="8">
        <f>IF(INDEX('4-เสา เหล็กเสริม'!$G:$G,MATCH("C1",'4-เสา เหล็กเสริม'!$A:$A,0))=0,"รอตารางเสา",ROUND(N6-10.0-INDEX('4-เสา เหล็กเสริม'!$G:$G,MATCH("C1",'4-เสา เหล็กเสริม'!$A:$A,0))/2,1))</f>
        <v/>
      </c>
      <c r="P6" s="8">
        <f>IF(INDEX('4-เสา เหล็กเสริม'!$G:$G,MATCH("C1",'4-เสา เหล็กเสริม'!$A:$A,0))=0,"รอตารางเสา",IF(O6&gt;=25,"ผ่าน (≥25 มม.)","ชน/แคบ ตรวจแบบ"))</f>
        <v/>
      </c>
    </row>
    <row r="7">
      <c r="A7" s="8" t="inlineStr">
        <is>
          <t>SC1-004</t>
        </is>
      </c>
      <c r="B7" s="8" t="inlineStr">
        <is>
          <t>4/A</t>
        </is>
      </c>
      <c r="C7" s="8" t="inlineStr">
        <is>
          <t>C1-004</t>
        </is>
      </c>
      <c r="D7" s="8" t="inlineStr">
        <is>
          <t>Y</t>
        </is>
      </c>
      <c r="E7" s="8" t="inlineStr">
        <is>
          <t>20x200x450</t>
        </is>
      </c>
      <c r="F7" s="9" t="n">
        <v>14.13</v>
      </c>
      <c r="G7" s="8" t="inlineStr">
        <is>
          <t>20x200x450</t>
        </is>
      </c>
      <c r="H7" s="9" t="n">
        <v>14.13</v>
      </c>
      <c r="I7" s="8" t="n">
        <v>6</v>
      </c>
      <c r="J7" s="9" t="n">
        <v>12.06</v>
      </c>
      <c r="K7" s="9" t="n">
        <v>0.645</v>
      </c>
      <c r="L7" s="9" t="n">
        <v>0.0031</v>
      </c>
      <c r="M7" s="8">
        <f>INDEX('4-เสา เหล็กเสริม'!$E:$E,MATCH("C1",'4-เสา เหล็กเสริม'!$A:$A,0))</f>
        <v/>
      </c>
      <c r="N7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7" s="8">
        <f>IF(INDEX('4-เสา เหล็กเสริม'!$G:$G,MATCH("C1",'4-เสา เหล็กเสริม'!$A:$A,0))=0,"รอตารางเสา",ROUND(N7-10.0-INDEX('4-เสา เหล็กเสริม'!$G:$G,MATCH("C1",'4-เสา เหล็กเสริม'!$A:$A,0))/2,1))</f>
        <v/>
      </c>
      <c r="P7" s="8">
        <f>IF(INDEX('4-เสา เหล็กเสริม'!$G:$G,MATCH("C1",'4-เสา เหล็กเสริม'!$A:$A,0))=0,"รอตารางเสา",IF(O7&gt;=25,"ผ่าน (≥25 มม.)","ชน/แคบ ตรวจแบบ"))</f>
        <v/>
      </c>
    </row>
    <row r="8">
      <c r="A8" s="8" t="inlineStr">
        <is>
          <t>SC1-005</t>
        </is>
      </c>
      <c r="B8" s="8" t="inlineStr">
        <is>
          <t>5/A</t>
        </is>
      </c>
      <c r="C8" s="8" t="inlineStr">
        <is>
          <t>C1-005</t>
        </is>
      </c>
      <c r="D8" s="8" t="inlineStr">
        <is>
          <t>Y</t>
        </is>
      </c>
      <c r="E8" s="8" t="inlineStr">
        <is>
          <t>20x200x450</t>
        </is>
      </c>
      <c r="F8" s="9" t="n">
        <v>14.13</v>
      </c>
      <c r="G8" s="8" t="inlineStr">
        <is>
          <t>20x200x450</t>
        </is>
      </c>
      <c r="H8" s="9" t="n">
        <v>14.13</v>
      </c>
      <c r="I8" s="8" t="n">
        <v>6</v>
      </c>
      <c r="J8" s="9" t="n">
        <v>12.06</v>
      </c>
      <c r="K8" s="9" t="n">
        <v>0.645</v>
      </c>
      <c r="L8" s="9" t="n">
        <v>0.0031</v>
      </c>
      <c r="M8" s="8">
        <f>INDEX('4-เสา เหล็กเสริม'!$E:$E,MATCH("C1",'4-เสา เหล็กเสริม'!$A:$A,0))</f>
        <v/>
      </c>
      <c r="N8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8" s="8">
        <f>IF(INDEX('4-เสา เหล็กเสริม'!$G:$G,MATCH("C1",'4-เสา เหล็กเสริม'!$A:$A,0))=0,"รอตารางเสา",ROUND(N8-10.0-INDEX('4-เสา เหล็กเสริม'!$G:$G,MATCH("C1",'4-เสา เหล็กเสริม'!$A:$A,0))/2,1))</f>
        <v/>
      </c>
      <c r="P8" s="8">
        <f>IF(INDEX('4-เสา เหล็กเสริม'!$G:$G,MATCH("C1",'4-เสา เหล็กเสริม'!$A:$A,0))=0,"รอตารางเสา",IF(O8&gt;=25,"ผ่าน (≥25 มม.)","ชน/แคบ ตรวจแบบ"))</f>
        <v/>
      </c>
    </row>
    <row r="9">
      <c r="A9" s="8" t="inlineStr">
        <is>
          <t>SC1-006</t>
        </is>
      </c>
      <c r="B9" s="8" t="inlineStr">
        <is>
          <t>6/A</t>
        </is>
      </c>
      <c r="C9" s="8" t="inlineStr">
        <is>
          <t>C1-006</t>
        </is>
      </c>
      <c r="D9" s="8" t="inlineStr">
        <is>
          <t>Y</t>
        </is>
      </c>
      <c r="E9" s="8" t="inlineStr">
        <is>
          <t>20x200x450</t>
        </is>
      </c>
      <c r="F9" s="9" t="n">
        <v>14.13</v>
      </c>
      <c r="G9" s="8" t="inlineStr">
        <is>
          <t>20x200x450</t>
        </is>
      </c>
      <c r="H9" s="9" t="n">
        <v>14.13</v>
      </c>
      <c r="I9" s="8" t="n">
        <v>6</v>
      </c>
      <c r="J9" s="9" t="n">
        <v>12.06</v>
      </c>
      <c r="K9" s="9" t="n">
        <v>0.645</v>
      </c>
      <c r="L9" s="9" t="n">
        <v>0.0031</v>
      </c>
      <c r="M9" s="8">
        <f>INDEX('4-เสา เหล็กเสริม'!$E:$E,MATCH("C1",'4-เสา เหล็กเสริม'!$A:$A,0))</f>
        <v/>
      </c>
      <c r="N9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9" s="8">
        <f>IF(INDEX('4-เสา เหล็กเสริม'!$G:$G,MATCH("C1",'4-เสา เหล็กเสริม'!$A:$A,0))=0,"รอตารางเสา",ROUND(N9-10.0-INDEX('4-เสา เหล็กเสริม'!$G:$G,MATCH("C1",'4-เสา เหล็กเสริม'!$A:$A,0))/2,1))</f>
        <v/>
      </c>
      <c r="P9" s="8">
        <f>IF(INDEX('4-เสา เหล็กเสริม'!$G:$G,MATCH("C1",'4-เสา เหล็กเสริม'!$A:$A,0))=0,"รอตารางเสา",IF(O9&gt;=25,"ผ่าน (≥25 มม.)","ชน/แคบ ตรวจแบบ"))</f>
        <v/>
      </c>
    </row>
    <row r="10">
      <c r="A10" s="8" t="inlineStr">
        <is>
          <t>SC1-007</t>
        </is>
      </c>
      <c r="B10" s="8" t="inlineStr">
        <is>
          <t>7/A</t>
        </is>
      </c>
      <c r="C10" s="8" t="inlineStr">
        <is>
          <t>C1-007</t>
        </is>
      </c>
      <c r="D10" s="8" t="inlineStr">
        <is>
          <t>Y</t>
        </is>
      </c>
      <c r="E10" s="8" t="inlineStr">
        <is>
          <t>20x200x450</t>
        </is>
      </c>
      <c r="F10" s="9" t="n">
        <v>14.13</v>
      </c>
      <c r="G10" s="8" t="inlineStr">
        <is>
          <t>20x200x450</t>
        </is>
      </c>
      <c r="H10" s="9" t="n">
        <v>14.13</v>
      </c>
      <c r="I10" s="8" t="n">
        <v>6</v>
      </c>
      <c r="J10" s="9" t="n">
        <v>12.06</v>
      </c>
      <c r="K10" s="9" t="n">
        <v>0.645</v>
      </c>
      <c r="L10" s="9" t="n">
        <v>0.0031</v>
      </c>
      <c r="M10" s="8">
        <f>INDEX('4-เสา เหล็กเสริม'!$E:$E,MATCH("C1",'4-เสา เหล็กเสริม'!$A:$A,0))</f>
        <v/>
      </c>
      <c r="N10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10" s="8">
        <f>IF(INDEX('4-เสา เหล็กเสริม'!$G:$G,MATCH("C1",'4-เสา เหล็กเสริม'!$A:$A,0))=0,"รอตารางเสา",ROUND(N10-10.0-INDEX('4-เสา เหล็กเสริม'!$G:$G,MATCH("C1",'4-เสา เหล็กเสริม'!$A:$A,0))/2,1))</f>
        <v/>
      </c>
      <c r="P10" s="8">
        <f>IF(INDEX('4-เสา เหล็กเสริม'!$G:$G,MATCH("C1",'4-เสา เหล็กเสริม'!$A:$A,0))=0,"รอตารางเสา",IF(O10&gt;=25,"ผ่าน (≥25 มม.)","ชน/แคบ ตรวจแบบ"))</f>
        <v/>
      </c>
    </row>
    <row r="11">
      <c r="A11" s="8" t="inlineStr">
        <is>
          <t>SC1-008</t>
        </is>
      </c>
      <c r="B11" s="8" t="inlineStr">
        <is>
          <t>8/A</t>
        </is>
      </c>
      <c r="C11" s="8" t="inlineStr">
        <is>
          <t>C1-008</t>
        </is>
      </c>
      <c r="D11" s="8" t="inlineStr">
        <is>
          <t>Y</t>
        </is>
      </c>
      <c r="E11" s="8" t="inlineStr">
        <is>
          <t>20x200x450</t>
        </is>
      </c>
      <c r="F11" s="9" t="n">
        <v>14.13</v>
      </c>
      <c r="G11" s="8" t="inlineStr">
        <is>
          <t>20x200x450</t>
        </is>
      </c>
      <c r="H11" s="9" t="n">
        <v>14.13</v>
      </c>
      <c r="I11" s="8" t="n">
        <v>6</v>
      </c>
      <c r="J11" s="9" t="n">
        <v>12.06</v>
      </c>
      <c r="K11" s="9" t="n">
        <v>0.645</v>
      </c>
      <c r="L11" s="9" t="n">
        <v>0.0031</v>
      </c>
      <c r="M11" s="8">
        <f>INDEX('4-เสา เหล็กเสริม'!$E:$E,MATCH("C1",'4-เสา เหล็กเสริม'!$A:$A,0))</f>
        <v/>
      </c>
      <c r="N11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11" s="8">
        <f>IF(INDEX('4-เสา เหล็กเสริม'!$G:$G,MATCH("C1",'4-เสา เหล็กเสริม'!$A:$A,0))=0,"รอตารางเสา",ROUND(N11-10.0-INDEX('4-เสา เหล็กเสริม'!$G:$G,MATCH("C1",'4-เสา เหล็กเสริม'!$A:$A,0))/2,1))</f>
        <v/>
      </c>
      <c r="P11" s="8">
        <f>IF(INDEX('4-เสา เหล็กเสริม'!$G:$G,MATCH("C1",'4-เสา เหล็กเสริม'!$A:$A,0))=0,"รอตารางเสา",IF(O11&gt;=25,"ผ่าน (≥25 มม.)","ชน/แคบ ตรวจแบบ"))</f>
        <v/>
      </c>
    </row>
    <row r="12">
      <c r="A12" s="8" t="inlineStr">
        <is>
          <t>SC1-009</t>
        </is>
      </c>
      <c r="B12" s="8" t="inlineStr">
        <is>
          <t>9/A</t>
        </is>
      </c>
      <c r="C12" s="8" t="inlineStr">
        <is>
          <t>C1-009</t>
        </is>
      </c>
      <c r="D12" s="8" t="inlineStr">
        <is>
          <t>Y</t>
        </is>
      </c>
      <c r="E12" s="8" t="inlineStr">
        <is>
          <t>20x200x450</t>
        </is>
      </c>
      <c r="F12" s="9" t="n">
        <v>14.13</v>
      </c>
      <c r="G12" s="8" t="inlineStr">
        <is>
          <t>20x200x450</t>
        </is>
      </c>
      <c r="H12" s="9" t="n">
        <v>14.13</v>
      </c>
      <c r="I12" s="8" t="n">
        <v>6</v>
      </c>
      <c r="J12" s="9" t="n">
        <v>12.06</v>
      </c>
      <c r="K12" s="9" t="n">
        <v>0.645</v>
      </c>
      <c r="L12" s="9" t="n">
        <v>0.0031</v>
      </c>
      <c r="M12" s="8">
        <f>INDEX('4-เสา เหล็กเสริม'!$E:$E,MATCH("C1",'4-เสา เหล็กเสริม'!$A:$A,0))</f>
        <v/>
      </c>
      <c r="N12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12" s="8">
        <f>IF(INDEX('4-เสา เหล็กเสริม'!$G:$G,MATCH("C1",'4-เสา เหล็กเสริม'!$A:$A,0))=0,"รอตารางเสา",ROUND(N12-10.0-INDEX('4-เสา เหล็กเสริม'!$G:$G,MATCH("C1",'4-เสา เหล็กเสริม'!$A:$A,0))/2,1))</f>
        <v/>
      </c>
      <c r="P12" s="8">
        <f>IF(INDEX('4-เสา เหล็กเสริม'!$G:$G,MATCH("C1",'4-เสา เหล็กเสริม'!$A:$A,0))=0,"รอตารางเสา",IF(O12&gt;=25,"ผ่าน (≥25 มม.)","ชน/แคบ ตรวจแบบ"))</f>
        <v/>
      </c>
    </row>
    <row r="13">
      <c r="A13" s="8" t="inlineStr">
        <is>
          <t>SC1-010</t>
        </is>
      </c>
      <c r="B13" s="8" t="inlineStr">
        <is>
          <t>10/A</t>
        </is>
      </c>
      <c r="C13" s="8" t="inlineStr">
        <is>
          <t>C1-010</t>
        </is>
      </c>
      <c r="D13" s="8" t="inlineStr">
        <is>
          <t>Y</t>
        </is>
      </c>
      <c r="E13" s="8" t="inlineStr">
        <is>
          <t>20x200x450</t>
        </is>
      </c>
      <c r="F13" s="9" t="n">
        <v>14.13</v>
      </c>
      <c r="G13" s="8" t="inlineStr">
        <is>
          <t>20x200x450</t>
        </is>
      </c>
      <c r="H13" s="9" t="n">
        <v>14.13</v>
      </c>
      <c r="I13" s="8" t="n">
        <v>6</v>
      </c>
      <c r="J13" s="9" t="n">
        <v>12.06</v>
      </c>
      <c r="K13" s="9" t="n">
        <v>0.645</v>
      </c>
      <c r="L13" s="9" t="n">
        <v>0.0031</v>
      </c>
      <c r="M13" s="8">
        <f>INDEX('4-เสา เหล็กเสริม'!$E:$E,MATCH("C1",'4-เสา เหล็กเสริม'!$A:$A,0))</f>
        <v/>
      </c>
      <c r="N13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13" s="8">
        <f>IF(INDEX('4-เสา เหล็กเสริม'!$G:$G,MATCH("C1",'4-เสา เหล็กเสริม'!$A:$A,0))=0,"รอตารางเสา",ROUND(N13-10.0-INDEX('4-เสา เหล็กเสริม'!$G:$G,MATCH("C1",'4-เสา เหล็กเสริม'!$A:$A,0))/2,1))</f>
        <v/>
      </c>
      <c r="P13" s="8">
        <f>IF(INDEX('4-เสา เหล็กเสริม'!$G:$G,MATCH("C1",'4-เสา เหล็กเสริม'!$A:$A,0))=0,"รอตารางเสา",IF(O13&gt;=25,"ผ่าน (≥25 มม.)","ชน/แคบ ตรวจแบบ"))</f>
        <v/>
      </c>
    </row>
    <row r="14">
      <c r="A14" s="8" t="inlineStr">
        <is>
          <t>SC1-011</t>
        </is>
      </c>
      <c r="B14" s="8" t="inlineStr">
        <is>
          <t>11/A</t>
        </is>
      </c>
      <c r="C14" s="8" t="inlineStr">
        <is>
          <t>C1-011</t>
        </is>
      </c>
      <c r="D14" s="8" t="inlineStr">
        <is>
          <t>X</t>
        </is>
      </c>
      <c r="E14" s="8" t="inlineStr">
        <is>
          <t>20x200x450</t>
        </is>
      </c>
      <c r="F14" s="9" t="n">
        <v>14.13</v>
      </c>
      <c r="G14" s="8" t="inlineStr">
        <is>
          <t>20x200x450</t>
        </is>
      </c>
      <c r="H14" s="9" t="n">
        <v>14.13</v>
      </c>
      <c r="I14" s="8" t="n">
        <v>6</v>
      </c>
      <c r="J14" s="9" t="n">
        <v>12.06</v>
      </c>
      <c r="K14" s="9" t="n">
        <v>0.645</v>
      </c>
      <c r="L14" s="9" t="n">
        <v>0.0031</v>
      </c>
      <c r="M14" s="8">
        <f>INDEX('4-เสา เหล็กเสริม'!$E:$E,MATCH("C1",'4-เสา เหล็กเสริม'!$A:$A,0))</f>
        <v/>
      </c>
      <c r="N14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14" s="8">
        <f>IF(INDEX('4-เสา เหล็กเสริม'!$G:$G,MATCH("C1",'4-เสา เหล็กเสริม'!$A:$A,0))=0,"รอตารางเสา",ROUND(N14-10.0-INDEX('4-เสา เหล็กเสริม'!$G:$G,MATCH("C1",'4-เสา เหล็กเสริม'!$A:$A,0))/2,1))</f>
        <v/>
      </c>
      <c r="P14" s="8">
        <f>IF(INDEX('4-เสา เหล็กเสริม'!$G:$G,MATCH("C1",'4-เสา เหล็กเสริม'!$A:$A,0))=0,"รอตารางเสา",IF(O14&gt;=25,"ผ่าน (≥25 มม.)","ชน/แคบ ตรวจแบบ"))</f>
        <v/>
      </c>
    </row>
    <row r="15">
      <c r="A15" s="8" t="inlineStr">
        <is>
          <t>SC1-012</t>
        </is>
      </c>
      <c r="B15" s="8" t="inlineStr">
        <is>
          <t>1/B</t>
        </is>
      </c>
      <c r="C15" s="8" t="inlineStr">
        <is>
          <t>C1-012</t>
        </is>
      </c>
      <c r="D15" s="8" t="inlineStr">
        <is>
          <t>X</t>
        </is>
      </c>
      <c r="E15" s="8" t="inlineStr">
        <is>
          <t>20x200x450</t>
        </is>
      </c>
      <c r="F15" s="9" t="n">
        <v>14.13</v>
      </c>
      <c r="G15" s="8" t="inlineStr">
        <is>
          <t>20x200x450</t>
        </is>
      </c>
      <c r="H15" s="9" t="n">
        <v>14.13</v>
      </c>
      <c r="I15" s="8" t="n">
        <v>6</v>
      </c>
      <c r="J15" s="9" t="n">
        <v>12.06</v>
      </c>
      <c r="K15" s="9" t="n">
        <v>0.645</v>
      </c>
      <c r="L15" s="9" t="n">
        <v>0.0031</v>
      </c>
      <c r="M15" s="8">
        <f>INDEX('4-เสา เหล็กเสริม'!$E:$E,MATCH("C1",'4-เสา เหล็กเสริม'!$A:$A,0))</f>
        <v/>
      </c>
      <c r="N15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เหล็กเสริม'!$A:$A,0))/2000-0.175)^2+(0.15000000000000036-INDEX('4-เสา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15" s="8">
        <f>IF(INDEX('4-เสา เหล็กเสริม'!$G:$G,MATCH("C1",'4-เสา เหล็กเสริม'!$A:$A,0))=0,"รอตารางเสา",ROUND(N15-10.0-INDEX('4-เสา เหล็กเสริม'!$G:$G,MATCH("C1",'4-เสา เหล็กเสริม'!$A:$A,0))/2,1))</f>
        <v/>
      </c>
      <c r="P15" s="8">
        <f>IF(INDEX('4-เสา เหล็กเสริม'!$G:$G,MATCH("C1",'4-เสา เหล็กเสริม'!$A:$A,0))=0,"รอตารางเสา",IF(O15&gt;=25,"ผ่าน (≥25 มม.)","ชน/แคบ ตรวจแบบ"))</f>
        <v/>
      </c>
    </row>
    <row r="16">
      <c r="A16" s="8" t="inlineStr">
        <is>
          <t>SC1-013</t>
        </is>
      </c>
      <c r="B16" s="8" t="inlineStr">
        <is>
          <t>6/B</t>
        </is>
      </c>
      <c r="C16" s="8" t="inlineStr">
        <is>
          <t>C1-013</t>
        </is>
      </c>
      <c r="D16" s="8" t="inlineStr">
        <is>
          <t>X</t>
        </is>
      </c>
      <c r="E16" s="8" t="inlineStr">
        <is>
          <t>20x200x450</t>
        </is>
      </c>
      <c r="F16" s="9" t="n">
        <v>14.13</v>
      </c>
      <c r="G16" s="8" t="inlineStr">
        <is>
          <t>20x200x450</t>
        </is>
      </c>
      <c r="H16" s="9" t="n">
        <v>14.13</v>
      </c>
      <c r="I16" s="8" t="n">
        <v>6</v>
      </c>
      <c r="J16" s="9" t="n">
        <v>12.06</v>
      </c>
      <c r="K16" s="9" t="n">
        <v>0.645</v>
      </c>
      <c r="L16" s="9" t="n">
        <v>0.0031</v>
      </c>
      <c r="M16" s="8">
        <f>INDEX('4-เสา เหล็กเสริม'!$E:$E,MATCH("C1",'4-เสา เหล็กเสริม'!$A:$A,0))</f>
        <v/>
      </c>
      <c r="N16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เหล็กเสริม'!$A:$A,0))/2000-0.175)^2+(0.15000000000000036-INDEX('4-เสา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16" s="8">
        <f>IF(INDEX('4-เสา เหล็กเสริม'!$G:$G,MATCH("C1",'4-เสา เหล็กเสริม'!$A:$A,0))=0,"รอตารางเสา",ROUND(N16-10.0-INDEX('4-เสา เหล็กเสริม'!$G:$G,MATCH("C1",'4-เสา เหล็กเสริม'!$A:$A,0))/2,1))</f>
        <v/>
      </c>
      <c r="P16" s="8">
        <f>IF(INDEX('4-เสา เหล็กเสริม'!$G:$G,MATCH("C1",'4-เสา เหล็กเสริม'!$A:$A,0))=0,"รอตารางเสา",IF(O16&gt;=25,"ผ่าน (≥25 มม.)","ชน/แคบ ตรวจแบบ"))</f>
        <v/>
      </c>
    </row>
    <row r="17">
      <c r="A17" s="8" t="inlineStr">
        <is>
          <t>SC1-014</t>
        </is>
      </c>
      <c r="B17" s="8" t="inlineStr">
        <is>
          <t>11/B</t>
        </is>
      </c>
      <c r="C17" s="8" t="inlineStr">
        <is>
          <t>C1-014</t>
        </is>
      </c>
      <c r="D17" s="8" t="inlineStr">
        <is>
          <t>X</t>
        </is>
      </c>
      <c r="E17" s="8" t="inlineStr">
        <is>
          <t>20x200x450</t>
        </is>
      </c>
      <c r="F17" s="9" t="n">
        <v>14.13</v>
      </c>
      <c r="G17" s="8" t="inlineStr">
        <is>
          <t>20x200x450</t>
        </is>
      </c>
      <c r="H17" s="9" t="n">
        <v>14.13</v>
      </c>
      <c r="I17" s="8" t="n">
        <v>6</v>
      </c>
      <c r="J17" s="9" t="n">
        <v>12.06</v>
      </c>
      <c r="K17" s="9" t="n">
        <v>0.645</v>
      </c>
      <c r="L17" s="9" t="n">
        <v>0.0031</v>
      </c>
      <c r="M17" s="8">
        <f>INDEX('4-เสา เหล็กเสริม'!$E:$E,MATCH("C1",'4-เสา เหล็กเสริม'!$A:$A,0))</f>
        <v/>
      </c>
      <c r="N17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เหล็กเสริม'!$A:$A,0))/2000-0.175)^2+(0.15000000000000036-INDEX('4-เสา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17" s="8">
        <f>IF(INDEX('4-เสา เหล็กเสริม'!$G:$G,MATCH("C1",'4-เสา เหล็กเสริม'!$A:$A,0))=0,"รอตารางเสา",ROUND(N17-10.0-INDEX('4-เสา เหล็กเสริม'!$G:$G,MATCH("C1",'4-เสา เหล็กเสริม'!$A:$A,0))/2,1))</f>
        <v/>
      </c>
      <c r="P17" s="8">
        <f>IF(INDEX('4-เสา เหล็กเสริม'!$G:$G,MATCH("C1",'4-เสา เหล็กเสริม'!$A:$A,0))=0,"รอตารางเสา",IF(O17&gt;=25,"ผ่าน (≥25 มม.)","ชน/แคบ ตรวจแบบ"))</f>
        <v/>
      </c>
    </row>
    <row r="18">
      <c r="A18" s="8" t="inlineStr">
        <is>
          <t>SC1-015</t>
        </is>
      </c>
      <c r="B18" s="8" t="inlineStr">
        <is>
          <t>1/C</t>
        </is>
      </c>
      <c r="C18" s="8" t="inlineStr">
        <is>
          <t>C1-015</t>
        </is>
      </c>
      <c r="D18" s="8" t="inlineStr">
        <is>
          <t>X</t>
        </is>
      </c>
      <c r="E18" s="8" t="inlineStr">
        <is>
          <t>20x200x450</t>
        </is>
      </c>
      <c r="F18" s="9" t="n">
        <v>14.13</v>
      </c>
      <c r="G18" s="8" t="inlineStr">
        <is>
          <t>20x200x450</t>
        </is>
      </c>
      <c r="H18" s="9" t="n">
        <v>14.13</v>
      </c>
      <c r="I18" s="8" t="n">
        <v>6</v>
      </c>
      <c r="J18" s="9" t="n">
        <v>12.06</v>
      </c>
      <c r="K18" s="9" t="n">
        <v>0.645</v>
      </c>
      <c r="L18" s="9" t="n">
        <v>0.0031</v>
      </c>
      <c r="M18" s="8">
        <f>INDEX('4-เสา เหล็กเสริม'!$E:$E,MATCH("C1",'4-เสา เหล็กเสริม'!$A:$A,0))</f>
        <v/>
      </c>
      <c r="N18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เหล็กเสริม'!$A:$A,0))/2000-0.175)^2+(0.15000000000000036-INDEX('4-เสา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18" s="8">
        <f>IF(INDEX('4-เสา เหล็กเสริม'!$G:$G,MATCH("C1",'4-เสา เหล็กเสริม'!$A:$A,0))=0,"รอตารางเสา",ROUND(N18-10.0-INDEX('4-เสา เหล็กเสริม'!$G:$G,MATCH("C1",'4-เสา เหล็กเสริม'!$A:$A,0))/2,1))</f>
        <v/>
      </c>
      <c r="P18" s="8">
        <f>IF(INDEX('4-เสา เหล็กเสริม'!$G:$G,MATCH("C1",'4-เสา เหล็กเสริม'!$A:$A,0))=0,"รอตารางเสา",IF(O18&gt;=25,"ผ่าน (≥25 มม.)","ชน/แคบ ตรวจแบบ"))</f>
        <v/>
      </c>
    </row>
    <row r="19">
      <c r="A19" s="8" t="inlineStr">
        <is>
          <t>SC1-016</t>
        </is>
      </c>
      <c r="B19" s="8" t="inlineStr">
        <is>
          <t>6/C</t>
        </is>
      </c>
      <c r="C19" s="8" t="inlineStr">
        <is>
          <t>C1-016</t>
        </is>
      </c>
      <c r="D19" s="8" t="inlineStr">
        <is>
          <t>X</t>
        </is>
      </c>
      <c r="E19" s="8" t="inlineStr">
        <is>
          <t>20x200x450</t>
        </is>
      </c>
      <c r="F19" s="9" t="n">
        <v>14.13</v>
      </c>
      <c r="G19" s="8" t="inlineStr">
        <is>
          <t>20x200x450</t>
        </is>
      </c>
      <c r="H19" s="9" t="n">
        <v>14.13</v>
      </c>
      <c r="I19" s="8" t="n">
        <v>6</v>
      </c>
      <c r="J19" s="9" t="n">
        <v>12.06</v>
      </c>
      <c r="K19" s="9" t="n">
        <v>0.645</v>
      </c>
      <c r="L19" s="9" t="n">
        <v>0.0031</v>
      </c>
      <c r="M19" s="8">
        <f>INDEX('4-เสา เหล็กเสริม'!$E:$E,MATCH("C1",'4-เสา เหล็กเสริม'!$A:$A,0))</f>
        <v/>
      </c>
      <c r="N19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เหล็กเสริม'!$A:$A,0))/2000-0.175)^2+(0.15000000000000036-INDEX('4-เสา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19" s="8">
        <f>IF(INDEX('4-เสา เหล็กเสริม'!$G:$G,MATCH("C1",'4-เสา เหล็กเสริม'!$A:$A,0))=0,"รอตารางเสา",ROUND(N19-10.0-INDEX('4-เสา เหล็กเสริม'!$G:$G,MATCH("C1",'4-เสา เหล็กเสริม'!$A:$A,0))/2,1))</f>
        <v/>
      </c>
      <c r="P19" s="8">
        <f>IF(INDEX('4-เสา เหล็กเสริม'!$G:$G,MATCH("C1",'4-เสา เหล็กเสริม'!$A:$A,0))=0,"รอตารางเสา",IF(O19&gt;=25,"ผ่าน (≥25 มม.)","ชน/แคบ ตรวจแบบ"))</f>
        <v/>
      </c>
    </row>
    <row r="20">
      <c r="A20" s="8" t="inlineStr">
        <is>
          <t>SC1-017</t>
        </is>
      </c>
      <c r="B20" s="8" t="inlineStr">
        <is>
          <t>11/C</t>
        </is>
      </c>
      <c r="C20" s="8" t="inlineStr">
        <is>
          <t>C1-017</t>
        </is>
      </c>
      <c r="D20" s="8" t="inlineStr">
        <is>
          <t>X</t>
        </is>
      </c>
      <c r="E20" s="8" t="inlineStr">
        <is>
          <t>20x200x450</t>
        </is>
      </c>
      <c r="F20" s="9" t="n">
        <v>14.13</v>
      </c>
      <c r="G20" s="8" t="inlineStr">
        <is>
          <t>20x200x450</t>
        </is>
      </c>
      <c r="H20" s="9" t="n">
        <v>14.13</v>
      </c>
      <c r="I20" s="8" t="n">
        <v>6</v>
      </c>
      <c r="J20" s="9" t="n">
        <v>12.06</v>
      </c>
      <c r="K20" s="9" t="n">
        <v>0.645</v>
      </c>
      <c r="L20" s="9" t="n">
        <v>0.0031</v>
      </c>
      <c r="M20" s="8">
        <f>INDEX('4-เสา เหล็กเสริม'!$E:$E,MATCH("C1",'4-เสา เหล็กเสริม'!$A:$A,0))</f>
        <v/>
      </c>
      <c r="N20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เหล็กเสริม'!$A:$A,0))/2000-0.175)^2+(0.15000000000000036-INDEX('4-เสา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20" s="8">
        <f>IF(INDEX('4-เสา เหล็กเสริม'!$G:$G,MATCH("C1",'4-เสา เหล็กเสริม'!$A:$A,0))=0,"รอตารางเสา",ROUND(N20-10.0-INDEX('4-เสา เหล็กเสริม'!$G:$G,MATCH("C1",'4-เสา เหล็กเสริม'!$A:$A,0))/2,1))</f>
        <v/>
      </c>
      <c r="P20" s="8">
        <f>IF(INDEX('4-เสา เหล็กเสริม'!$G:$G,MATCH("C1",'4-เสา เหล็กเสริม'!$A:$A,0))=0,"รอตารางเสา",IF(O20&gt;=25,"ผ่าน (≥25 มม.)","ชน/แคบ ตรวจแบบ"))</f>
        <v/>
      </c>
    </row>
    <row r="21">
      <c r="A21" s="8" t="inlineStr">
        <is>
          <t>SC1-018</t>
        </is>
      </c>
      <c r="B21" s="8" t="inlineStr">
        <is>
          <t>1/D</t>
        </is>
      </c>
      <c r="C21" s="8" t="inlineStr">
        <is>
          <t>C1-018</t>
        </is>
      </c>
      <c r="D21" s="8" t="inlineStr">
        <is>
          <t>X</t>
        </is>
      </c>
      <c r="E21" s="8" t="inlineStr">
        <is>
          <t>20x200x450</t>
        </is>
      </c>
      <c r="F21" s="9" t="n">
        <v>14.13</v>
      </c>
      <c r="G21" s="8" t="inlineStr">
        <is>
          <t>20x200x450</t>
        </is>
      </c>
      <c r="H21" s="9" t="n">
        <v>14.13</v>
      </c>
      <c r="I21" s="8" t="n">
        <v>6</v>
      </c>
      <c r="J21" s="9" t="n">
        <v>12.06</v>
      </c>
      <c r="K21" s="9" t="n">
        <v>0.645</v>
      </c>
      <c r="L21" s="9" t="n">
        <v>0.0031</v>
      </c>
      <c r="M21" s="8">
        <f>INDEX('4-เสา เหล็กเสริม'!$E:$E,MATCH("C1",'4-เสา เหล็กเสริม'!$A:$A,0))</f>
        <v/>
      </c>
      <c r="N21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21" s="8">
        <f>IF(INDEX('4-เสา เหล็กเสริม'!$G:$G,MATCH("C1",'4-เสา เหล็กเสริม'!$A:$A,0))=0,"รอตารางเสา",ROUND(N21-10.0-INDEX('4-เสา เหล็กเสริม'!$G:$G,MATCH("C1",'4-เสา เหล็กเสริม'!$A:$A,0))/2,1))</f>
        <v/>
      </c>
      <c r="P21" s="8">
        <f>IF(INDEX('4-เสา เหล็กเสริม'!$G:$G,MATCH("C1",'4-เสา เหล็กเสริม'!$A:$A,0))=0,"รอตารางเสา",IF(O21&gt;=25,"ผ่าน (≥25 มม.)","ชน/แคบ ตรวจแบบ"))</f>
        <v/>
      </c>
    </row>
    <row r="22">
      <c r="A22" s="8" t="inlineStr">
        <is>
          <t>SC1-019</t>
        </is>
      </c>
      <c r="B22" s="8" t="inlineStr">
        <is>
          <t>6/D</t>
        </is>
      </c>
      <c r="C22" s="8" t="inlineStr">
        <is>
          <t>C1-019</t>
        </is>
      </c>
      <c r="D22" s="8" t="inlineStr">
        <is>
          <t>X</t>
        </is>
      </c>
      <c r="E22" s="8" t="inlineStr">
        <is>
          <t>20x200x450</t>
        </is>
      </c>
      <c r="F22" s="9" t="n">
        <v>14.13</v>
      </c>
      <c r="G22" s="8" t="inlineStr">
        <is>
          <t>20x200x450</t>
        </is>
      </c>
      <c r="H22" s="9" t="n">
        <v>14.13</v>
      </c>
      <c r="I22" s="8" t="n">
        <v>6</v>
      </c>
      <c r="J22" s="9" t="n">
        <v>12.06</v>
      </c>
      <c r="K22" s="9" t="n">
        <v>0.645</v>
      </c>
      <c r="L22" s="9" t="n">
        <v>0.0031</v>
      </c>
      <c r="M22" s="8">
        <f>INDEX('4-เสา เหล็กเสริม'!$E:$E,MATCH("C1",'4-เสา เหล็กเสริม'!$A:$A,0))</f>
        <v/>
      </c>
      <c r="N22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22" s="8">
        <f>IF(INDEX('4-เสา เหล็กเสริม'!$G:$G,MATCH("C1",'4-เสา เหล็กเสริม'!$A:$A,0))=0,"รอตารางเสา",ROUND(N22-10.0-INDEX('4-เสา เหล็กเสริม'!$G:$G,MATCH("C1",'4-เสา เหล็กเสริม'!$A:$A,0))/2,1))</f>
        <v/>
      </c>
      <c r="P22" s="8">
        <f>IF(INDEX('4-เสา เหล็กเสริม'!$G:$G,MATCH("C1",'4-เสา เหล็กเสริม'!$A:$A,0))=0,"รอตารางเสา",IF(O22&gt;=25,"ผ่าน (≥25 มม.)","ชน/แคบ ตรวจแบบ"))</f>
        <v/>
      </c>
    </row>
    <row r="23">
      <c r="A23" s="8" t="inlineStr">
        <is>
          <t>SC1-020</t>
        </is>
      </c>
      <c r="B23" s="8" t="inlineStr">
        <is>
          <t>11/D</t>
        </is>
      </c>
      <c r="C23" s="8" t="inlineStr">
        <is>
          <t>C1-020</t>
        </is>
      </c>
      <c r="D23" s="8" t="inlineStr">
        <is>
          <t>X</t>
        </is>
      </c>
      <c r="E23" s="8" t="inlineStr">
        <is>
          <t>20x200x450</t>
        </is>
      </c>
      <c r="F23" s="9" t="n">
        <v>14.13</v>
      </c>
      <c r="G23" s="8" t="inlineStr">
        <is>
          <t>20x200x450</t>
        </is>
      </c>
      <c r="H23" s="9" t="n">
        <v>14.13</v>
      </c>
      <c r="I23" s="8" t="n">
        <v>6</v>
      </c>
      <c r="J23" s="9" t="n">
        <v>12.06</v>
      </c>
      <c r="K23" s="9" t="n">
        <v>0.645</v>
      </c>
      <c r="L23" s="9" t="n">
        <v>0.0031</v>
      </c>
      <c r="M23" s="8">
        <f>INDEX('4-เสา เหล็กเสริม'!$E:$E,MATCH("C1",'4-เสา เหล็กเสริม'!$A:$A,0))</f>
        <v/>
      </c>
      <c r="N23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23" s="8">
        <f>IF(INDEX('4-เสา เหล็กเสริม'!$G:$G,MATCH("C1",'4-เสา เหล็กเสริม'!$A:$A,0))=0,"รอตารางเสา",ROUND(N23-10.0-INDEX('4-เสา เหล็กเสริม'!$G:$G,MATCH("C1",'4-เสา เหล็กเสริม'!$A:$A,0))/2,1))</f>
        <v/>
      </c>
      <c r="P23" s="8">
        <f>IF(INDEX('4-เสา เหล็กเสริม'!$G:$G,MATCH("C1",'4-เสา เหล็กเสริม'!$A:$A,0))=0,"รอตารางเสา",IF(O23&gt;=25,"ผ่าน (≥25 มม.)","ชน/แคบ ตรวจแบบ"))</f>
        <v/>
      </c>
    </row>
    <row r="24">
      <c r="A24" s="8" t="inlineStr">
        <is>
          <t>SC1-021</t>
        </is>
      </c>
      <c r="B24" s="8" t="inlineStr">
        <is>
          <t>1/E</t>
        </is>
      </c>
      <c r="C24" s="8" t="inlineStr">
        <is>
          <t>C1-021</t>
        </is>
      </c>
      <c r="D24" s="8" t="inlineStr">
        <is>
          <t>X</t>
        </is>
      </c>
      <c r="E24" s="8" t="inlineStr">
        <is>
          <t>20x200x450</t>
        </is>
      </c>
      <c r="F24" s="9" t="n">
        <v>14.13</v>
      </c>
      <c r="G24" s="8" t="inlineStr">
        <is>
          <t>20x200x450</t>
        </is>
      </c>
      <c r="H24" s="9" t="n">
        <v>14.13</v>
      </c>
      <c r="I24" s="8" t="n">
        <v>6</v>
      </c>
      <c r="J24" s="9" t="n">
        <v>12.06</v>
      </c>
      <c r="K24" s="9" t="n">
        <v>0.645</v>
      </c>
      <c r="L24" s="9" t="n">
        <v>0.0031</v>
      </c>
      <c r="M24" s="8">
        <f>INDEX('4-เสา เหล็กเสริม'!$E:$E,MATCH("C1",'4-เสา เหล็กเสริม'!$A:$A,0))</f>
        <v/>
      </c>
      <c r="N24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24" s="8">
        <f>IF(INDEX('4-เสา เหล็กเสริม'!$G:$G,MATCH("C1",'4-เสา เหล็กเสริม'!$A:$A,0))=0,"รอตารางเสา",ROUND(N24-10.0-INDEX('4-เสา เหล็กเสริม'!$G:$G,MATCH("C1",'4-เสา เหล็กเสริม'!$A:$A,0))/2,1))</f>
        <v/>
      </c>
      <c r="P24" s="8">
        <f>IF(INDEX('4-เสา เหล็กเสริม'!$G:$G,MATCH("C1",'4-เสา เหล็กเสริม'!$A:$A,0))=0,"รอตารางเสา",IF(O24&gt;=25,"ผ่าน (≥25 มม.)","ชน/แคบ ตรวจแบบ"))</f>
        <v/>
      </c>
    </row>
    <row r="25">
      <c r="A25" s="8" t="inlineStr">
        <is>
          <t>SC1-022</t>
        </is>
      </c>
      <c r="B25" s="8" t="inlineStr">
        <is>
          <t>6/E</t>
        </is>
      </c>
      <c r="C25" s="8" t="inlineStr">
        <is>
          <t>C1-022</t>
        </is>
      </c>
      <c r="D25" s="8" t="inlineStr">
        <is>
          <t>X</t>
        </is>
      </c>
      <c r="E25" s="8" t="inlineStr">
        <is>
          <t>20x200x450</t>
        </is>
      </c>
      <c r="F25" s="9" t="n">
        <v>14.13</v>
      </c>
      <c r="G25" s="8" t="inlineStr">
        <is>
          <t>20x200x450</t>
        </is>
      </c>
      <c r="H25" s="9" t="n">
        <v>14.13</v>
      </c>
      <c r="I25" s="8" t="n">
        <v>6</v>
      </c>
      <c r="J25" s="9" t="n">
        <v>12.06</v>
      </c>
      <c r="K25" s="9" t="n">
        <v>0.645</v>
      </c>
      <c r="L25" s="9" t="n">
        <v>0.0031</v>
      </c>
      <c r="M25" s="8">
        <f>INDEX('4-เสา เหล็กเสริม'!$E:$E,MATCH("C1",'4-เสา เหล็กเสริม'!$A:$A,0))</f>
        <v/>
      </c>
      <c r="N25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25" s="8">
        <f>IF(INDEX('4-เสา เหล็กเสริม'!$G:$G,MATCH("C1",'4-เสา เหล็กเสริม'!$A:$A,0))=0,"รอตารางเสา",ROUND(N25-10.0-INDEX('4-เสา เหล็กเสริม'!$G:$G,MATCH("C1",'4-เสา เหล็กเสริม'!$A:$A,0))/2,1))</f>
        <v/>
      </c>
      <c r="P25" s="8">
        <f>IF(INDEX('4-เสา เหล็กเสริม'!$G:$G,MATCH("C1",'4-เสา เหล็กเสริม'!$A:$A,0))=0,"รอตารางเสา",IF(O25&gt;=25,"ผ่าน (≥25 มม.)","ชน/แคบ ตรวจแบบ"))</f>
        <v/>
      </c>
    </row>
    <row r="26">
      <c r="A26" s="8" t="inlineStr">
        <is>
          <t>SC1-023</t>
        </is>
      </c>
      <c r="B26" s="8" t="inlineStr">
        <is>
          <t>11/E</t>
        </is>
      </c>
      <c r="C26" s="8" t="inlineStr">
        <is>
          <t>C1-023</t>
        </is>
      </c>
      <c r="D26" s="8" t="inlineStr">
        <is>
          <t>X</t>
        </is>
      </c>
      <c r="E26" s="8" t="inlineStr">
        <is>
          <t>20x200x450</t>
        </is>
      </c>
      <c r="F26" s="9" t="n">
        <v>14.13</v>
      </c>
      <c r="G26" s="8" t="inlineStr">
        <is>
          <t>20x200x450</t>
        </is>
      </c>
      <c r="H26" s="9" t="n">
        <v>14.13</v>
      </c>
      <c r="I26" s="8" t="n">
        <v>6</v>
      </c>
      <c r="J26" s="9" t="n">
        <v>12.06</v>
      </c>
      <c r="K26" s="9" t="n">
        <v>0.645</v>
      </c>
      <c r="L26" s="9" t="n">
        <v>0.0031</v>
      </c>
      <c r="M26" s="8">
        <f>INDEX('4-เสา เหล็กเสริม'!$E:$E,MATCH("C1",'4-เสา เหล็กเสริม'!$A:$A,0))</f>
        <v/>
      </c>
      <c r="N26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26" s="8">
        <f>IF(INDEX('4-เสา เหล็กเสริม'!$G:$G,MATCH("C1",'4-เสา เหล็กเสริม'!$A:$A,0))=0,"รอตารางเสา",ROUND(N26-10.0-INDEX('4-เสา เหล็กเสริม'!$G:$G,MATCH("C1",'4-เสา เหล็กเสริม'!$A:$A,0))/2,1))</f>
        <v/>
      </c>
      <c r="P26" s="8">
        <f>IF(INDEX('4-เสา เหล็กเสริม'!$G:$G,MATCH("C1",'4-เสา เหล็กเสริม'!$A:$A,0))=0,"รอตารางเสา",IF(O26&gt;=25,"ผ่าน (≥25 มม.)","ชน/แคบ ตรวจแบบ"))</f>
        <v/>
      </c>
    </row>
    <row r="27">
      <c r="A27" s="8" t="inlineStr">
        <is>
          <t>SC1-024</t>
        </is>
      </c>
      <c r="B27" s="8" t="inlineStr">
        <is>
          <t>1/F</t>
        </is>
      </c>
      <c r="C27" s="8" t="inlineStr">
        <is>
          <t>C1-024</t>
        </is>
      </c>
      <c r="D27" s="8" t="inlineStr">
        <is>
          <t>X</t>
        </is>
      </c>
      <c r="E27" s="8" t="inlineStr">
        <is>
          <t>20x200x450</t>
        </is>
      </c>
      <c r="F27" s="9" t="n">
        <v>14.13</v>
      </c>
      <c r="G27" s="8" t="inlineStr">
        <is>
          <t>20x200x450</t>
        </is>
      </c>
      <c r="H27" s="9" t="n">
        <v>14.13</v>
      </c>
      <c r="I27" s="8" t="n">
        <v>6</v>
      </c>
      <c r="J27" s="9" t="n">
        <v>12.06</v>
      </c>
      <c r="K27" s="9" t="n">
        <v>0.645</v>
      </c>
      <c r="L27" s="9" t="n">
        <v>0.0031</v>
      </c>
      <c r="M27" s="8">
        <f>INDEX('4-เสา เหล็กเสริม'!$E:$E,MATCH("C1",'4-เสา เหล็กเสริม'!$A:$A,0))</f>
        <v/>
      </c>
      <c r="N27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27" s="8">
        <f>IF(INDEX('4-เสา เหล็กเสริม'!$G:$G,MATCH("C1",'4-เสา เหล็กเสริม'!$A:$A,0))=0,"รอตารางเสา",ROUND(N27-10.0-INDEX('4-เสา เหล็กเสริม'!$G:$G,MATCH("C1",'4-เสา เหล็กเสริม'!$A:$A,0))/2,1))</f>
        <v/>
      </c>
      <c r="P27" s="8">
        <f>IF(INDEX('4-เสา เหล็กเสริม'!$G:$G,MATCH("C1",'4-เสา เหล็กเสริม'!$A:$A,0))=0,"รอตารางเสา",IF(O27&gt;=25,"ผ่าน (≥25 มม.)","ชน/แคบ ตรวจแบบ"))</f>
        <v/>
      </c>
    </row>
    <row r="28">
      <c r="A28" s="8" t="inlineStr">
        <is>
          <t>SC1-025</t>
        </is>
      </c>
      <c r="B28" s="8" t="inlineStr">
        <is>
          <t>6/F</t>
        </is>
      </c>
      <c r="C28" s="8" t="inlineStr">
        <is>
          <t>C1-025</t>
        </is>
      </c>
      <c r="D28" s="8" t="inlineStr">
        <is>
          <t>X</t>
        </is>
      </c>
      <c r="E28" s="8" t="inlineStr">
        <is>
          <t>20x200x450</t>
        </is>
      </c>
      <c r="F28" s="9" t="n">
        <v>14.13</v>
      </c>
      <c r="G28" s="8" t="inlineStr">
        <is>
          <t>20x200x450</t>
        </is>
      </c>
      <c r="H28" s="9" t="n">
        <v>14.13</v>
      </c>
      <c r="I28" s="8" t="n">
        <v>6</v>
      </c>
      <c r="J28" s="9" t="n">
        <v>12.06</v>
      </c>
      <c r="K28" s="9" t="n">
        <v>0.645</v>
      </c>
      <c r="L28" s="9" t="n">
        <v>0.0031</v>
      </c>
      <c r="M28" s="8">
        <f>INDEX('4-เสา เหล็กเสริม'!$E:$E,MATCH("C1",'4-เสา เหล็กเสริม'!$A:$A,0))</f>
        <v/>
      </c>
      <c r="N28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28" s="8">
        <f>IF(INDEX('4-เสา เหล็กเสริม'!$G:$G,MATCH("C1",'4-เสา เหล็กเสริม'!$A:$A,0))=0,"รอตารางเสา",ROUND(N28-10.0-INDEX('4-เสา เหล็กเสริม'!$G:$G,MATCH("C1",'4-เสา เหล็กเสริม'!$A:$A,0))/2,1))</f>
        <v/>
      </c>
      <c r="P28" s="8">
        <f>IF(INDEX('4-เสา เหล็กเสริม'!$G:$G,MATCH("C1",'4-เสา เหล็กเสริม'!$A:$A,0))=0,"รอตารางเสา",IF(O28&gt;=25,"ผ่าน (≥25 มม.)","ชน/แคบ ตรวจแบบ"))</f>
        <v/>
      </c>
    </row>
    <row r="29">
      <c r="A29" s="8" t="inlineStr">
        <is>
          <t>SC1-026</t>
        </is>
      </c>
      <c r="B29" s="8" t="inlineStr">
        <is>
          <t>11/F</t>
        </is>
      </c>
      <c r="C29" s="8" t="inlineStr">
        <is>
          <t>C1-026</t>
        </is>
      </c>
      <c r="D29" s="8" t="inlineStr">
        <is>
          <t>X</t>
        </is>
      </c>
      <c r="E29" s="8" t="inlineStr">
        <is>
          <t>20x200x450</t>
        </is>
      </c>
      <c r="F29" s="9" t="n">
        <v>14.13</v>
      </c>
      <c r="G29" s="8" t="inlineStr">
        <is>
          <t>20x200x450</t>
        </is>
      </c>
      <c r="H29" s="9" t="n">
        <v>14.13</v>
      </c>
      <c r="I29" s="8" t="n">
        <v>6</v>
      </c>
      <c r="J29" s="9" t="n">
        <v>12.06</v>
      </c>
      <c r="K29" s="9" t="n">
        <v>0.645</v>
      </c>
      <c r="L29" s="9" t="n">
        <v>0.0031</v>
      </c>
      <c r="M29" s="8">
        <f>INDEX('4-เสา เหล็กเสริม'!$E:$E,MATCH("C1",'4-เสา เหล็กเสริม'!$A:$A,0))</f>
        <v/>
      </c>
      <c r="N29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29" s="8">
        <f>IF(INDEX('4-เสา เหล็กเสริม'!$G:$G,MATCH("C1",'4-เสา เหล็กเสริม'!$A:$A,0))=0,"รอตารางเสา",ROUND(N29-10.0-INDEX('4-เสา เหล็กเสริม'!$G:$G,MATCH("C1",'4-เสา เหล็กเสริม'!$A:$A,0))/2,1))</f>
        <v/>
      </c>
      <c r="P29" s="8">
        <f>IF(INDEX('4-เสา เหล็กเสริม'!$G:$G,MATCH("C1",'4-เสา เหล็กเสริม'!$A:$A,0))=0,"รอตารางเสา",IF(O29&gt;=25,"ผ่าน (≥25 มม.)","ชน/แคบ ตรวจแบบ"))</f>
        <v/>
      </c>
    </row>
    <row r="30">
      <c r="A30" s="8" t="inlineStr">
        <is>
          <t>SC1-027</t>
        </is>
      </c>
      <c r="B30" s="8" t="inlineStr">
        <is>
          <t>1/G</t>
        </is>
      </c>
      <c r="C30" s="8" t="inlineStr">
        <is>
          <t>C1-027</t>
        </is>
      </c>
      <c r="D30" s="8" t="inlineStr">
        <is>
          <t>X</t>
        </is>
      </c>
      <c r="E30" s="8" t="inlineStr">
        <is>
          <t>20x200x450</t>
        </is>
      </c>
      <c r="F30" s="9" t="n">
        <v>14.13</v>
      </c>
      <c r="G30" s="8" t="inlineStr">
        <is>
          <t>20x200x450</t>
        </is>
      </c>
      <c r="H30" s="9" t="n">
        <v>14.13</v>
      </c>
      <c r="I30" s="8" t="n">
        <v>6</v>
      </c>
      <c r="J30" s="9" t="n">
        <v>12.06</v>
      </c>
      <c r="K30" s="9" t="n">
        <v>0.645</v>
      </c>
      <c r="L30" s="9" t="n">
        <v>0.0031</v>
      </c>
      <c r="M30" s="8">
        <f>INDEX('4-เสา เหล็กเสริม'!$E:$E,MATCH("C1",'4-เสา เหล็กเสริม'!$A:$A,0))</f>
        <v/>
      </c>
      <c r="N30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30" s="8">
        <f>IF(INDEX('4-เสา เหล็กเสริม'!$G:$G,MATCH("C1",'4-เสา เหล็กเสริม'!$A:$A,0))=0,"รอตารางเสา",ROUND(N30-10.0-INDEX('4-เสา เหล็กเสริม'!$G:$G,MATCH("C1",'4-เสา เหล็กเสริม'!$A:$A,0))/2,1))</f>
        <v/>
      </c>
      <c r="P30" s="8">
        <f>IF(INDEX('4-เสา เหล็กเสริม'!$G:$G,MATCH("C1",'4-เสา เหล็กเสริม'!$A:$A,0))=0,"รอตารางเสา",IF(O30&gt;=25,"ผ่าน (≥25 มม.)","ชน/แคบ ตรวจแบบ"))</f>
        <v/>
      </c>
    </row>
    <row r="31">
      <c r="A31" s="8" t="inlineStr">
        <is>
          <t>SC1-028</t>
        </is>
      </c>
      <c r="B31" s="8" t="inlineStr">
        <is>
          <t>6/G</t>
        </is>
      </c>
      <c r="C31" s="8" t="inlineStr">
        <is>
          <t>C1-028</t>
        </is>
      </c>
      <c r="D31" s="8" t="inlineStr">
        <is>
          <t>X</t>
        </is>
      </c>
      <c r="E31" s="8" t="inlineStr">
        <is>
          <t>20x200x450</t>
        </is>
      </c>
      <c r="F31" s="9" t="n">
        <v>14.13</v>
      </c>
      <c r="G31" s="8" t="inlineStr">
        <is>
          <t>20x200x450</t>
        </is>
      </c>
      <c r="H31" s="9" t="n">
        <v>14.13</v>
      </c>
      <c r="I31" s="8" t="n">
        <v>6</v>
      </c>
      <c r="J31" s="9" t="n">
        <v>12.06</v>
      </c>
      <c r="K31" s="9" t="n">
        <v>0.645</v>
      </c>
      <c r="L31" s="9" t="n">
        <v>0.0031</v>
      </c>
      <c r="M31" s="8">
        <f>INDEX('4-เสา เหล็กเสริม'!$E:$E,MATCH("C1",'4-เสา เหล็กเสริม'!$A:$A,0))</f>
        <v/>
      </c>
      <c r="N31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31" s="8">
        <f>IF(INDEX('4-เสา เหล็กเสริม'!$G:$G,MATCH("C1",'4-เสา เหล็กเสริม'!$A:$A,0))=0,"รอตารางเสา",ROUND(N31-10.0-INDEX('4-เสา เหล็กเสริม'!$G:$G,MATCH("C1",'4-เสา เหล็กเสริม'!$A:$A,0))/2,1))</f>
        <v/>
      </c>
      <c r="P31" s="8">
        <f>IF(INDEX('4-เสา เหล็กเสริม'!$G:$G,MATCH("C1",'4-เสา เหล็กเสริม'!$A:$A,0))=0,"รอตารางเสา",IF(O31&gt;=25,"ผ่าน (≥25 มม.)","ชน/แคบ ตรวจแบบ"))</f>
        <v/>
      </c>
    </row>
    <row r="32">
      <c r="A32" s="8" t="inlineStr">
        <is>
          <t>SC1-029</t>
        </is>
      </c>
      <c r="B32" s="8" t="inlineStr">
        <is>
          <t>11/G</t>
        </is>
      </c>
      <c r="C32" s="8" t="inlineStr">
        <is>
          <t>C1-029</t>
        </is>
      </c>
      <c r="D32" s="8" t="inlineStr">
        <is>
          <t>X</t>
        </is>
      </c>
      <c r="E32" s="8" t="inlineStr">
        <is>
          <t>20x200x450</t>
        </is>
      </c>
      <c r="F32" s="9" t="n">
        <v>14.13</v>
      </c>
      <c r="G32" s="8" t="inlineStr">
        <is>
          <t>20x200x450</t>
        </is>
      </c>
      <c r="H32" s="9" t="n">
        <v>14.13</v>
      </c>
      <c r="I32" s="8" t="n">
        <v>6</v>
      </c>
      <c r="J32" s="9" t="n">
        <v>12.06</v>
      </c>
      <c r="K32" s="9" t="n">
        <v>0.645</v>
      </c>
      <c r="L32" s="9" t="n">
        <v>0.0031</v>
      </c>
      <c r="M32" s="8">
        <f>INDEX('4-เสา เหล็กเสริม'!$E:$E,MATCH("C1",'4-เสา เหล็กเสริม'!$A:$A,0))</f>
        <v/>
      </c>
      <c r="N32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32" s="8">
        <f>IF(INDEX('4-เสา เหล็กเสริม'!$G:$G,MATCH("C1",'4-เสา เหล็กเสริม'!$A:$A,0))=0,"รอตารางเสา",ROUND(N32-10.0-INDEX('4-เสา เหล็กเสริม'!$G:$G,MATCH("C1",'4-เสา เหล็กเสริม'!$A:$A,0))/2,1))</f>
        <v/>
      </c>
      <c r="P32" s="8">
        <f>IF(INDEX('4-เสา เหล็กเสริม'!$G:$G,MATCH("C1",'4-เสา เหล็กเสริม'!$A:$A,0))=0,"รอตารางเสา",IF(O32&gt;=25,"ผ่าน (≥25 มม.)","ชน/แคบ ตรวจแบบ"))</f>
        <v/>
      </c>
    </row>
    <row r="33">
      <c r="A33" s="8" t="inlineStr">
        <is>
          <t>SC1-030</t>
        </is>
      </c>
      <c r="B33" s="8" t="inlineStr">
        <is>
          <t>1/H</t>
        </is>
      </c>
      <c r="C33" s="8" t="inlineStr">
        <is>
          <t>C1-030</t>
        </is>
      </c>
      <c r="D33" s="8" t="inlineStr">
        <is>
          <t>X</t>
        </is>
      </c>
      <c r="E33" s="8" t="inlineStr">
        <is>
          <t>20x200x450</t>
        </is>
      </c>
      <c r="F33" s="9" t="n">
        <v>14.13</v>
      </c>
      <c r="G33" s="8" t="inlineStr">
        <is>
          <t>20x200x450</t>
        </is>
      </c>
      <c r="H33" s="9" t="n">
        <v>14.13</v>
      </c>
      <c r="I33" s="8" t="n">
        <v>6</v>
      </c>
      <c r="J33" s="9" t="n">
        <v>12.06</v>
      </c>
      <c r="K33" s="9" t="n">
        <v>0.645</v>
      </c>
      <c r="L33" s="9" t="n">
        <v>0.0031</v>
      </c>
      <c r="M33" s="8">
        <f>INDEX('4-เสา เหล็กเสริม'!$E:$E,MATCH("C1",'4-เสา เหล็กเสริม'!$A:$A,0))</f>
        <v/>
      </c>
      <c r="N33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33" s="8">
        <f>IF(INDEX('4-เสา เหล็กเสริม'!$G:$G,MATCH("C1",'4-เสา เหล็กเสริม'!$A:$A,0))=0,"รอตารางเสา",ROUND(N33-10.0-INDEX('4-เสา เหล็กเสริม'!$G:$G,MATCH("C1",'4-เสา เหล็กเสริม'!$A:$A,0))/2,1))</f>
        <v/>
      </c>
      <c r="P33" s="8">
        <f>IF(INDEX('4-เสา เหล็กเสริม'!$G:$G,MATCH("C1",'4-เสา เหล็กเสริม'!$A:$A,0))=0,"รอตารางเสา",IF(O33&gt;=25,"ผ่าน (≥25 มม.)","ชน/แคบ ตรวจแบบ"))</f>
        <v/>
      </c>
    </row>
    <row r="34">
      <c r="A34" s="8" t="inlineStr">
        <is>
          <t>SC1-031</t>
        </is>
      </c>
      <c r="B34" s="8" t="inlineStr">
        <is>
          <t>6/H</t>
        </is>
      </c>
      <c r="C34" s="8" t="inlineStr">
        <is>
          <t>C1-031</t>
        </is>
      </c>
      <c r="D34" s="8" t="inlineStr">
        <is>
          <t>X</t>
        </is>
      </c>
      <c r="E34" s="8" t="inlineStr">
        <is>
          <t>20x200x450</t>
        </is>
      </c>
      <c r="F34" s="9" t="n">
        <v>14.13</v>
      </c>
      <c r="G34" s="8" t="inlineStr">
        <is>
          <t>20x200x450</t>
        </is>
      </c>
      <c r="H34" s="9" t="n">
        <v>14.13</v>
      </c>
      <c r="I34" s="8" t="n">
        <v>6</v>
      </c>
      <c r="J34" s="9" t="n">
        <v>12.06</v>
      </c>
      <c r="K34" s="9" t="n">
        <v>0.645</v>
      </c>
      <c r="L34" s="9" t="n">
        <v>0.0031</v>
      </c>
      <c r="M34" s="8">
        <f>INDEX('4-เสา เหล็กเสริม'!$E:$E,MATCH("C1",'4-เสา เหล็กเสริม'!$A:$A,0))</f>
        <v/>
      </c>
      <c r="N34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34" s="8">
        <f>IF(INDEX('4-เสา เหล็กเสริม'!$G:$G,MATCH("C1",'4-เสา เหล็กเสริม'!$A:$A,0))=0,"รอตารางเสา",ROUND(N34-10.0-INDEX('4-เสา เหล็กเสริม'!$G:$G,MATCH("C1",'4-เสา เหล็กเสริม'!$A:$A,0))/2,1))</f>
        <v/>
      </c>
      <c r="P34" s="8">
        <f>IF(INDEX('4-เสา เหล็กเสริม'!$G:$G,MATCH("C1",'4-เสา เหล็กเสริม'!$A:$A,0))=0,"รอตารางเสา",IF(O34&gt;=25,"ผ่าน (≥25 มม.)","ชน/แคบ ตรวจแบบ"))</f>
        <v/>
      </c>
    </row>
    <row r="35">
      <c r="A35" s="8" t="inlineStr">
        <is>
          <t>SC1-032</t>
        </is>
      </c>
      <c r="B35" s="8" t="inlineStr">
        <is>
          <t>11/H</t>
        </is>
      </c>
      <c r="C35" s="8" t="inlineStr">
        <is>
          <t>C1-032</t>
        </is>
      </c>
      <c r="D35" s="8" t="inlineStr">
        <is>
          <t>X</t>
        </is>
      </c>
      <c r="E35" s="8" t="inlineStr">
        <is>
          <t>20x200x450</t>
        </is>
      </c>
      <c r="F35" s="9" t="n">
        <v>14.13</v>
      </c>
      <c r="G35" s="8" t="inlineStr">
        <is>
          <t>20x200x450</t>
        </is>
      </c>
      <c r="H35" s="9" t="n">
        <v>14.13</v>
      </c>
      <c r="I35" s="8" t="n">
        <v>6</v>
      </c>
      <c r="J35" s="9" t="n">
        <v>12.06</v>
      </c>
      <c r="K35" s="9" t="n">
        <v>0.645</v>
      </c>
      <c r="L35" s="9" t="n">
        <v>0.0031</v>
      </c>
      <c r="M35" s="8">
        <f>INDEX('4-เสา เหล็กเสริม'!$E:$E,MATCH("C1",'4-เสา เหล็กเสริม'!$A:$A,0))</f>
        <v/>
      </c>
      <c r="N35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35" s="8">
        <f>IF(INDEX('4-เสา เหล็กเสริม'!$G:$G,MATCH("C1",'4-เสา เหล็กเสริม'!$A:$A,0))=0,"รอตารางเสา",ROUND(N35-10.0-INDEX('4-เสา เหล็กเสริม'!$G:$G,MATCH("C1",'4-เสา เหล็กเสริม'!$A:$A,0))/2,1))</f>
        <v/>
      </c>
      <c r="P35" s="8">
        <f>IF(INDEX('4-เสา เหล็กเสริม'!$G:$G,MATCH("C1",'4-เสา เหล็กเสริม'!$A:$A,0))=0,"รอตารางเสา",IF(O35&gt;=25,"ผ่าน (≥25 มม.)","ชน/แคบ ตรวจแบบ"))</f>
        <v/>
      </c>
    </row>
    <row r="36">
      <c r="A36" s="8" t="inlineStr">
        <is>
          <t>SC1-033</t>
        </is>
      </c>
      <c r="B36" s="8" t="inlineStr">
        <is>
          <t>1/I</t>
        </is>
      </c>
      <c r="C36" s="8" t="inlineStr">
        <is>
          <t>C1-033</t>
        </is>
      </c>
      <c r="D36" s="8" t="inlineStr">
        <is>
          <t>X</t>
        </is>
      </c>
      <c r="E36" s="8" t="inlineStr">
        <is>
          <t>20x200x450</t>
        </is>
      </c>
      <c r="F36" s="9" t="n">
        <v>14.13</v>
      </c>
      <c r="G36" s="8" t="inlineStr">
        <is>
          <t>20x200x450</t>
        </is>
      </c>
      <c r="H36" s="9" t="n">
        <v>14.13</v>
      </c>
      <c r="I36" s="8" t="n">
        <v>6</v>
      </c>
      <c r="J36" s="9" t="n">
        <v>12.06</v>
      </c>
      <c r="K36" s="9" t="n">
        <v>0.645</v>
      </c>
      <c r="L36" s="9" t="n">
        <v>0.0031</v>
      </c>
      <c r="M36" s="8">
        <f>INDEX('4-เสา เหล็กเสริม'!$E:$E,MATCH("C1",'4-เสา เหล็กเสริม'!$A:$A,0))</f>
        <v/>
      </c>
      <c r="N36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36" s="8">
        <f>IF(INDEX('4-เสา เหล็กเสริม'!$G:$G,MATCH("C1",'4-เสา เหล็กเสริม'!$A:$A,0))=0,"รอตารางเสา",ROUND(N36-10.0-INDEX('4-เสา เหล็กเสริม'!$G:$G,MATCH("C1",'4-เสา เหล็กเสริม'!$A:$A,0))/2,1))</f>
        <v/>
      </c>
      <c r="P36" s="8">
        <f>IF(INDEX('4-เสา เหล็กเสริม'!$G:$G,MATCH("C1",'4-เสา เหล็กเสริม'!$A:$A,0))=0,"รอตารางเสา",IF(O36&gt;=25,"ผ่าน (≥25 มม.)","ชน/แคบ ตรวจแบบ"))</f>
        <v/>
      </c>
    </row>
    <row r="37">
      <c r="A37" s="8" t="inlineStr">
        <is>
          <t>SC1-034</t>
        </is>
      </c>
      <c r="B37" s="8" t="inlineStr">
        <is>
          <t>6/I</t>
        </is>
      </c>
      <c r="C37" s="8" t="inlineStr">
        <is>
          <t>C1-034</t>
        </is>
      </c>
      <c r="D37" s="8" t="inlineStr">
        <is>
          <t>X</t>
        </is>
      </c>
      <c r="E37" s="8" t="inlineStr">
        <is>
          <t>20x200x450</t>
        </is>
      </c>
      <c r="F37" s="9" t="n">
        <v>14.13</v>
      </c>
      <c r="G37" s="8" t="inlineStr">
        <is>
          <t>20x200x450</t>
        </is>
      </c>
      <c r="H37" s="9" t="n">
        <v>14.13</v>
      </c>
      <c r="I37" s="8" t="n">
        <v>6</v>
      </c>
      <c r="J37" s="9" t="n">
        <v>12.06</v>
      </c>
      <c r="K37" s="9" t="n">
        <v>0.645</v>
      </c>
      <c r="L37" s="9" t="n">
        <v>0.0031</v>
      </c>
      <c r="M37" s="8">
        <f>INDEX('4-เสา เหล็กเสริม'!$E:$E,MATCH("C1",'4-เสา เหล็กเสริม'!$A:$A,0))</f>
        <v/>
      </c>
      <c r="N37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37" s="8">
        <f>IF(INDEX('4-เสา เหล็กเสริม'!$G:$G,MATCH("C1",'4-เสา เหล็กเสริม'!$A:$A,0))=0,"รอตารางเสา",ROUND(N37-10.0-INDEX('4-เสา เหล็กเสริม'!$G:$G,MATCH("C1",'4-เสา เหล็กเสริม'!$A:$A,0))/2,1))</f>
        <v/>
      </c>
      <c r="P37" s="8">
        <f>IF(INDEX('4-เสา เหล็กเสริม'!$G:$G,MATCH("C1",'4-เสา เหล็กเสริม'!$A:$A,0))=0,"รอตารางเสา",IF(O37&gt;=25,"ผ่าน (≥25 มม.)","ชน/แคบ ตรวจแบบ"))</f>
        <v/>
      </c>
    </row>
    <row r="38">
      <c r="A38" s="8" t="inlineStr">
        <is>
          <t>SC1-035</t>
        </is>
      </c>
      <c r="B38" s="8" t="inlineStr">
        <is>
          <t>11/I</t>
        </is>
      </c>
      <c r="C38" s="8" t="inlineStr">
        <is>
          <t>C1-035</t>
        </is>
      </c>
      <c r="D38" s="8" t="inlineStr">
        <is>
          <t>X</t>
        </is>
      </c>
      <c r="E38" s="8" t="inlineStr">
        <is>
          <t>20x200x450</t>
        </is>
      </c>
      <c r="F38" s="9" t="n">
        <v>14.13</v>
      </c>
      <c r="G38" s="8" t="inlineStr">
        <is>
          <t>20x200x450</t>
        </is>
      </c>
      <c r="H38" s="9" t="n">
        <v>14.13</v>
      </c>
      <c r="I38" s="8" t="n">
        <v>6</v>
      </c>
      <c r="J38" s="9" t="n">
        <v>12.06</v>
      </c>
      <c r="K38" s="9" t="n">
        <v>0.645</v>
      </c>
      <c r="L38" s="9" t="n">
        <v>0.0031</v>
      </c>
      <c r="M38" s="8">
        <f>INDEX('4-เสา เหล็กเสริม'!$E:$E,MATCH("C1",'4-เสา เหล็กเสริม'!$A:$A,0))</f>
        <v/>
      </c>
      <c r="N38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38" s="8">
        <f>IF(INDEX('4-เสา เหล็กเสริม'!$G:$G,MATCH("C1",'4-เสา เหล็กเสริม'!$A:$A,0))=0,"รอตารางเสา",ROUND(N38-10.0-INDEX('4-เสา เหล็กเสริม'!$G:$G,MATCH("C1",'4-เสา เหล็กเสริม'!$A:$A,0))/2,1))</f>
        <v/>
      </c>
      <c r="P38" s="8">
        <f>IF(INDEX('4-เสา เหล็กเสริม'!$G:$G,MATCH("C1",'4-เสา เหล็กเสริม'!$A:$A,0))=0,"รอตารางเสา",IF(O38&gt;=25,"ผ่าน (≥25 มม.)","ชน/แคบ ตรวจแบบ"))</f>
        <v/>
      </c>
    </row>
    <row r="39">
      <c r="A39" s="8" t="inlineStr">
        <is>
          <t>SC1-036</t>
        </is>
      </c>
      <c r="B39" s="8" t="inlineStr">
        <is>
          <t>1/J</t>
        </is>
      </c>
      <c r="C39" s="8" t="inlineStr">
        <is>
          <t>C1-036</t>
        </is>
      </c>
      <c r="D39" s="8" t="inlineStr">
        <is>
          <t>X</t>
        </is>
      </c>
      <c r="E39" s="8" t="inlineStr">
        <is>
          <t>20x200x450</t>
        </is>
      </c>
      <c r="F39" s="9" t="n">
        <v>14.13</v>
      </c>
      <c r="G39" s="8" t="inlineStr">
        <is>
          <t>20x200x450</t>
        </is>
      </c>
      <c r="H39" s="9" t="n">
        <v>14.13</v>
      </c>
      <c r="I39" s="8" t="n">
        <v>6</v>
      </c>
      <c r="J39" s="9" t="n">
        <v>12.06</v>
      </c>
      <c r="K39" s="9" t="n">
        <v>0.645</v>
      </c>
      <c r="L39" s="9" t="n">
        <v>0.0031</v>
      </c>
      <c r="M39" s="8">
        <f>INDEX('4-เสา เหล็กเสริม'!$E:$E,MATCH("C1",'4-เสา เหล็กเสริม'!$A:$A,0))</f>
        <v/>
      </c>
      <c r="N39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39" s="8">
        <f>IF(INDEX('4-เสา เหล็กเสริม'!$G:$G,MATCH("C1",'4-เสา เหล็กเสริม'!$A:$A,0))=0,"รอตารางเสา",ROUND(N39-10.0-INDEX('4-เสา เหล็กเสริม'!$G:$G,MATCH("C1",'4-เสา เหล็กเสริม'!$A:$A,0))/2,1))</f>
        <v/>
      </c>
      <c r="P39" s="8">
        <f>IF(INDEX('4-เสา เหล็กเสริม'!$G:$G,MATCH("C1",'4-เสา เหล็กเสริม'!$A:$A,0))=0,"รอตารางเสา",IF(O39&gt;=25,"ผ่าน (≥25 มม.)","ชน/แคบ ตรวจแบบ"))</f>
        <v/>
      </c>
    </row>
    <row r="40">
      <c r="A40" s="8" t="inlineStr">
        <is>
          <t>SC1-037</t>
        </is>
      </c>
      <c r="B40" s="8" t="inlineStr">
        <is>
          <t>2/J</t>
        </is>
      </c>
      <c r="C40" s="8" t="inlineStr">
        <is>
          <t>C1-037</t>
        </is>
      </c>
      <c r="D40" s="8" t="inlineStr">
        <is>
          <t>Y</t>
        </is>
      </c>
      <c r="E40" s="8" t="inlineStr">
        <is>
          <t>20x200x450</t>
        </is>
      </c>
      <c r="F40" s="9" t="n">
        <v>14.13</v>
      </c>
      <c r="G40" s="8" t="inlineStr">
        <is>
          <t>20x200x450</t>
        </is>
      </c>
      <c r="H40" s="9" t="n">
        <v>14.13</v>
      </c>
      <c r="I40" s="8" t="n">
        <v>6</v>
      </c>
      <c r="J40" s="9" t="n">
        <v>12.06</v>
      </c>
      <c r="K40" s="9" t="n">
        <v>0.645</v>
      </c>
      <c r="L40" s="9" t="n">
        <v>0.0031</v>
      </c>
      <c r="M40" s="8">
        <f>INDEX('4-เสา เหล็กเสริม'!$E:$E,MATCH("C1",'4-เสา เหล็กเสริม'!$A:$A,0))</f>
        <v/>
      </c>
      <c r="N40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เหล็กเสริม'!$A:$A,0))/2000-0.175)^2+(0.15000000000000036-INDEX('4-เสา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40" s="8">
        <f>IF(INDEX('4-เสา เหล็กเสริม'!$G:$G,MATCH("C1",'4-เสา เหล็กเสริม'!$A:$A,0))=0,"รอตารางเสา",ROUND(N40-10.0-INDEX('4-เสา เหล็กเสริม'!$G:$G,MATCH("C1",'4-เสา เหล็กเสริม'!$A:$A,0))/2,1))</f>
        <v/>
      </c>
      <c r="P40" s="8">
        <f>IF(INDEX('4-เสา เหล็กเสริม'!$G:$G,MATCH("C1",'4-เสา เหล็กเสริม'!$A:$A,0))=0,"รอตารางเสา",IF(O40&gt;=25,"ผ่าน (≥25 มม.)","ชน/แคบ ตรวจแบบ"))</f>
        <v/>
      </c>
    </row>
    <row r="41">
      <c r="A41" s="8" t="inlineStr">
        <is>
          <t>SC1-038</t>
        </is>
      </c>
      <c r="B41" s="8" t="inlineStr">
        <is>
          <t>3/J</t>
        </is>
      </c>
      <c r="C41" s="8" t="inlineStr">
        <is>
          <t>C1-038</t>
        </is>
      </c>
      <c r="D41" s="8" t="inlineStr">
        <is>
          <t>Y</t>
        </is>
      </c>
      <c r="E41" s="8" t="inlineStr">
        <is>
          <t>20x200x450</t>
        </is>
      </c>
      <c r="F41" s="9" t="n">
        <v>14.13</v>
      </c>
      <c r="G41" s="8" t="inlineStr">
        <is>
          <t>20x200x450</t>
        </is>
      </c>
      <c r="H41" s="9" t="n">
        <v>14.13</v>
      </c>
      <c r="I41" s="8" t="n">
        <v>6</v>
      </c>
      <c r="J41" s="9" t="n">
        <v>12.06</v>
      </c>
      <c r="K41" s="9" t="n">
        <v>0.645</v>
      </c>
      <c r="L41" s="9" t="n">
        <v>0.0031</v>
      </c>
      <c r="M41" s="8">
        <f>INDEX('4-เสา เหล็กเสริม'!$E:$E,MATCH("C1",'4-เสา เหล็กเสริม'!$A:$A,0))</f>
        <v/>
      </c>
      <c r="N41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เหล็กเสริม'!$A:$A,0))/2000-0.175)^2+(0.15000000000000036-INDEX('4-เสา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41" s="8">
        <f>IF(INDEX('4-เสา เหล็กเสริม'!$G:$G,MATCH("C1",'4-เสา เหล็กเสริม'!$A:$A,0))=0,"รอตารางเสา",ROUND(N41-10.0-INDEX('4-เสา เหล็กเสริม'!$G:$G,MATCH("C1",'4-เสา เหล็กเสริม'!$A:$A,0))/2,1))</f>
        <v/>
      </c>
      <c r="P41" s="8">
        <f>IF(INDEX('4-เสา เหล็กเสริม'!$G:$G,MATCH("C1",'4-เสา เหล็กเสริม'!$A:$A,0))=0,"รอตารางเสา",IF(O41&gt;=25,"ผ่าน (≥25 มม.)","ชน/แคบ ตรวจแบบ"))</f>
        <v/>
      </c>
    </row>
    <row r="42">
      <c r="A42" s="8" t="inlineStr">
        <is>
          <t>SC1-039</t>
        </is>
      </c>
      <c r="B42" s="8" t="inlineStr">
        <is>
          <t>4/J</t>
        </is>
      </c>
      <c r="C42" s="8" t="inlineStr">
        <is>
          <t>C1-039</t>
        </is>
      </c>
      <c r="D42" s="8" t="inlineStr">
        <is>
          <t>Y</t>
        </is>
      </c>
      <c r="E42" s="8" t="inlineStr">
        <is>
          <t>20x200x450</t>
        </is>
      </c>
      <c r="F42" s="9" t="n">
        <v>14.13</v>
      </c>
      <c r="G42" s="8" t="inlineStr">
        <is>
          <t>20x200x450</t>
        </is>
      </c>
      <c r="H42" s="9" t="n">
        <v>14.13</v>
      </c>
      <c r="I42" s="8" t="n">
        <v>6</v>
      </c>
      <c r="J42" s="9" t="n">
        <v>12.06</v>
      </c>
      <c r="K42" s="9" t="n">
        <v>0.645</v>
      </c>
      <c r="L42" s="9" t="n">
        <v>0.0031</v>
      </c>
      <c r="M42" s="8">
        <f>INDEX('4-เสา เหล็กเสริม'!$E:$E,MATCH("C1",'4-เสา เหล็กเสริม'!$A:$A,0))</f>
        <v/>
      </c>
      <c r="N42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42" s="8">
        <f>IF(INDEX('4-เสา เหล็กเสริม'!$G:$G,MATCH("C1",'4-เสา เหล็กเสริม'!$A:$A,0))=0,"รอตารางเสา",ROUND(N42-10.0-INDEX('4-เสา เหล็กเสริม'!$G:$G,MATCH("C1",'4-เสา เหล็กเสริม'!$A:$A,0))/2,1))</f>
        <v/>
      </c>
      <c r="P42" s="8">
        <f>IF(INDEX('4-เสา เหล็กเสริม'!$G:$G,MATCH("C1",'4-เสา เหล็กเสริม'!$A:$A,0))=0,"รอตารางเสา",IF(O42&gt;=25,"ผ่าน (≥25 มม.)","ชน/แคบ ตรวจแบบ"))</f>
        <v/>
      </c>
    </row>
    <row r="43">
      <c r="A43" s="8" t="inlineStr">
        <is>
          <t>SC1-040</t>
        </is>
      </c>
      <c r="B43" s="8" t="inlineStr">
        <is>
          <t>5/J</t>
        </is>
      </c>
      <c r="C43" s="8" t="inlineStr">
        <is>
          <t>C1-040</t>
        </is>
      </c>
      <c r="D43" s="8" t="inlineStr">
        <is>
          <t>Y</t>
        </is>
      </c>
      <c r="E43" s="8" t="inlineStr">
        <is>
          <t>20x200x450</t>
        </is>
      </c>
      <c r="F43" s="9" t="n">
        <v>14.13</v>
      </c>
      <c r="G43" s="8" t="inlineStr">
        <is>
          <t>20x200x450</t>
        </is>
      </c>
      <c r="H43" s="9" t="n">
        <v>14.13</v>
      </c>
      <c r="I43" s="8" t="n">
        <v>6</v>
      </c>
      <c r="J43" s="9" t="n">
        <v>12.06</v>
      </c>
      <c r="K43" s="9" t="n">
        <v>0.645</v>
      </c>
      <c r="L43" s="9" t="n">
        <v>0.0031</v>
      </c>
      <c r="M43" s="8">
        <f>INDEX('4-เสา เหล็กเสริม'!$E:$E,MATCH("C1",'4-เสา เหล็กเสริม'!$A:$A,0))</f>
        <v/>
      </c>
      <c r="N43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43" s="8">
        <f>IF(INDEX('4-เสา เหล็กเสริม'!$G:$G,MATCH("C1",'4-เสา เหล็กเสริม'!$A:$A,0))=0,"รอตารางเสา",ROUND(N43-10.0-INDEX('4-เสา เหล็กเสริม'!$G:$G,MATCH("C1",'4-เสา เหล็กเสริม'!$A:$A,0))/2,1))</f>
        <v/>
      </c>
      <c r="P43" s="8">
        <f>IF(INDEX('4-เสา เหล็กเสริม'!$G:$G,MATCH("C1",'4-เสา เหล็กเสริม'!$A:$A,0))=0,"รอตารางเสา",IF(O43&gt;=25,"ผ่าน (≥25 มม.)","ชน/แคบ ตรวจแบบ"))</f>
        <v/>
      </c>
    </row>
    <row r="44">
      <c r="A44" s="8" t="inlineStr">
        <is>
          <t>SC1-041</t>
        </is>
      </c>
      <c r="B44" s="8" t="inlineStr">
        <is>
          <t>6/J</t>
        </is>
      </c>
      <c r="C44" s="8" t="inlineStr">
        <is>
          <t>C2-001</t>
        </is>
      </c>
      <c r="D44" s="8" t="inlineStr">
        <is>
          <t>X</t>
        </is>
      </c>
      <c r="E44" s="8" t="inlineStr">
        <is>
          <t>20x200x450</t>
        </is>
      </c>
      <c r="F44" s="9" t="n">
        <v>14.13</v>
      </c>
      <c r="G44" s="8" t="inlineStr">
        <is>
          <t>20x200x450</t>
        </is>
      </c>
      <c r="H44" s="9" t="n">
        <v>14.13</v>
      </c>
      <c r="I44" s="8" t="n">
        <v>6</v>
      </c>
      <c r="J44" s="9" t="n">
        <v>12.06</v>
      </c>
      <c r="K44" s="9" t="n">
        <v>0.645</v>
      </c>
      <c r="L44" s="9" t="n">
        <v>0.0031</v>
      </c>
      <c r="M44" s="8">
        <f>INDEX('4-เสา เหล็กเสริม'!$E:$E,MATCH("C2",'4-เสา เหล็กเสริม'!$A:$A,0))</f>
        <v/>
      </c>
      <c r="N44" s="8">
        <f>IF(INDEX('4-เสา เหล็กเสริม'!$G:$G,MATCH("C2",'4-เสา เหล็กเสริม'!$A:$A,0))=0,"รอตารางเสา",ROUND(1000*SQRT((0.25-INDEX('4-เสา เหล็กเสริม'!$E:$E,MATCH("C2",'4-เสา เหล็กเสริม'!$A:$A,0))-INDEX('4-เสา เหล็กเสริม'!$J:$J,MATCH("C2",'4-เสา เหล็กเสริม'!$A:$A,0))/1000-INDEX('4-เสา เหล็กเสริม'!$G:$G,MATCH("C2",'4-เสา เหล็กเสริม'!$A:$A,0))/2000-0.175)^2+(0.25-INDEX('4-เสา เหล็กเสริม'!$E:$E,MATCH("C2",'4-เสา เหล็กเสริม'!$A:$A,0))-INDEX('4-เสา เหล็กเสริม'!$J:$J,MATCH("C2",'4-เสา เหล็กเสริม'!$A:$A,0))/1000-INDEX('4-เสา เหล็กเสริม'!$G:$G,MATCH("C2",'4-เสา เหล็กเสริม'!$A:$A,0))/2000-0.05)^2),1))</f>
        <v/>
      </c>
      <c r="O44" s="8">
        <f>IF(INDEX('4-เสา เหล็กเสริม'!$G:$G,MATCH("C2",'4-เสา เหล็กเสริม'!$A:$A,0))=0,"รอตารางเสา",ROUND(N44-10.0-INDEX('4-เสา เหล็กเสริม'!$G:$G,MATCH("C2",'4-เสา เหล็กเสริม'!$A:$A,0))/2,1))</f>
        <v/>
      </c>
      <c r="P44" s="8">
        <f>IF(INDEX('4-เสา เหล็กเสริม'!$G:$G,MATCH("C2",'4-เสา เหล็กเสริม'!$A:$A,0))=0,"รอตารางเสา",IF(O44&gt;=25,"ผ่าน (≥25 มม.)","ชน/แคบ ตรวจแบบ"))</f>
        <v/>
      </c>
    </row>
    <row r="45">
      <c r="A45" s="8" t="inlineStr">
        <is>
          <t>SC1-042</t>
        </is>
      </c>
      <c r="B45" s="8" t="inlineStr">
        <is>
          <t>7/J</t>
        </is>
      </c>
      <c r="C45" s="8" t="inlineStr">
        <is>
          <t>C1-041</t>
        </is>
      </c>
      <c r="D45" s="8" t="inlineStr">
        <is>
          <t>Y</t>
        </is>
      </c>
      <c r="E45" s="8" t="inlineStr">
        <is>
          <t>20x200x450</t>
        </is>
      </c>
      <c r="F45" s="9" t="n">
        <v>14.13</v>
      </c>
      <c r="G45" s="8" t="inlineStr">
        <is>
          <t>20x200x450</t>
        </is>
      </c>
      <c r="H45" s="9" t="n">
        <v>14.13</v>
      </c>
      <c r="I45" s="8" t="n">
        <v>6</v>
      </c>
      <c r="J45" s="9" t="n">
        <v>12.06</v>
      </c>
      <c r="K45" s="9" t="n">
        <v>0.645</v>
      </c>
      <c r="L45" s="9" t="n">
        <v>0.0031</v>
      </c>
      <c r="M45" s="8">
        <f>INDEX('4-เสา เหล็กเสริม'!$E:$E,MATCH("C1",'4-เสา เหล็กเสริม'!$A:$A,0))</f>
        <v/>
      </c>
      <c r="N45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45" s="8">
        <f>IF(INDEX('4-เสา เหล็กเสริม'!$G:$G,MATCH("C1",'4-เสา เหล็กเสริม'!$A:$A,0))=0,"รอตารางเสา",ROUND(N45-10.0-INDEX('4-เสา เหล็กเสริม'!$G:$G,MATCH("C1",'4-เสา เหล็กเสริม'!$A:$A,0))/2,1))</f>
        <v/>
      </c>
      <c r="P45" s="8">
        <f>IF(INDEX('4-เสา เหล็กเสริม'!$G:$G,MATCH("C1",'4-เสา เหล็กเสริม'!$A:$A,0))=0,"รอตารางเสา",IF(O45&gt;=25,"ผ่าน (≥25 มม.)","ชน/แคบ ตรวจแบบ"))</f>
        <v/>
      </c>
    </row>
    <row r="46">
      <c r="A46" s="8" t="inlineStr">
        <is>
          <t>SC1-043</t>
        </is>
      </c>
      <c r="B46" s="8" t="inlineStr">
        <is>
          <t>8/J</t>
        </is>
      </c>
      <c r="C46" s="8" t="inlineStr">
        <is>
          <t>C1-042</t>
        </is>
      </c>
      <c r="D46" s="8" t="inlineStr">
        <is>
          <t>Y</t>
        </is>
      </c>
      <c r="E46" s="8" t="inlineStr">
        <is>
          <t>20x200x450</t>
        </is>
      </c>
      <c r="F46" s="9" t="n">
        <v>14.13</v>
      </c>
      <c r="G46" s="8" t="inlineStr">
        <is>
          <t>20x200x450</t>
        </is>
      </c>
      <c r="H46" s="9" t="n">
        <v>14.13</v>
      </c>
      <c r="I46" s="8" t="n">
        <v>6</v>
      </c>
      <c r="J46" s="9" t="n">
        <v>12.06</v>
      </c>
      <c r="K46" s="9" t="n">
        <v>0.645</v>
      </c>
      <c r="L46" s="9" t="n">
        <v>0.0031</v>
      </c>
      <c r="M46" s="8">
        <f>INDEX('4-เสา เหล็กเสริม'!$E:$E,MATCH("C1",'4-เสา เหล็กเสริม'!$A:$A,0))</f>
        <v/>
      </c>
      <c r="N46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46" s="8">
        <f>IF(INDEX('4-เสา เหล็กเสริม'!$G:$G,MATCH("C1",'4-เสา เหล็กเสริม'!$A:$A,0))=0,"รอตารางเสา",ROUND(N46-10.0-INDEX('4-เสา เหล็กเสริม'!$G:$G,MATCH("C1",'4-เสา เหล็กเสริม'!$A:$A,0))/2,1))</f>
        <v/>
      </c>
      <c r="P46" s="8">
        <f>IF(INDEX('4-เสา เหล็กเสริม'!$G:$G,MATCH("C1",'4-เสา เหล็กเสริม'!$A:$A,0))=0,"รอตารางเสา",IF(O46&gt;=25,"ผ่าน (≥25 มม.)","ชน/แคบ ตรวจแบบ"))</f>
        <v/>
      </c>
    </row>
    <row r="47">
      <c r="A47" s="8" t="inlineStr">
        <is>
          <t>SC1-044</t>
        </is>
      </c>
      <c r="B47" s="8" t="inlineStr">
        <is>
          <t>9/J</t>
        </is>
      </c>
      <c r="C47" s="8" t="inlineStr">
        <is>
          <t>C1-043</t>
        </is>
      </c>
      <c r="D47" s="8" t="inlineStr">
        <is>
          <t>Y</t>
        </is>
      </c>
      <c r="E47" s="8" t="inlineStr">
        <is>
          <t>20x200x450</t>
        </is>
      </c>
      <c r="F47" s="9" t="n">
        <v>14.13</v>
      </c>
      <c r="G47" s="8" t="inlineStr">
        <is>
          <t>20x200x450</t>
        </is>
      </c>
      <c r="H47" s="9" t="n">
        <v>14.13</v>
      </c>
      <c r="I47" s="8" t="n">
        <v>6</v>
      </c>
      <c r="J47" s="9" t="n">
        <v>12.06</v>
      </c>
      <c r="K47" s="9" t="n">
        <v>0.645</v>
      </c>
      <c r="L47" s="9" t="n">
        <v>0.0031</v>
      </c>
      <c r="M47" s="8">
        <f>INDEX('4-เสา เหล็กเสริม'!$E:$E,MATCH("C1",'4-เสา เหล็กเสริม'!$A:$A,0))</f>
        <v/>
      </c>
      <c r="N47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47" s="8">
        <f>IF(INDEX('4-เสา เหล็กเสริม'!$G:$G,MATCH("C1",'4-เสา เหล็กเสริม'!$A:$A,0))=0,"รอตารางเสา",ROUND(N47-10.0-INDEX('4-เสา เหล็กเสริม'!$G:$G,MATCH("C1",'4-เสา เหล็กเสริม'!$A:$A,0))/2,1))</f>
        <v/>
      </c>
      <c r="P47" s="8">
        <f>IF(INDEX('4-เสา เหล็กเสริม'!$G:$G,MATCH("C1",'4-เสา เหล็กเสริม'!$A:$A,0))=0,"รอตารางเสา",IF(O47&gt;=25,"ผ่าน (≥25 มม.)","ชน/แคบ ตรวจแบบ"))</f>
        <v/>
      </c>
    </row>
    <row r="48">
      <c r="A48" s="8" t="inlineStr">
        <is>
          <t>SC1-045</t>
        </is>
      </c>
      <c r="B48" s="8" t="inlineStr">
        <is>
          <t>10/J</t>
        </is>
      </c>
      <c r="C48" s="8" t="inlineStr">
        <is>
          <t>C1-044</t>
        </is>
      </c>
      <c r="D48" s="8" t="inlineStr">
        <is>
          <t>Y</t>
        </is>
      </c>
      <c r="E48" s="8" t="inlineStr">
        <is>
          <t>20x200x450</t>
        </is>
      </c>
      <c r="F48" s="9" t="n">
        <v>14.13</v>
      </c>
      <c r="G48" s="8" t="inlineStr">
        <is>
          <t>20x200x450</t>
        </is>
      </c>
      <c r="H48" s="9" t="n">
        <v>14.13</v>
      </c>
      <c r="I48" s="8" t="n">
        <v>6</v>
      </c>
      <c r="J48" s="9" t="n">
        <v>12.06</v>
      </c>
      <c r="K48" s="9" t="n">
        <v>0.645</v>
      </c>
      <c r="L48" s="9" t="n">
        <v>0.0031</v>
      </c>
      <c r="M48" s="8">
        <f>INDEX('4-เสา เหล็กเสริม'!$E:$E,MATCH("C1",'4-เสา เหล็กเสริม'!$A:$A,0))</f>
        <v/>
      </c>
      <c r="N48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48" s="8">
        <f>IF(INDEX('4-เสา เหล็กเสริม'!$G:$G,MATCH("C1",'4-เสา เหล็กเสริม'!$A:$A,0))=0,"รอตารางเสา",ROUND(N48-10.0-INDEX('4-เสา เหล็กเสริม'!$G:$G,MATCH("C1",'4-เสา เหล็กเสริม'!$A:$A,0))/2,1))</f>
        <v/>
      </c>
      <c r="P48" s="8">
        <f>IF(INDEX('4-เสา เหล็กเสริม'!$G:$G,MATCH("C1",'4-เสา เหล็กเสริม'!$A:$A,0))=0,"รอตารางเสา",IF(O48&gt;=25,"ผ่าน (≥25 มม.)","ชน/แคบ ตรวจแบบ"))</f>
        <v/>
      </c>
    </row>
    <row r="49">
      <c r="A49" s="8" t="inlineStr">
        <is>
          <t>SC1-046</t>
        </is>
      </c>
      <c r="B49" s="8" t="inlineStr">
        <is>
          <t>11/J</t>
        </is>
      </c>
      <c r="C49" s="8" t="inlineStr">
        <is>
          <t>C1-045</t>
        </is>
      </c>
      <c r="D49" s="8" t="inlineStr">
        <is>
          <t>X</t>
        </is>
      </c>
      <c r="E49" s="8" t="inlineStr">
        <is>
          <t>20x200x450</t>
        </is>
      </c>
      <c r="F49" s="9" t="n">
        <v>14.13</v>
      </c>
      <c r="G49" s="8" t="inlineStr">
        <is>
          <t>20x200x450</t>
        </is>
      </c>
      <c r="H49" s="9" t="n">
        <v>14.13</v>
      </c>
      <c r="I49" s="8" t="n">
        <v>6</v>
      </c>
      <c r="J49" s="9" t="n">
        <v>12.06</v>
      </c>
      <c r="K49" s="9" t="n">
        <v>0.645</v>
      </c>
      <c r="L49" s="9" t="n">
        <v>0.0031</v>
      </c>
      <c r="M49" s="8">
        <f>INDEX('4-เสา เหล็กเสริม'!$E:$E,MATCH("C1",'4-เสา เหล็กเสริม'!$A:$A,0))</f>
        <v/>
      </c>
      <c r="N49" s="8">
        <f>IF(INDEX('4-เสา เหล็กเสริม'!$G:$G,MATCH("C1",'4-เสา เหล็กเสริม'!$A:$A,0))=0,"รอตารางเสา",ROUND(1000*SQRT((0.25-INDEX('4-เสา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เหล็กเสริม'!$A:$A,0))/2000-0.175)^2+(0.14999999999999858-INDEX('4-เสา เหล็กเสริม'!$E:$E,MATCH("C1",'4-เสา เหล็กเสริม'!$A:$A,0))-INDEX('4-เสา เหล็กเสริม'!$J:$J,MATCH("C1",'4-เสา เหล็กเสริม'!$A:$A,0))/1000-INDEX('4-เสา เหล็กเสริม'!$G:$G,MATCH("C1",'4-เสา เหล็กเสริม'!$A:$A,0))/2000-0.05)^2),1))</f>
        <v/>
      </c>
      <c r="O49" s="8">
        <f>IF(INDEX('4-เสา เหล็กเสริม'!$G:$G,MATCH("C1",'4-เสา เหล็กเสริม'!$A:$A,0))=0,"รอตารางเสา",ROUND(N49-10.0-INDEX('4-เสา เหล็กเสริม'!$G:$G,MATCH("C1",'4-เสา เหล็กเสริม'!$A:$A,0))/2,1))</f>
        <v/>
      </c>
      <c r="P49" s="8">
        <f>IF(INDEX('4-เสา เหล็กเสริม'!$G:$G,MATCH("C1",'4-เสา เหล็กเสริม'!$A:$A,0))=0,"รอตารางเสา",IF(O49&gt;=25,"ผ่าน (≥25 มม.)","ชน/แคบ ตรวจแบบ"))</f>
        <v/>
      </c>
    </row>
    <row r="50">
      <c r="A50" s="8" t="inlineStr">
        <is>
          <t>รวม</t>
        </is>
      </c>
      <c r="B50" s="8" t="inlineStr"/>
      <c r="C50" s="8" t="inlineStr"/>
      <c r="D50" s="8" t="inlineStr"/>
      <c r="E50" s="8">
        <f>COUNTA(E4:E49)</f>
        <v/>
      </c>
      <c r="F50" s="8">
        <f>SUM(F4:F49)</f>
        <v/>
      </c>
      <c r="G50" s="8">
        <f>COUNTA(G4:G49)</f>
        <v/>
      </c>
      <c r="H50" s="8">
        <f>SUM(H4:H49)</f>
        <v/>
      </c>
      <c r="I50" s="8">
        <f>SUM(I4:I49)</f>
        <v/>
      </c>
      <c r="J50" s="8">
        <f>SUM(J4:J49)</f>
        <v/>
      </c>
      <c r="K50" s="8" t="inlineStr"/>
      <c r="L50" s="8">
        <f>SUM(L4:L49)</f>
        <v/>
      </c>
      <c r="M50" s="8" t="n"/>
      <c r="N50" s="8" t="n"/>
      <c r="O50" s="8" t="n"/>
      <c r="P50" s="8" t="n"/>
    </row>
    <row r="51">
      <c r="A51" s="8" t="inlineStr">
        <is>
          <t>หมายเหตุ: ค่าเบื้องต้นจากผู้ว่าจ้าง 28/10/69; ตำแหน่งสลัก 3x2 ระยะ 175x100 มม. ระยะขอบแผ่น 50 มม. (สมมติ) ฝังจากหัวเสา +4.50 ลึก 645 มม.; การตรวจระยะใช้เหล็กยืนมุมเสา (ระยะหุ้ม + ปลอก + Ø/2) จากชีต 4 เกณฑ์ช่องว่าง ≥ 25 มม.; สลักคู่กลางอยู่ระหว่างปีกเสา H ตรวจที่ขันน็อต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50" customWidth="1" min="4" max="4"/>
    <col width="44" customWidth="1" min="5" max="5"/>
    <col width="22" customWidth="1" min="6" max="6"/>
  </cols>
  <sheetData>
    <row r="1">
      <c r="A1" s="1" t="inlineStr">
        <is>
          <t>ข้อมูลที่ต้องยืนยันหรือขอจากผู้ออกแบบก่อนขึ้นรูปเหล็กเสริมและสรุปราคา</t>
        </is>
      </c>
    </row>
    <row r="2">
      <c r="A2" s="2" t="inlineStr">
        <is>
          <t>ลำดับ</t>
        </is>
      </c>
      <c r="B2" s="2" t="inlineStr">
        <is>
          <t>ชิ้นส่วน</t>
        </is>
      </c>
      <c r="C2" s="2" t="inlineStr">
        <is>
          <t>ประเด็น</t>
        </is>
      </c>
      <c r="D2" s="2" t="inlineStr">
        <is>
          <t>ข้อมูลในแบบปัจจุบัน</t>
        </is>
      </c>
      <c r="E2" s="2" t="inlineStr">
        <is>
          <t>สิ่งที่ต้องการ</t>
        </is>
      </c>
      <c r="F2" s="2" t="inlineStr">
        <is>
          <t>ผลต่อ BOQ</t>
        </is>
      </c>
    </row>
    <row r="3">
      <c r="A3" s="14" t="n">
        <v>1</v>
      </c>
      <c r="B3" s="14" t="inlineStr">
        <is>
          <t>ฐานราก F2P</t>
        </is>
      </c>
      <c r="C3" s="14" t="inlineStr">
        <is>
          <t>ระดับหลังฐาน/ท้องฐาน และระยะเข็มในฐาน</t>
        </is>
      </c>
      <c r="D3" s="14" t="inlineStr">
        <is>
          <t>ตาราง S1.1 ขนาด 0.60x1.50x0.80; โมเดลใช้ท้องฐาน -1.20 จากความยาวเสา C1</t>
        </is>
      </c>
      <c r="E3" s="14" t="inlineStr">
        <is>
          <t>แบบขยายฐานราก (รูปตัด ระดับ ระยะเข็ม ระยะหุ้ม)</t>
        </is>
      </c>
      <c r="F3" s="14" t="inlineStr">
        <is>
          <t>ดินขุด ไม้แบบ ค้ำยัน</t>
        </is>
      </c>
    </row>
    <row r="4">
      <c r="A4" s="14" t="n">
        <v>2</v>
      </c>
      <c r="B4" s="14" t="inlineStr">
        <is>
          <t>ฐานรากทุกชนิด</t>
        </is>
      </c>
      <c r="C4" s="14" t="inlineStr">
        <is>
          <t>เหล็กเสริมฐานราก</t>
        </is>
      </c>
      <c r="D4" s="14" t="inlineStr">
        <is>
          <t>ไม่มีในแบบ</t>
        </is>
      </c>
      <c r="E4" s="14" t="inlineStr">
        <is>
          <t>ตะแกรงล่าง/บน จำนวน-ขนาด ทั้ง 2 แนว เหล็กรัดรอบ (กรอกชีต 2)</t>
        </is>
      </c>
      <c r="F4" s="14" t="inlineStr">
        <is>
          <t>2.2.4 เหล็กเสริมฐานราก</t>
        </is>
      </c>
    </row>
    <row r="5">
      <c r="A5" s="14" t="n">
        <v>3</v>
      </c>
      <c r="B5" s="14" t="inlineStr">
        <is>
          <t>Drop panel F1P</t>
        </is>
      </c>
      <c r="C5" s="14" t="inlineStr">
        <is>
          <t>ความสัมพันธ์กับพื้น S1 (หล่อพร้อมพื้นหรือแยก) และเหล็กเสริม</t>
        </is>
      </c>
      <c r="D5" s="14" t="inlineStr">
        <is>
          <t>1.00x1.00x0.20 ใต้ท้องพื้น S1 +0.30</t>
        </is>
      </c>
      <c r="E5" s="14" t="inlineStr">
        <is>
          <t>แบบขยาย Drop panel + เหล็กเสริม</t>
        </is>
      </c>
      <c r="F5" s="14" t="inlineStr">
        <is>
          <t>2.2.2 / 2.4.3</t>
        </is>
      </c>
    </row>
    <row r="6">
      <c r="A6" s="14" t="n">
        <v>4</v>
      </c>
      <c r="B6" s="14" t="inlineStr">
        <is>
          <t>เสา C1/C2/C3</t>
        </is>
      </c>
      <c r="C6" s="14" t="inlineStr">
        <is>
          <t>เหล็กยืนและปลอก</t>
        </is>
      </c>
      <c r="D6" s="14" t="inlineStr">
        <is>
          <t>ไม่มีในแบบ</t>
        </is>
      </c>
      <c r="E6" s="14" t="inlineStr">
        <is>
          <t>จำนวน-ขนาดเหล็กยืน ปลอก Ø@ระยะ (กรอกชีต 4)</t>
        </is>
      </c>
      <c r="F6" s="14" t="inlineStr">
        <is>
          <t>2.3.6</t>
        </is>
      </c>
    </row>
    <row r="7">
      <c r="A7" s="14" t="n">
        <v>5</v>
      </c>
      <c r="B7" s="14" t="inlineStr">
        <is>
          <t>คาน B1/B3</t>
        </is>
      </c>
      <c r="C7" s="14" t="inlineStr">
        <is>
          <t>เหล็กบน ล่าง เสริมพิเศษ และปลอก</t>
        </is>
      </c>
      <c r="D7" s="14" t="inlineStr">
        <is>
          <t>หน้าตัดจากตาราง S3 เท่านั้น</t>
        </is>
      </c>
      <c r="E7" s="14" t="inlineStr">
        <is>
          <t>หน้าตัดยืนยัน + เหล็กเสริมแต่ละช่วง (กรอกชีต 6)</t>
        </is>
      </c>
      <c r="F7" s="14" t="inlineStr">
        <is>
          <t>2.3.6</t>
        </is>
      </c>
    </row>
    <row r="8">
      <c r="A8" s="14" t="n">
        <v>6</v>
      </c>
      <c r="B8" s="14" t="inlineStr">
        <is>
          <t>คานทับหลัง/คานเอ็น/เสาเอ็น</t>
        </is>
      </c>
      <c r="C8" s="14" t="inlineStr">
        <is>
          <t>หน้าตัดและเหล็กเสริมมาตรฐาน</t>
        </is>
      </c>
      <c r="D8" s="14" t="inlineStr">
        <is>
          <t>ผู้ว่าจ้างกำหนดระดับ +4.35/+4.50; หน้าตัดสมมติ</t>
        </is>
      </c>
      <c r="E8" s="14" t="inlineStr">
        <is>
          <t>รายละเอียดมาตรฐานผนังก่อ</t>
        </is>
      </c>
      <c r="F8" s="14" t="inlineStr">
        <is>
          <t>3.2.3-3.2.6</t>
        </is>
      </c>
    </row>
    <row r="9">
      <c r="A9" s="14" t="n">
        <v>7</v>
      </c>
      <c r="B9" s="14" t="inlineStr">
        <is>
          <t>รอยต่อเสาเหล็ก-หัวเสา (D01)</t>
        </is>
      </c>
      <c r="C9" s="14" t="inlineStr">
        <is>
          <t>ระยะ/ตำแหน่งสลัก การต่อแผ่นหัวเสากับโครงถัก</t>
        </is>
      </c>
      <c r="D9" s="14" t="inlineStr">
        <is>
          <t>ผู้ว่าจ้างกำหนด PL20x200x450 + M20x750 6 ชุด; ตำแหน่งสลักสมมติ 175x100 มม.</t>
        </is>
      </c>
      <c r="E9" s="14" t="inlineStr">
        <is>
          <t>ยืนยันระยะสลัก ระยะขอบ ขนาดรู และสลักยึดโครงถัก</t>
        </is>
      </c>
      <c r="F9" s="14" t="inlineStr">
        <is>
          <t>2.5.7-2.5.9</t>
        </is>
      </c>
    </row>
    <row r="10">
      <c r="A10" s="14" t="n">
        <v>8</v>
      </c>
      <c r="B10" s="14" t="inlineStr">
        <is>
          <t>แท่นหม้อแปลง (A104)</t>
        </is>
      </c>
      <c r="C10" s="14" t="inlineStr">
        <is>
          <t>จำนวนและตำแหน่งเข็มไม่ตรงกัน</t>
        </is>
      </c>
      <c r="D10" s="14" t="inlineStr">
        <is>
          <t>A104 แสดงเข็ม 3x3 = 9 ต้น ระยะ 2.10 x 1.10 ม.; S201/S201-B แสดง I22-TR 6 ต้น ระยะ ~1.50 ม.</t>
        </is>
      </c>
      <c r="E10" s="14" t="inlineStr">
        <is>
          <t>ยืนยันจำนวน/ตำแหน่งเข็ม และระดับแท่น</t>
        </is>
      </c>
      <c r="F10" s="14" t="inlineStr">
        <is>
          <t>4.3.1 (+3 ต้นถ้าใช้ A104)</t>
        </is>
      </c>
    </row>
    <row r="11">
      <c r="A11" s="14" t="n">
        <v>9</v>
      </c>
      <c r="B11" s="14" t="inlineStr">
        <is>
          <t>ห้องเก็บสารเคมี (A103)</t>
        </is>
      </c>
      <c r="C11" s="14" t="inlineStr">
        <is>
          <t>ระดับพื้นและตำแหน่งเสา</t>
        </is>
      </c>
      <c r="D11" s="14" t="inlineStr">
        <is>
          <t>A103 พื้น +0.40 มีเสากลางผนังที่ y=3.0 ม.; S201 มี F1P-1 ที่ y=0, 6.0, 9.0 (ไม่มีที่ y=3.0); S6.1 AF01 ระดับถนน</t>
        </is>
      </c>
      <c r="E11" s="14" t="inlineStr">
        <is>
          <t>ยืนยันตำแหน่งฐาน/เสา และระดับพื้น</t>
        </is>
      </c>
      <c r="F11" s="14" t="inlineStr">
        <is>
          <t>2.2.3 / 2.3.3 / 2.4.2</t>
        </is>
      </c>
    </row>
    <row r="12">
      <c r="A12" s="14" t="n">
        <v>10</v>
      </c>
      <c r="B12" s="14" t="inlineStr">
        <is>
          <t>เข็มถนน I22</t>
        </is>
      </c>
      <c r="C12" s="14" t="inlineStr">
        <is>
          <t>ตำแหน่งที่ขาด 17 ต้น</t>
        </is>
      </c>
      <c r="D12" s="14" t="inlineStr">
        <is>
          <t>ตาราง S2 = 249, ผัง S201/S202 = 232</t>
        </is>
      </c>
      <c r="E12" s="14" t="inlineStr">
        <is>
          <t>ตำแหน่งเข็ม 17 ต้น</t>
        </is>
      </c>
      <c r="F12" s="14" t="inlineStr">
        <is>
          <t>4.1.1 / 4.1.2 (ใช้ 249 แล้ว)</t>
        </is>
      </c>
    </row>
    <row r="13">
      <c r="A13" s="14" t="n">
        <v>11</v>
      </c>
      <c r="B13" s="14" t="inlineStr">
        <is>
          <t>ฐาน 0.66 ม. แนวเขต 16 จุด</t>
        </is>
      </c>
      <c r="C13" s="14" t="inlineStr">
        <is>
          <t>หน้าที่และระดับ</t>
        </is>
      </c>
      <c r="D13" s="14" t="inlineStr">
        <is>
          <t>พบในผัง S201 ไม่มีในตาราง</t>
        </is>
      </c>
      <c r="E13" s="14" t="inlineStr">
        <is>
          <t>ระบุว่าเป็นฐานอะไร (รั้ว/เสาไฟ/ป้าย) และขนาดความลึก</t>
        </is>
      </c>
      <c r="F13" s="14" t="inlineStr">
        <is>
          <t>4.6.1</t>
        </is>
      </c>
    </row>
    <row r="14">
      <c r="A14" s="14" t="n">
        <v>12</v>
      </c>
      <c r="B14" s="14" t="inlineStr">
        <is>
          <t>ถังเก็บน้ำใต้ดิน</t>
        </is>
      </c>
      <c r="C14" s="14" t="inlineStr">
        <is>
          <t>ผนัง ฝา เหล็กเสริม</t>
        </is>
      </c>
      <c r="D14" s="14" t="inlineStr">
        <is>
          <t>S202 แสดงเฉพาะพื้น TF -2.60 / BF -2.85</t>
        </is>
      </c>
      <c r="E14" s="14" t="inlineStr">
        <is>
          <t>แบบขยายถัง</t>
        </is>
      </c>
      <c r="F14" s="14" t="inlineStr">
        <is>
          <t>4.4.3 / 4.4.4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2026-10-28T12:56:02Z</dcterms:created>
  <dcterms:modified xmlns:dcterms="http://purl.org/dc/terms/" xmlns:xsi="http://www.w3.org/2001/XMLSchema-instance" xsi:type="dcterms:W3CDTF">2026-10-28T12:56:03Z</dcterms:modified>
</cp:coreProperties>
</file>